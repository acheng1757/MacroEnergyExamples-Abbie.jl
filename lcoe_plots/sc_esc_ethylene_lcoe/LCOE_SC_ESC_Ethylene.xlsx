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sc_esc_ethylene_lcoe/"/>
    </mc:Choice>
  </mc:AlternateContent>
  <xr:revisionPtr revIDLastSave="0" documentId="13_ncr:1_{3FFDEF2D-1199-9D42-A683-CEEAB7EA7D56}" xr6:coauthVersionLast="47" xr6:coauthVersionMax="47" xr10:uidLastSave="{00000000-0000-0000-0000-000000000000}"/>
  <bookViews>
    <workbookView xWindow="0" yWindow="740" windowWidth="29360" windowHeight="17740" xr2:uid="{00000000-000D-0000-FFFF-FFFF00000000}"/>
  </bookViews>
  <sheets>
    <sheet name="lc_detailed" sheetId="1" r:id="rId1"/>
    <sheet name="lc_summary_seq" sheetId="2" r:id="rId2"/>
    <sheet name="lc_summary_noseq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65" i="1" l="1"/>
  <c r="CA65" i="1"/>
  <c r="BZ65" i="1"/>
  <c r="BG65" i="1" s="1"/>
  <c r="BI65" i="1" s="1"/>
  <c r="BY65" i="1"/>
  <c r="BV65" i="1"/>
  <c r="BU65" i="1"/>
  <c r="BN65" i="1"/>
  <c r="BK65" i="1"/>
  <c r="L65" i="3" s="1"/>
  <c r="BH65" i="1"/>
  <c r="BE65" i="1"/>
  <c r="L65" i="2" s="1"/>
  <c r="BC65" i="1"/>
  <c r="BB65" i="1"/>
  <c r="BA65" i="1"/>
  <c r="AZ65" i="1"/>
  <c r="AY65" i="1"/>
  <c r="AX65" i="1"/>
  <c r="AW65" i="1"/>
  <c r="AV65" i="1"/>
  <c r="AU65" i="1"/>
  <c r="AN65" i="1"/>
  <c r="AM65" i="1"/>
  <c r="CB64" i="1"/>
  <c r="CA64" i="1"/>
  <c r="BD64" i="1" s="1"/>
  <c r="BZ64" i="1"/>
  <c r="BY64" i="1"/>
  <c r="BV64" i="1"/>
  <c r="BU64" i="1"/>
  <c r="BW64" i="1" s="1"/>
  <c r="BN64" i="1"/>
  <c r="BK64" i="1"/>
  <c r="L64" i="3" s="1"/>
  <c r="BH64" i="1"/>
  <c r="BE64" i="1"/>
  <c r="L64" i="2" s="1"/>
  <c r="BC64" i="1"/>
  <c r="BB64" i="1"/>
  <c r="BA64" i="1"/>
  <c r="AZ64" i="1"/>
  <c r="AY64" i="1"/>
  <c r="AX64" i="1"/>
  <c r="AW64" i="1"/>
  <c r="AV64" i="1"/>
  <c r="AU64" i="1"/>
  <c r="AN64" i="1"/>
  <c r="AM64" i="1"/>
  <c r="CB63" i="1"/>
  <c r="CA63" i="1"/>
  <c r="BZ63" i="1"/>
  <c r="BY63" i="1"/>
  <c r="BV63" i="1"/>
  <c r="BU63" i="1"/>
  <c r="BN63" i="1"/>
  <c r="BK63" i="1"/>
  <c r="L63" i="3" s="1"/>
  <c r="BH63" i="1"/>
  <c r="BE63" i="1"/>
  <c r="L63" i="2" s="1"/>
  <c r="BC63" i="1"/>
  <c r="BB63" i="1"/>
  <c r="BA63" i="1"/>
  <c r="AZ63" i="1"/>
  <c r="AY63" i="1"/>
  <c r="AX63" i="1"/>
  <c r="AW63" i="1"/>
  <c r="AV63" i="1"/>
  <c r="AU63" i="1"/>
  <c r="AN63" i="1"/>
  <c r="AM63" i="1"/>
  <c r="CB62" i="1"/>
  <c r="CA62" i="1"/>
  <c r="BZ62" i="1"/>
  <c r="BY62" i="1"/>
  <c r="BV62" i="1"/>
  <c r="BU62" i="1"/>
  <c r="BN62" i="1"/>
  <c r="BK62" i="1"/>
  <c r="L62" i="3" s="1"/>
  <c r="BH62" i="1"/>
  <c r="BE62" i="1"/>
  <c r="L62" i="2" s="1"/>
  <c r="BC62" i="1"/>
  <c r="BB62" i="1"/>
  <c r="BA62" i="1"/>
  <c r="AZ62" i="1"/>
  <c r="AY62" i="1"/>
  <c r="AX62" i="1"/>
  <c r="AW62" i="1"/>
  <c r="AV62" i="1"/>
  <c r="AU62" i="1"/>
  <c r="AN62" i="1"/>
  <c r="AM62" i="1"/>
  <c r="CB61" i="1"/>
  <c r="CA61" i="1"/>
  <c r="BZ61" i="1"/>
  <c r="BD61" i="1" s="1"/>
  <c r="N61" i="2" s="1"/>
  <c r="BY61" i="1"/>
  <c r="BV61" i="1"/>
  <c r="BU61" i="1"/>
  <c r="BW61" i="1" s="1"/>
  <c r="BN61" i="1"/>
  <c r="BK61" i="1"/>
  <c r="L61" i="3" s="1"/>
  <c r="BH61" i="1"/>
  <c r="BE61" i="1"/>
  <c r="L61" i="2" s="1"/>
  <c r="BC61" i="1"/>
  <c r="BB61" i="1"/>
  <c r="BA61" i="1"/>
  <c r="AZ61" i="1"/>
  <c r="AY61" i="1"/>
  <c r="AX61" i="1"/>
  <c r="AW61" i="1"/>
  <c r="AV61" i="1"/>
  <c r="AU61" i="1"/>
  <c r="AN61" i="1"/>
  <c r="AM61" i="1"/>
  <c r="CB60" i="1"/>
  <c r="CA60" i="1"/>
  <c r="BZ60" i="1"/>
  <c r="BY60" i="1"/>
  <c r="BV60" i="1"/>
  <c r="BU60" i="1"/>
  <c r="BW60" i="1" s="1"/>
  <c r="CC60" i="1" s="1"/>
  <c r="O60" i="1" s="1"/>
  <c r="BN60" i="1"/>
  <c r="BK60" i="1"/>
  <c r="L60" i="3" s="1"/>
  <c r="BH60" i="1"/>
  <c r="BE60" i="1"/>
  <c r="L60" i="2" s="1"/>
  <c r="BC60" i="1"/>
  <c r="BB60" i="1"/>
  <c r="BA60" i="1"/>
  <c r="AZ60" i="1"/>
  <c r="AY60" i="1"/>
  <c r="AX60" i="1"/>
  <c r="AW60" i="1"/>
  <c r="AV60" i="1"/>
  <c r="AU60" i="1"/>
  <c r="AN60" i="1"/>
  <c r="AM60" i="1"/>
  <c r="CB59" i="1"/>
  <c r="CA59" i="1"/>
  <c r="BZ59" i="1"/>
  <c r="BY59" i="1"/>
  <c r="BV59" i="1"/>
  <c r="BU59" i="1"/>
  <c r="BN59" i="1"/>
  <c r="BK59" i="1"/>
  <c r="L59" i="3" s="1"/>
  <c r="BH59" i="1"/>
  <c r="BG59" i="1"/>
  <c r="BI59" i="1" s="1"/>
  <c r="BE59" i="1"/>
  <c r="L59" i="2" s="1"/>
  <c r="BC59" i="1"/>
  <c r="BB59" i="1"/>
  <c r="BA59" i="1"/>
  <c r="AZ59" i="1"/>
  <c r="AY59" i="1"/>
  <c r="AX59" i="1"/>
  <c r="AW59" i="1"/>
  <c r="AV59" i="1"/>
  <c r="AU59" i="1"/>
  <c r="AN59" i="1"/>
  <c r="AM59" i="1"/>
  <c r="CB58" i="1"/>
  <c r="CA58" i="1"/>
  <c r="BZ58" i="1"/>
  <c r="BY58" i="1"/>
  <c r="BV58" i="1"/>
  <c r="BU58" i="1"/>
  <c r="BW58" i="1" s="1"/>
  <c r="BN58" i="1"/>
  <c r="BK58" i="1"/>
  <c r="L58" i="3" s="1"/>
  <c r="BH58" i="1"/>
  <c r="BE58" i="1"/>
  <c r="L58" i="2" s="1"/>
  <c r="BC58" i="1"/>
  <c r="BB58" i="1"/>
  <c r="BA58" i="1"/>
  <c r="AZ58" i="1"/>
  <c r="AY58" i="1"/>
  <c r="AX58" i="1"/>
  <c r="AW58" i="1"/>
  <c r="AV58" i="1"/>
  <c r="AU58" i="1"/>
  <c r="AN58" i="1"/>
  <c r="AM58" i="1"/>
  <c r="CB57" i="1"/>
  <c r="CA57" i="1"/>
  <c r="BZ57" i="1"/>
  <c r="BY57" i="1"/>
  <c r="BV57" i="1"/>
  <c r="BU57" i="1"/>
  <c r="BW57" i="1" s="1"/>
  <c r="CC57" i="1" s="1"/>
  <c r="BN57" i="1"/>
  <c r="BK57" i="1"/>
  <c r="L57" i="3" s="1"/>
  <c r="BH57" i="1"/>
  <c r="BE57" i="1"/>
  <c r="L57" i="2" s="1"/>
  <c r="BC57" i="1"/>
  <c r="BB57" i="1"/>
  <c r="BA57" i="1"/>
  <c r="AZ57" i="1"/>
  <c r="AY57" i="1"/>
  <c r="AX57" i="1"/>
  <c r="AW57" i="1"/>
  <c r="AV57" i="1"/>
  <c r="AU57" i="1"/>
  <c r="AN57" i="1"/>
  <c r="AM57" i="1"/>
  <c r="CB56" i="1"/>
  <c r="CA56" i="1"/>
  <c r="BZ56" i="1"/>
  <c r="BY56" i="1"/>
  <c r="BV56" i="1"/>
  <c r="BU56" i="1"/>
  <c r="BW56" i="1" s="1"/>
  <c r="BN56" i="1"/>
  <c r="BK56" i="1"/>
  <c r="L56" i="3" s="1"/>
  <c r="BH56" i="1"/>
  <c r="BE56" i="1"/>
  <c r="L56" i="2" s="1"/>
  <c r="BC56" i="1"/>
  <c r="BB56" i="1"/>
  <c r="BA56" i="1"/>
  <c r="AZ56" i="1"/>
  <c r="AY56" i="1"/>
  <c r="AX56" i="1"/>
  <c r="AW56" i="1"/>
  <c r="AV56" i="1"/>
  <c r="AU56" i="1"/>
  <c r="AN56" i="1"/>
  <c r="AM56" i="1"/>
  <c r="CB55" i="1"/>
  <c r="CA55" i="1"/>
  <c r="BZ55" i="1"/>
  <c r="BY55" i="1"/>
  <c r="BV55" i="1"/>
  <c r="BU55" i="1"/>
  <c r="BW55" i="1" s="1"/>
  <c r="BN55" i="1"/>
  <c r="BK55" i="1"/>
  <c r="L55" i="3" s="1"/>
  <c r="BH55" i="1"/>
  <c r="BE55" i="1"/>
  <c r="L55" i="2" s="1"/>
  <c r="BC55" i="1"/>
  <c r="BB55" i="1"/>
  <c r="BA55" i="1"/>
  <c r="AZ55" i="1"/>
  <c r="AY55" i="1"/>
  <c r="AX55" i="1"/>
  <c r="AW55" i="1"/>
  <c r="AV55" i="1"/>
  <c r="AU55" i="1"/>
  <c r="AN55" i="1"/>
  <c r="AM55" i="1"/>
  <c r="CB54" i="1"/>
  <c r="CA54" i="1"/>
  <c r="BZ54" i="1"/>
  <c r="BG54" i="1" s="1"/>
  <c r="BI54" i="1" s="1"/>
  <c r="BY54" i="1"/>
  <c r="BV54" i="1"/>
  <c r="BU54" i="1"/>
  <c r="BN54" i="1"/>
  <c r="BK54" i="1"/>
  <c r="L54" i="3" s="1"/>
  <c r="BH54" i="1"/>
  <c r="BE54" i="1"/>
  <c r="L54" i="2" s="1"/>
  <c r="BC54" i="1"/>
  <c r="BB54" i="1"/>
  <c r="BA54" i="1"/>
  <c r="AZ54" i="1"/>
  <c r="AY54" i="1"/>
  <c r="AX54" i="1"/>
  <c r="AW54" i="1"/>
  <c r="AV54" i="1"/>
  <c r="AU54" i="1"/>
  <c r="AN54" i="1"/>
  <c r="AM54" i="1"/>
  <c r="CB53" i="1"/>
  <c r="CA53" i="1"/>
  <c r="BZ53" i="1"/>
  <c r="BG53" i="1" s="1"/>
  <c r="BI53" i="1" s="1"/>
  <c r="BY53" i="1"/>
  <c r="BV53" i="1"/>
  <c r="BU53" i="1"/>
  <c r="BN53" i="1"/>
  <c r="BK53" i="1"/>
  <c r="L53" i="3" s="1"/>
  <c r="BH53" i="1"/>
  <c r="BE53" i="1"/>
  <c r="L53" i="2" s="1"/>
  <c r="BC53" i="1"/>
  <c r="BB53" i="1"/>
  <c r="BA53" i="1"/>
  <c r="AZ53" i="1"/>
  <c r="AY53" i="1"/>
  <c r="AX53" i="1"/>
  <c r="AW53" i="1"/>
  <c r="AV53" i="1"/>
  <c r="AU53" i="1"/>
  <c r="AN53" i="1"/>
  <c r="AM53" i="1"/>
  <c r="CB52" i="1"/>
  <c r="CA52" i="1"/>
  <c r="BZ52" i="1"/>
  <c r="BG52" i="1" s="1"/>
  <c r="BI52" i="1" s="1"/>
  <c r="BY52" i="1"/>
  <c r="BV52" i="1"/>
  <c r="BU52" i="1"/>
  <c r="BN52" i="1"/>
  <c r="BK52" i="1"/>
  <c r="L52" i="3" s="1"/>
  <c r="BH52" i="1"/>
  <c r="BE52" i="1"/>
  <c r="BC52" i="1"/>
  <c r="BB52" i="1"/>
  <c r="BA52" i="1"/>
  <c r="AZ52" i="1"/>
  <c r="AY52" i="1"/>
  <c r="AX52" i="1"/>
  <c r="AW52" i="1"/>
  <c r="AV52" i="1"/>
  <c r="AU52" i="1"/>
  <c r="AN52" i="1"/>
  <c r="AM52" i="1"/>
  <c r="CB51" i="1"/>
  <c r="CA51" i="1"/>
  <c r="BZ51" i="1"/>
  <c r="BG51" i="1" s="1"/>
  <c r="BI51" i="1" s="1"/>
  <c r="BY51" i="1"/>
  <c r="BV51" i="1"/>
  <c r="BU51" i="1"/>
  <c r="BN51" i="1"/>
  <c r="BK51" i="1"/>
  <c r="L51" i="3" s="1"/>
  <c r="BH51" i="1"/>
  <c r="BE51" i="1"/>
  <c r="BC51" i="1"/>
  <c r="BB51" i="1"/>
  <c r="BA51" i="1"/>
  <c r="AZ51" i="1"/>
  <c r="AY51" i="1"/>
  <c r="AX51" i="1"/>
  <c r="AW51" i="1"/>
  <c r="AV51" i="1"/>
  <c r="AU51" i="1"/>
  <c r="AN51" i="1"/>
  <c r="AM51" i="1"/>
  <c r="CB50" i="1"/>
  <c r="CA50" i="1"/>
  <c r="BZ50" i="1"/>
  <c r="BY50" i="1"/>
  <c r="BV50" i="1"/>
  <c r="BU50" i="1"/>
  <c r="BN50" i="1"/>
  <c r="BK50" i="1"/>
  <c r="L50" i="3" s="1"/>
  <c r="BH50" i="1"/>
  <c r="BE50" i="1"/>
  <c r="L50" i="2" s="1"/>
  <c r="BC50" i="1"/>
  <c r="BB50" i="1"/>
  <c r="BA50" i="1"/>
  <c r="AZ50" i="1"/>
  <c r="AY50" i="1"/>
  <c r="AX50" i="1"/>
  <c r="AW50" i="1"/>
  <c r="AV50" i="1"/>
  <c r="AU50" i="1"/>
  <c r="AN50" i="1"/>
  <c r="AM50" i="1"/>
  <c r="CB49" i="1"/>
  <c r="CA49" i="1"/>
  <c r="BZ49" i="1"/>
  <c r="BY49" i="1"/>
  <c r="BV49" i="1"/>
  <c r="BU49" i="1"/>
  <c r="BW49" i="1" s="1"/>
  <c r="BN49" i="1"/>
  <c r="BK49" i="1"/>
  <c r="L49" i="3" s="1"/>
  <c r="BH49" i="1"/>
  <c r="BE49" i="1"/>
  <c r="L49" i="2" s="1"/>
  <c r="BC49" i="1"/>
  <c r="BB49" i="1"/>
  <c r="BA49" i="1"/>
  <c r="AZ49" i="1"/>
  <c r="AY49" i="1"/>
  <c r="AX49" i="1"/>
  <c r="AW49" i="1"/>
  <c r="AV49" i="1"/>
  <c r="AU49" i="1"/>
  <c r="AN49" i="1"/>
  <c r="AM49" i="1"/>
  <c r="CB48" i="1"/>
  <c r="CA48" i="1"/>
  <c r="BZ48" i="1"/>
  <c r="BY48" i="1"/>
  <c r="BV48" i="1"/>
  <c r="BU48" i="1"/>
  <c r="BW48" i="1" s="1"/>
  <c r="BN48" i="1"/>
  <c r="BK48" i="1"/>
  <c r="L48" i="3" s="1"/>
  <c r="BH48" i="1"/>
  <c r="BE48" i="1"/>
  <c r="L48" i="2" s="1"/>
  <c r="BC48" i="1"/>
  <c r="BB48" i="1"/>
  <c r="BA48" i="1"/>
  <c r="AZ48" i="1"/>
  <c r="AY48" i="1"/>
  <c r="AX48" i="1"/>
  <c r="AW48" i="1"/>
  <c r="AV48" i="1"/>
  <c r="AU48" i="1"/>
  <c r="AN48" i="1"/>
  <c r="AM48" i="1"/>
  <c r="CB47" i="1"/>
  <c r="CA47" i="1"/>
  <c r="BZ47" i="1"/>
  <c r="BG47" i="1" s="1"/>
  <c r="BI47" i="1" s="1"/>
  <c r="BY47" i="1"/>
  <c r="BV47" i="1"/>
  <c r="BU47" i="1"/>
  <c r="BW47" i="1" s="1"/>
  <c r="BN47" i="1"/>
  <c r="BK47" i="1"/>
  <c r="L47" i="3" s="1"/>
  <c r="BH47" i="1"/>
  <c r="BE47" i="1"/>
  <c r="L47" i="2" s="1"/>
  <c r="BC47" i="1"/>
  <c r="BB47" i="1"/>
  <c r="BA47" i="1"/>
  <c r="AZ47" i="1"/>
  <c r="AY47" i="1"/>
  <c r="AX47" i="1"/>
  <c r="AW47" i="1"/>
  <c r="AV47" i="1"/>
  <c r="AU47" i="1"/>
  <c r="AN47" i="1"/>
  <c r="AM47" i="1"/>
  <c r="CB46" i="1"/>
  <c r="CA46" i="1"/>
  <c r="BZ46" i="1"/>
  <c r="BG46" i="1" s="1"/>
  <c r="BI46" i="1" s="1"/>
  <c r="BY46" i="1"/>
  <c r="BV46" i="1"/>
  <c r="BU46" i="1"/>
  <c r="BW46" i="1" s="1"/>
  <c r="BN46" i="1"/>
  <c r="BK46" i="1"/>
  <c r="L46" i="3" s="1"/>
  <c r="BH46" i="1"/>
  <c r="BE46" i="1"/>
  <c r="L46" i="2" s="1"/>
  <c r="BC46" i="1"/>
  <c r="BB46" i="1"/>
  <c r="BA46" i="1"/>
  <c r="AZ46" i="1"/>
  <c r="AY46" i="1"/>
  <c r="AX46" i="1"/>
  <c r="AW46" i="1"/>
  <c r="AV46" i="1"/>
  <c r="AU46" i="1"/>
  <c r="AN46" i="1"/>
  <c r="AM46" i="1"/>
  <c r="CB45" i="1"/>
  <c r="CA45" i="1"/>
  <c r="BZ45" i="1"/>
  <c r="BY45" i="1"/>
  <c r="BV45" i="1"/>
  <c r="BU45" i="1"/>
  <c r="BW45" i="1" s="1"/>
  <c r="BN45" i="1"/>
  <c r="BK45" i="1"/>
  <c r="L45" i="3" s="1"/>
  <c r="BH45" i="1"/>
  <c r="BG45" i="1"/>
  <c r="BI45" i="1" s="1"/>
  <c r="BE45" i="1"/>
  <c r="BC45" i="1"/>
  <c r="BB45" i="1"/>
  <c r="BA45" i="1"/>
  <c r="AZ45" i="1"/>
  <c r="AY45" i="1"/>
  <c r="AX45" i="1"/>
  <c r="AW45" i="1"/>
  <c r="AV45" i="1"/>
  <c r="AU45" i="1"/>
  <c r="AN45" i="1"/>
  <c r="AM45" i="1"/>
  <c r="CB44" i="1"/>
  <c r="CA44" i="1"/>
  <c r="BZ44" i="1"/>
  <c r="BY44" i="1"/>
  <c r="BV44" i="1"/>
  <c r="BU44" i="1"/>
  <c r="BW44" i="1" s="1"/>
  <c r="BN44" i="1"/>
  <c r="BK44" i="1"/>
  <c r="L44" i="3" s="1"/>
  <c r="BH44" i="1"/>
  <c r="BG44" i="1"/>
  <c r="BI44" i="1" s="1"/>
  <c r="BE44" i="1"/>
  <c r="BC44" i="1"/>
  <c r="BB44" i="1"/>
  <c r="BA44" i="1"/>
  <c r="AZ44" i="1"/>
  <c r="AY44" i="1"/>
  <c r="AX44" i="1"/>
  <c r="AW44" i="1"/>
  <c r="AV44" i="1"/>
  <c r="AU44" i="1"/>
  <c r="AN44" i="1"/>
  <c r="AM44" i="1"/>
  <c r="CB43" i="1"/>
  <c r="CA43" i="1"/>
  <c r="BZ43" i="1"/>
  <c r="BY43" i="1"/>
  <c r="BV43" i="1"/>
  <c r="BU43" i="1"/>
  <c r="BW43" i="1" s="1"/>
  <c r="BN43" i="1"/>
  <c r="BK43" i="1"/>
  <c r="L43" i="3" s="1"/>
  <c r="BH43" i="1"/>
  <c r="BE43" i="1"/>
  <c r="BC43" i="1"/>
  <c r="BB43" i="1"/>
  <c r="BA43" i="1"/>
  <c r="AZ43" i="1"/>
  <c r="AY43" i="1"/>
  <c r="AX43" i="1"/>
  <c r="AW43" i="1"/>
  <c r="AV43" i="1"/>
  <c r="AU43" i="1"/>
  <c r="AN43" i="1"/>
  <c r="AM43" i="1"/>
  <c r="CB42" i="1"/>
  <c r="CA42" i="1"/>
  <c r="BZ42" i="1"/>
  <c r="BY42" i="1"/>
  <c r="CC42" i="1" s="1"/>
  <c r="O42" i="1" s="1"/>
  <c r="BV42" i="1"/>
  <c r="BU42" i="1"/>
  <c r="BW42" i="1" s="1"/>
  <c r="BN42" i="1"/>
  <c r="BK42" i="1"/>
  <c r="L42" i="3" s="1"/>
  <c r="BH42" i="1"/>
  <c r="BE42" i="1"/>
  <c r="L42" i="2" s="1"/>
  <c r="BC42" i="1"/>
  <c r="BB42" i="1"/>
  <c r="BA42" i="1"/>
  <c r="AZ42" i="1"/>
  <c r="AY42" i="1"/>
  <c r="AX42" i="1"/>
  <c r="AW42" i="1"/>
  <c r="AV42" i="1"/>
  <c r="AU42" i="1"/>
  <c r="AN42" i="1"/>
  <c r="AM42" i="1"/>
  <c r="CB41" i="1"/>
  <c r="CA41" i="1"/>
  <c r="BZ41" i="1"/>
  <c r="BY41" i="1"/>
  <c r="BV41" i="1"/>
  <c r="BU41" i="1"/>
  <c r="BN41" i="1"/>
  <c r="BK41" i="1"/>
  <c r="L41" i="3" s="1"/>
  <c r="BH41" i="1"/>
  <c r="BE41" i="1"/>
  <c r="L41" i="2" s="1"/>
  <c r="BC41" i="1"/>
  <c r="BB41" i="1"/>
  <c r="BA41" i="1"/>
  <c r="AZ41" i="1"/>
  <c r="AY41" i="1"/>
  <c r="AX41" i="1"/>
  <c r="AW41" i="1"/>
  <c r="AV41" i="1"/>
  <c r="AU41" i="1"/>
  <c r="AN41" i="1"/>
  <c r="AM41" i="1"/>
  <c r="CB40" i="1"/>
  <c r="CA40" i="1"/>
  <c r="BZ40" i="1"/>
  <c r="BY40" i="1"/>
  <c r="BV40" i="1"/>
  <c r="BU40" i="1"/>
  <c r="BW40" i="1" s="1"/>
  <c r="BN40" i="1"/>
  <c r="BK40" i="1"/>
  <c r="BH40" i="1"/>
  <c r="BE40" i="1"/>
  <c r="L40" i="2" s="1"/>
  <c r="BC40" i="1"/>
  <c r="BB40" i="1"/>
  <c r="BA40" i="1"/>
  <c r="AZ40" i="1"/>
  <c r="AY40" i="1"/>
  <c r="AX40" i="1"/>
  <c r="AW40" i="1"/>
  <c r="AV40" i="1"/>
  <c r="AU40" i="1"/>
  <c r="AN40" i="1"/>
  <c r="AM40" i="1"/>
  <c r="CB39" i="1"/>
  <c r="CA39" i="1"/>
  <c r="BZ39" i="1"/>
  <c r="BG39" i="1" s="1"/>
  <c r="BI39" i="1" s="1"/>
  <c r="BY39" i="1"/>
  <c r="BV39" i="1"/>
  <c r="BU39" i="1"/>
  <c r="BN39" i="1"/>
  <c r="BK39" i="1"/>
  <c r="BH39" i="1"/>
  <c r="BE39" i="1"/>
  <c r="L39" i="2" s="1"/>
  <c r="BC39" i="1"/>
  <c r="BB39" i="1"/>
  <c r="BA39" i="1"/>
  <c r="AZ39" i="1"/>
  <c r="AY39" i="1"/>
  <c r="AX39" i="1"/>
  <c r="AW39" i="1"/>
  <c r="AV39" i="1"/>
  <c r="AU39" i="1"/>
  <c r="AN39" i="1"/>
  <c r="AM39" i="1"/>
  <c r="CB38" i="1"/>
  <c r="CA38" i="1"/>
  <c r="BZ38" i="1"/>
  <c r="BG38" i="1" s="1"/>
  <c r="BI38" i="1" s="1"/>
  <c r="BY38" i="1"/>
  <c r="BV38" i="1"/>
  <c r="BU38" i="1"/>
  <c r="BN38" i="1"/>
  <c r="BK38" i="1"/>
  <c r="L38" i="3" s="1"/>
  <c r="BH38" i="1"/>
  <c r="BE38" i="1"/>
  <c r="L38" i="2" s="1"/>
  <c r="BC38" i="1"/>
  <c r="BB38" i="1"/>
  <c r="BA38" i="1"/>
  <c r="AZ38" i="1"/>
  <c r="AY38" i="1"/>
  <c r="AX38" i="1"/>
  <c r="AW38" i="1"/>
  <c r="AV38" i="1"/>
  <c r="AU38" i="1"/>
  <c r="AN38" i="1"/>
  <c r="AM38" i="1"/>
  <c r="CB37" i="1"/>
  <c r="CA37" i="1"/>
  <c r="BZ37" i="1"/>
  <c r="BG37" i="1" s="1"/>
  <c r="BI37" i="1" s="1"/>
  <c r="BY37" i="1"/>
  <c r="BV37" i="1"/>
  <c r="BU37" i="1"/>
  <c r="BW37" i="1" s="1"/>
  <c r="BN37" i="1"/>
  <c r="BK37" i="1"/>
  <c r="L37" i="3" s="1"/>
  <c r="BH37" i="1"/>
  <c r="BE37" i="1"/>
  <c r="BC37" i="1"/>
  <c r="BB37" i="1"/>
  <c r="BA37" i="1"/>
  <c r="AZ37" i="1"/>
  <c r="AY37" i="1"/>
  <c r="AX37" i="1"/>
  <c r="AW37" i="1"/>
  <c r="AV37" i="1"/>
  <c r="AU37" i="1"/>
  <c r="AN37" i="1"/>
  <c r="AM37" i="1"/>
  <c r="CD36" i="1"/>
  <c r="CF36" i="1" s="1"/>
  <c r="CB36" i="1"/>
  <c r="CA36" i="1"/>
  <c r="BZ36" i="1"/>
  <c r="BG36" i="1" s="1"/>
  <c r="BI36" i="1" s="1"/>
  <c r="BY36" i="1"/>
  <c r="BV36" i="1"/>
  <c r="BU36" i="1"/>
  <c r="BW36" i="1" s="1"/>
  <c r="CC36" i="1" s="1"/>
  <c r="O36" i="1" s="1"/>
  <c r="BN36" i="1"/>
  <c r="BK36" i="1"/>
  <c r="L36" i="3" s="1"/>
  <c r="BH36" i="1"/>
  <c r="BE36" i="1"/>
  <c r="BC36" i="1"/>
  <c r="BB36" i="1"/>
  <c r="BA36" i="1"/>
  <c r="AZ36" i="1"/>
  <c r="AY36" i="1"/>
  <c r="AX36" i="1"/>
  <c r="AW36" i="1"/>
  <c r="AV36" i="1"/>
  <c r="AU36" i="1"/>
  <c r="AN36" i="1"/>
  <c r="AM36" i="1"/>
  <c r="CC35" i="1"/>
  <c r="CB35" i="1"/>
  <c r="CA35" i="1"/>
  <c r="BZ35" i="1"/>
  <c r="BG35" i="1" s="1"/>
  <c r="BI35" i="1" s="1"/>
  <c r="BY35" i="1"/>
  <c r="BV35" i="1"/>
  <c r="BU35" i="1"/>
  <c r="BW35" i="1" s="1"/>
  <c r="BN35" i="1"/>
  <c r="BK35" i="1"/>
  <c r="L35" i="3" s="1"/>
  <c r="BH35" i="1"/>
  <c r="BE35" i="1"/>
  <c r="BC35" i="1"/>
  <c r="BB35" i="1"/>
  <c r="BA35" i="1"/>
  <c r="AZ35" i="1"/>
  <c r="AY35" i="1"/>
  <c r="AX35" i="1"/>
  <c r="AW35" i="1"/>
  <c r="AV35" i="1"/>
  <c r="AU35" i="1"/>
  <c r="AN35" i="1"/>
  <c r="AM35" i="1"/>
  <c r="CB34" i="1"/>
  <c r="CA34" i="1"/>
  <c r="BZ34" i="1"/>
  <c r="BY34" i="1"/>
  <c r="BV34" i="1"/>
  <c r="BU34" i="1"/>
  <c r="BW34" i="1" s="1"/>
  <c r="CC34" i="1" s="1"/>
  <c r="O34" i="1" s="1"/>
  <c r="BN34" i="1"/>
  <c r="BK34" i="1"/>
  <c r="L34" i="3" s="1"/>
  <c r="BH34" i="1"/>
  <c r="BE34" i="1"/>
  <c r="L34" i="2" s="1"/>
  <c r="BC34" i="1"/>
  <c r="BB34" i="1"/>
  <c r="BA34" i="1"/>
  <c r="AZ34" i="1"/>
  <c r="AY34" i="1"/>
  <c r="AX34" i="1"/>
  <c r="AW34" i="1"/>
  <c r="AV34" i="1"/>
  <c r="AU34" i="1"/>
  <c r="AN34" i="1"/>
  <c r="AM34" i="1"/>
  <c r="CB33" i="1"/>
  <c r="CA33" i="1"/>
  <c r="BZ33" i="1"/>
  <c r="BY33" i="1"/>
  <c r="BV33" i="1"/>
  <c r="BU33" i="1"/>
  <c r="BW33" i="1" s="1"/>
  <c r="BN33" i="1"/>
  <c r="BK33" i="1"/>
  <c r="L33" i="3" s="1"/>
  <c r="BH33" i="1"/>
  <c r="BE33" i="1"/>
  <c r="L33" i="2" s="1"/>
  <c r="BC33" i="1"/>
  <c r="BB33" i="1"/>
  <c r="BA33" i="1"/>
  <c r="AZ33" i="1"/>
  <c r="AY33" i="1"/>
  <c r="AX33" i="1"/>
  <c r="AW33" i="1"/>
  <c r="AV33" i="1"/>
  <c r="AU33" i="1"/>
  <c r="AN33" i="1"/>
  <c r="AM33" i="1"/>
  <c r="CB32" i="1"/>
  <c r="CA32" i="1"/>
  <c r="BZ32" i="1"/>
  <c r="BY32" i="1"/>
  <c r="BV32" i="1"/>
  <c r="BU32" i="1"/>
  <c r="BN32" i="1"/>
  <c r="BK32" i="1"/>
  <c r="L32" i="3" s="1"/>
  <c r="BH32" i="1"/>
  <c r="BE32" i="1"/>
  <c r="L32" i="2" s="1"/>
  <c r="BC32" i="1"/>
  <c r="BB32" i="1"/>
  <c r="BA32" i="1"/>
  <c r="AZ32" i="1"/>
  <c r="AY32" i="1"/>
  <c r="AX32" i="1"/>
  <c r="AW32" i="1"/>
  <c r="AV32" i="1"/>
  <c r="AU32" i="1"/>
  <c r="AN32" i="1"/>
  <c r="AM32" i="1"/>
  <c r="CB31" i="1"/>
  <c r="CA31" i="1"/>
  <c r="BZ31" i="1"/>
  <c r="BY31" i="1"/>
  <c r="BV31" i="1"/>
  <c r="BU31" i="1"/>
  <c r="BW31" i="1" s="1"/>
  <c r="BN31" i="1"/>
  <c r="BK31" i="1"/>
  <c r="L31" i="3" s="1"/>
  <c r="BH31" i="1"/>
  <c r="BE31" i="1"/>
  <c r="L31" i="2" s="1"/>
  <c r="BC31" i="1"/>
  <c r="BB31" i="1"/>
  <c r="BA31" i="1"/>
  <c r="AZ31" i="1"/>
  <c r="AY31" i="1"/>
  <c r="AX31" i="1"/>
  <c r="AW31" i="1"/>
  <c r="AV31" i="1"/>
  <c r="AU31" i="1"/>
  <c r="AN31" i="1"/>
  <c r="AM31" i="1"/>
  <c r="CB30" i="1"/>
  <c r="CA30" i="1"/>
  <c r="BZ30" i="1"/>
  <c r="BY30" i="1"/>
  <c r="CC30" i="1" s="1"/>
  <c r="O30" i="1" s="1"/>
  <c r="BV30" i="1"/>
  <c r="BU30" i="1"/>
  <c r="BW30" i="1" s="1"/>
  <c r="BN30" i="1"/>
  <c r="BK30" i="1"/>
  <c r="L30" i="3" s="1"/>
  <c r="BH30" i="1"/>
  <c r="BG30" i="1"/>
  <c r="BI30" i="1" s="1"/>
  <c r="BE30" i="1"/>
  <c r="BD30" i="1"/>
  <c r="BC30" i="1"/>
  <c r="BB30" i="1"/>
  <c r="BA30" i="1"/>
  <c r="AZ30" i="1"/>
  <c r="AY30" i="1"/>
  <c r="AX30" i="1"/>
  <c r="AW30" i="1"/>
  <c r="AV30" i="1"/>
  <c r="AU30" i="1"/>
  <c r="AN30" i="1"/>
  <c r="AM30" i="1"/>
  <c r="CB29" i="1"/>
  <c r="CA29" i="1"/>
  <c r="BZ29" i="1"/>
  <c r="BY29" i="1"/>
  <c r="BV29" i="1"/>
  <c r="BU29" i="1"/>
  <c r="BN29" i="1"/>
  <c r="BK29" i="1"/>
  <c r="L29" i="3" s="1"/>
  <c r="BH29" i="1"/>
  <c r="BE29" i="1"/>
  <c r="BC29" i="1"/>
  <c r="BB29" i="1"/>
  <c r="BA29" i="1"/>
  <c r="AZ29" i="1"/>
  <c r="AY29" i="1"/>
  <c r="AX29" i="1"/>
  <c r="AW29" i="1"/>
  <c r="AV29" i="1"/>
  <c r="AU29" i="1"/>
  <c r="AN29" i="1"/>
  <c r="AM29" i="1"/>
  <c r="CB28" i="1"/>
  <c r="CA28" i="1"/>
  <c r="BZ28" i="1"/>
  <c r="BG28" i="1" s="1"/>
  <c r="BI28" i="1" s="1"/>
  <c r="BY28" i="1"/>
  <c r="BV28" i="1"/>
  <c r="BU28" i="1"/>
  <c r="BW28" i="1" s="1"/>
  <c r="CC28" i="1" s="1"/>
  <c r="O28" i="1" s="1"/>
  <c r="BN28" i="1"/>
  <c r="BK28" i="1"/>
  <c r="L28" i="3" s="1"/>
  <c r="BH28" i="1"/>
  <c r="BE28" i="1"/>
  <c r="L28" i="2" s="1"/>
  <c r="BC28" i="1"/>
  <c r="BB28" i="1"/>
  <c r="BA28" i="1"/>
  <c r="AZ28" i="1"/>
  <c r="AY28" i="1"/>
  <c r="AX28" i="1"/>
  <c r="AW28" i="1"/>
  <c r="AV28" i="1"/>
  <c r="AU28" i="1"/>
  <c r="AN28" i="1"/>
  <c r="AM28" i="1"/>
  <c r="CB27" i="1"/>
  <c r="CA27" i="1"/>
  <c r="BD27" i="1" s="1"/>
  <c r="BZ27" i="1"/>
  <c r="BY27" i="1"/>
  <c r="BV27" i="1"/>
  <c r="BU27" i="1"/>
  <c r="BW27" i="1" s="1"/>
  <c r="BN27" i="1"/>
  <c r="BK27" i="1"/>
  <c r="L27" i="3" s="1"/>
  <c r="BH27" i="1"/>
  <c r="BE27" i="1"/>
  <c r="L27" i="2" s="1"/>
  <c r="BC27" i="1"/>
  <c r="BB27" i="1"/>
  <c r="BA27" i="1"/>
  <c r="AZ27" i="1"/>
  <c r="AY27" i="1"/>
  <c r="AX27" i="1"/>
  <c r="AW27" i="1"/>
  <c r="AV27" i="1"/>
  <c r="AU27" i="1"/>
  <c r="AN27" i="1"/>
  <c r="AM27" i="1"/>
  <c r="CB26" i="1"/>
  <c r="CA26" i="1"/>
  <c r="BZ26" i="1"/>
  <c r="BY26" i="1"/>
  <c r="BV26" i="1"/>
  <c r="BU26" i="1"/>
  <c r="BW26" i="1" s="1"/>
  <c r="BN26" i="1"/>
  <c r="BK26" i="1"/>
  <c r="BH26" i="1"/>
  <c r="BG26" i="1"/>
  <c r="BI26" i="1" s="1"/>
  <c r="BE26" i="1"/>
  <c r="L26" i="2" s="1"/>
  <c r="BC26" i="1"/>
  <c r="BB26" i="1"/>
  <c r="BA26" i="1"/>
  <c r="AZ26" i="1"/>
  <c r="AY26" i="1"/>
  <c r="AX26" i="1"/>
  <c r="AW26" i="1"/>
  <c r="AV26" i="1"/>
  <c r="AU26" i="1"/>
  <c r="AN26" i="1"/>
  <c r="AM26" i="1"/>
  <c r="CB25" i="1"/>
  <c r="CA25" i="1"/>
  <c r="BZ25" i="1"/>
  <c r="BY25" i="1"/>
  <c r="BV25" i="1"/>
  <c r="BU25" i="1"/>
  <c r="BN25" i="1"/>
  <c r="BK25" i="1"/>
  <c r="L25" i="3" s="1"/>
  <c r="BH25" i="1"/>
  <c r="BE25" i="1"/>
  <c r="L25" i="2" s="1"/>
  <c r="BC25" i="1"/>
  <c r="BB25" i="1"/>
  <c r="BA25" i="1"/>
  <c r="AZ25" i="1"/>
  <c r="AY25" i="1"/>
  <c r="AX25" i="1"/>
  <c r="AW25" i="1"/>
  <c r="AV25" i="1"/>
  <c r="AU25" i="1"/>
  <c r="AN25" i="1"/>
  <c r="AM25" i="1"/>
  <c r="CB24" i="1"/>
  <c r="CA24" i="1"/>
  <c r="BZ24" i="1"/>
  <c r="BG24" i="1" s="1"/>
  <c r="BI24" i="1" s="1"/>
  <c r="AP24" i="1" s="1"/>
  <c r="BY24" i="1"/>
  <c r="BV24" i="1"/>
  <c r="BU24" i="1"/>
  <c r="BN24" i="1"/>
  <c r="BK24" i="1"/>
  <c r="L24" i="3" s="1"/>
  <c r="BH24" i="1"/>
  <c r="BE24" i="1"/>
  <c r="L24" i="2" s="1"/>
  <c r="BC24" i="1"/>
  <c r="BB24" i="1"/>
  <c r="BA24" i="1"/>
  <c r="AZ24" i="1"/>
  <c r="AY24" i="1"/>
  <c r="AX24" i="1"/>
  <c r="AW24" i="1"/>
  <c r="AV24" i="1"/>
  <c r="AU24" i="1"/>
  <c r="AN24" i="1"/>
  <c r="AM24" i="1"/>
  <c r="CB23" i="1"/>
  <c r="CC23" i="1" s="1"/>
  <c r="CA23" i="1"/>
  <c r="BZ23" i="1"/>
  <c r="BY23" i="1"/>
  <c r="BV23" i="1"/>
  <c r="BU23" i="1"/>
  <c r="BW23" i="1" s="1"/>
  <c r="BN23" i="1"/>
  <c r="BK23" i="1"/>
  <c r="L23" i="3" s="1"/>
  <c r="BH23" i="1"/>
  <c r="BE23" i="1"/>
  <c r="L23" i="2" s="1"/>
  <c r="BC23" i="1"/>
  <c r="BB23" i="1"/>
  <c r="BA23" i="1"/>
  <c r="AZ23" i="1"/>
  <c r="AY23" i="1"/>
  <c r="AX23" i="1"/>
  <c r="AW23" i="1"/>
  <c r="AV23" i="1"/>
  <c r="AU23" i="1"/>
  <c r="AN23" i="1"/>
  <c r="AM23" i="1"/>
  <c r="CB22" i="1"/>
  <c r="CA22" i="1"/>
  <c r="BD22" i="1" s="1"/>
  <c r="BZ22" i="1"/>
  <c r="BY22" i="1"/>
  <c r="BV22" i="1"/>
  <c r="BU22" i="1"/>
  <c r="BN22" i="1"/>
  <c r="BK22" i="1"/>
  <c r="BH22" i="1"/>
  <c r="BE22" i="1"/>
  <c r="BC22" i="1"/>
  <c r="BB22" i="1"/>
  <c r="BA22" i="1"/>
  <c r="AZ22" i="1"/>
  <c r="AY22" i="1"/>
  <c r="AX22" i="1"/>
  <c r="AW22" i="1"/>
  <c r="AV22" i="1"/>
  <c r="AU22" i="1"/>
  <c r="AN22" i="1"/>
  <c r="AM22" i="1"/>
  <c r="CB21" i="1"/>
  <c r="CA21" i="1"/>
  <c r="BZ21" i="1"/>
  <c r="BG21" i="1" s="1"/>
  <c r="BI21" i="1" s="1"/>
  <c r="BY21" i="1"/>
  <c r="BV21" i="1"/>
  <c r="BU21" i="1"/>
  <c r="BW21" i="1" s="1"/>
  <c r="CC21" i="1" s="1"/>
  <c r="BN21" i="1"/>
  <c r="BK21" i="1"/>
  <c r="L21" i="3" s="1"/>
  <c r="BH21" i="1"/>
  <c r="BE21" i="1"/>
  <c r="BC21" i="1"/>
  <c r="BB21" i="1"/>
  <c r="BA21" i="1"/>
  <c r="AZ21" i="1"/>
  <c r="AY21" i="1"/>
  <c r="AX21" i="1"/>
  <c r="AW21" i="1"/>
  <c r="AV21" i="1"/>
  <c r="AU21" i="1"/>
  <c r="AN21" i="1"/>
  <c r="AM21" i="1"/>
  <c r="CB20" i="1"/>
  <c r="CA20" i="1"/>
  <c r="BZ20" i="1"/>
  <c r="BY20" i="1"/>
  <c r="BV20" i="1"/>
  <c r="BU20" i="1"/>
  <c r="BW20" i="1" s="1"/>
  <c r="CC20" i="1" s="1"/>
  <c r="O20" i="1" s="1"/>
  <c r="BN20" i="1"/>
  <c r="BK20" i="1"/>
  <c r="BH20" i="1"/>
  <c r="BE20" i="1"/>
  <c r="L20" i="2" s="1"/>
  <c r="BD20" i="1"/>
  <c r="N20" i="2" s="1"/>
  <c r="BC20" i="1"/>
  <c r="BB20" i="1"/>
  <c r="BA20" i="1"/>
  <c r="AZ20" i="1"/>
  <c r="AY20" i="1"/>
  <c r="AX20" i="1"/>
  <c r="AW20" i="1"/>
  <c r="AV20" i="1"/>
  <c r="AU20" i="1"/>
  <c r="AN20" i="1"/>
  <c r="AM20" i="1"/>
  <c r="CB19" i="1"/>
  <c r="CA19" i="1"/>
  <c r="BZ19" i="1"/>
  <c r="BY19" i="1"/>
  <c r="BV19" i="1"/>
  <c r="BU19" i="1"/>
  <c r="BW19" i="1" s="1"/>
  <c r="BN19" i="1"/>
  <c r="BK19" i="1"/>
  <c r="L19" i="3" s="1"/>
  <c r="BH19" i="1"/>
  <c r="BG19" i="1"/>
  <c r="BI19" i="1" s="1"/>
  <c r="AP19" i="1" s="1"/>
  <c r="BE19" i="1"/>
  <c r="L19" i="2" s="1"/>
  <c r="BC19" i="1"/>
  <c r="BB19" i="1"/>
  <c r="BA19" i="1"/>
  <c r="AZ19" i="1"/>
  <c r="AY19" i="1"/>
  <c r="AX19" i="1"/>
  <c r="AW19" i="1"/>
  <c r="AV19" i="1"/>
  <c r="AU19" i="1"/>
  <c r="AN19" i="1"/>
  <c r="AM19" i="1"/>
  <c r="CB18" i="1"/>
  <c r="CA18" i="1"/>
  <c r="BZ18" i="1"/>
  <c r="BY18" i="1"/>
  <c r="BV18" i="1"/>
  <c r="BU18" i="1"/>
  <c r="BW18" i="1" s="1"/>
  <c r="BN18" i="1"/>
  <c r="BK18" i="1"/>
  <c r="L18" i="3" s="1"/>
  <c r="BH18" i="1"/>
  <c r="BE18" i="1"/>
  <c r="L18" i="2" s="1"/>
  <c r="BC18" i="1"/>
  <c r="BB18" i="1"/>
  <c r="BA18" i="1"/>
  <c r="AZ18" i="1"/>
  <c r="AY18" i="1"/>
  <c r="AX18" i="1"/>
  <c r="AW18" i="1"/>
  <c r="AV18" i="1"/>
  <c r="AU18" i="1"/>
  <c r="AN18" i="1"/>
  <c r="AM18" i="1"/>
  <c r="CB17" i="1"/>
  <c r="CA17" i="1"/>
  <c r="BZ17" i="1"/>
  <c r="BG17" i="1" s="1"/>
  <c r="BI17" i="1" s="1"/>
  <c r="BY17" i="1"/>
  <c r="BV17" i="1"/>
  <c r="BW17" i="1" s="1"/>
  <c r="CC17" i="1" s="1"/>
  <c r="O17" i="1" s="1"/>
  <c r="BU17" i="1"/>
  <c r="BN17" i="1"/>
  <c r="BK17" i="1"/>
  <c r="BH17" i="1"/>
  <c r="AP17" i="1" s="1"/>
  <c r="BE17" i="1"/>
  <c r="L17" i="2" s="1"/>
  <c r="BC17" i="1"/>
  <c r="BB17" i="1"/>
  <c r="BA17" i="1"/>
  <c r="AZ17" i="1"/>
  <c r="AY17" i="1"/>
  <c r="AX17" i="1"/>
  <c r="AW17" i="1"/>
  <c r="AV17" i="1"/>
  <c r="AU17" i="1"/>
  <c r="AN17" i="1"/>
  <c r="AM17" i="1"/>
  <c r="CB16" i="1"/>
  <c r="CA16" i="1"/>
  <c r="BZ16" i="1"/>
  <c r="BY16" i="1"/>
  <c r="BV16" i="1"/>
  <c r="BU16" i="1"/>
  <c r="BW16" i="1" s="1"/>
  <c r="CC16" i="1" s="1"/>
  <c r="O16" i="1" s="1"/>
  <c r="BN16" i="1"/>
  <c r="BK16" i="1"/>
  <c r="BH16" i="1"/>
  <c r="BE16" i="1"/>
  <c r="L16" i="2" s="1"/>
  <c r="BD16" i="1"/>
  <c r="N16" i="2" s="1"/>
  <c r="BC16" i="1"/>
  <c r="BB16" i="1"/>
  <c r="BA16" i="1"/>
  <c r="AZ16" i="1"/>
  <c r="AY16" i="1"/>
  <c r="AX16" i="1"/>
  <c r="AW16" i="1"/>
  <c r="AV16" i="1"/>
  <c r="AU16" i="1"/>
  <c r="AN16" i="1"/>
  <c r="AM16" i="1"/>
  <c r="CB15" i="1"/>
  <c r="CA15" i="1"/>
  <c r="BZ15" i="1"/>
  <c r="BG15" i="1" s="1"/>
  <c r="BI15" i="1" s="1"/>
  <c r="BY15" i="1"/>
  <c r="BV15" i="1"/>
  <c r="BU15" i="1"/>
  <c r="BW15" i="1" s="1"/>
  <c r="CC15" i="1" s="1"/>
  <c r="BN15" i="1"/>
  <c r="BK15" i="1"/>
  <c r="BH15" i="1"/>
  <c r="BE15" i="1"/>
  <c r="L15" i="2" s="1"/>
  <c r="BC15" i="1"/>
  <c r="BB15" i="1"/>
  <c r="BA15" i="1"/>
  <c r="AZ15" i="1"/>
  <c r="AY15" i="1"/>
  <c r="AX15" i="1"/>
  <c r="AW15" i="1"/>
  <c r="AV15" i="1"/>
  <c r="AU15" i="1"/>
  <c r="AN15" i="1"/>
  <c r="AM15" i="1"/>
  <c r="CB14" i="1"/>
  <c r="CA14" i="1"/>
  <c r="BZ14" i="1"/>
  <c r="BY14" i="1"/>
  <c r="BV14" i="1"/>
  <c r="BU14" i="1"/>
  <c r="BW14" i="1" s="1"/>
  <c r="BN14" i="1"/>
  <c r="BK14" i="1"/>
  <c r="BH14" i="1"/>
  <c r="BE14" i="1"/>
  <c r="L14" i="2" s="1"/>
  <c r="BC14" i="1"/>
  <c r="BB14" i="1"/>
  <c r="BA14" i="1"/>
  <c r="AZ14" i="1"/>
  <c r="AY14" i="1"/>
  <c r="AX14" i="1"/>
  <c r="AW14" i="1"/>
  <c r="AV14" i="1"/>
  <c r="AU14" i="1"/>
  <c r="AN14" i="1"/>
  <c r="AM14" i="1"/>
  <c r="CB13" i="1"/>
  <c r="CA13" i="1"/>
  <c r="BZ13" i="1"/>
  <c r="BD13" i="1" s="1"/>
  <c r="BY13" i="1"/>
  <c r="BV13" i="1"/>
  <c r="BU13" i="1"/>
  <c r="BW13" i="1" s="1"/>
  <c r="CC13" i="1" s="1"/>
  <c r="BN13" i="1"/>
  <c r="BK13" i="1"/>
  <c r="BH13" i="1"/>
  <c r="BE13" i="1"/>
  <c r="L13" i="2" s="1"/>
  <c r="BC13" i="1"/>
  <c r="BB13" i="1"/>
  <c r="BA13" i="1"/>
  <c r="AZ13" i="1"/>
  <c r="AY13" i="1"/>
  <c r="AX13" i="1"/>
  <c r="AW13" i="1"/>
  <c r="AV13" i="1"/>
  <c r="AU13" i="1"/>
  <c r="AN13" i="1"/>
  <c r="AM13" i="1"/>
  <c r="CB12" i="1"/>
  <c r="CA12" i="1"/>
  <c r="BZ12" i="1"/>
  <c r="BY12" i="1"/>
  <c r="BV12" i="1"/>
  <c r="BU12" i="1"/>
  <c r="BW12" i="1" s="1"/>
  <c r="BN12" i="1"/>
  <c r="BK12" i="1"/>
  <c r="BH12" i="1"/>
  <c r="BE12" i="1"/>
  <c r="L12" i="2" s="1"/>
  <c r="BC12" i="1"/>
  <c r="BB12" i="1"/>
  <c r="BA12" i="1"/>
  <c r="AZ12" i="1"/>
  <c r="AY12" i="1"/>
  <c r="AX12" i="1"/>
  <c r="AW12" i="1"/>
  <c r="AV12" i="1"/>
  <c r="AU12" i="1"/>
  <c r="AN12" i="1"/>
  <c r="AM12" i="1"/>
  <c r="CB11" i="1"/>
  <c r="CA11" i="1"/>
  <c r="BZ11" i="1"/>
  <c r="BD11" i="1" s="1"/>
  <c r="BY11" i="1"/>
  <c r="BV11" i="1"/>
  <c r="BW11" i="1" s="1"/>
  <c r="BU11" i="1"/>
  <c r="BN11" i="1"/>
  <c r="BK11" i="1"/>
  <c r="BH11" i="1"/>
  <c r="BE11" i="1"/>
  <c r="L11" i="2" s="1"/>
  <c r="BC11" i="1"/>
  <c r="BB11" i="1"/>
  <c r="BA11" i="1"/>
  <c r="AZ11" i="1"/>
  <c r="AY11" i="1"/>
  <c r="AX11" i="1"/>
  <c r="AW11" i="1"/>
  <c r="AV11" i="1"/>
  <c r="AU11" i="1"/>
  <c r="AN11" i="1"/>
  <c r="AM11" i="1"/>
  <c r="CB10" i="1"/>
  <c r="CA10" i="1"/>
  <c r="BZ10" i="1"/>
  <c r="BG10" i="1" s="1"/>
  <c r="BI10" i="1" s="1"/>
  <c r="BY10" i="1"/>
  <c r="BV10" i="1"/>
  <c r="BU10" i="1"/>
  <c r="BW10" i="1" s="1"/>
  <c r="CC10" i="1" s="1"/>
  <c r="BN10" i="1"/>
  <c r="BK10" i="1"/>
  <c r="BH10" i="1"/>
  <c r="BE10" i="1"/>
  <c r="L10" i="2" s="1"/>
  <c r="BC10" i="1"/>
  <c r="BB10" i="1"/>
  <c r="BA10" i="1"/>
  <c r="AZ10" i="1"/>
  <c r="AY10" i="1"/>
  <c r="AX10" i="1"/>
  <c r="AW10" i="1"/>
  <c r="AV10" i="1"/>
  <c r="AU10" i="1"/>
  <c r="AN10" i="1"/>
  <c r="AM10" i="1"/>
  <c r="CB9" i="1"/>
  <c r="CA9" i="1"/>
  <c r="BZ9" i="1"/>
  <c r="BY9" i="1"/>
  <c r="BV9" i="1"/>
  <c r="BU9" i="1"/>
  <c r="BW9" i="1" s="1"/>
  <c r="CC9" i="1" s="1"/>
  <c r="O9" i="1" s="1"/>
  <c r="BN9" i="1"/>
  <c r="BK9" i="1"/>
  <c r="BH9" i="1"/>
  <c r="BE9" i="1"/>
  <c r="L9" i="2" s="1"/>
  <c r="BC9" i="1"/>
  <c r="BB9" i="1"/>
  <c r="BA9" i="1"/>
  <c r="AZ9" i="1"/>
  <c r="AY9" i="1"/>
  <c r="AX9" i="1"/>
  <c r="AW9" i="1"/>
  <c r="AV9" i="1"/>
  <c r="AU9" i="1"/>
  <c r="AN9" i="1"/>
  <c r="AM9" i="1"/>
  <c r="CB8" i="1"/>
  <c r="CA8" i="1"/>
  <c r="BG8" i="1" s="1"/>
  <c r="BI8" i="1" s="1"/>
  <c r="BZ8" i="1"/>
  <c r="BY8" i="1"/>
  <c r="BV8" i="1"/>
  <c r="BU8" i="1"/>
  <c r="BW8" i="1" s="1"/>
  <c r="CC8" i="1" s="1"/>
  <c r="BN8" i="1"/>
  <c r="BK8" i="1"/>
  <c r="BH8" i="1"/>
  <c r="BE8" i="1"/>
  <c r="L8" i="2" s="1"/>
  <c r="BC8" i="1"/>
  <c r="BB8" i="1"/>
  <c r="BA8" i="1"/>
  <c r="AZ8" i="1"/>
  <c r="AY8" i="1"/>
  <c r="AX8" i="1"/>
  <c r="AW8" i="1"/>
  <c r="AV8" i="1"/>
  <c r="AU8" i="1"/>
  <c r="AN8" i="1"/>
  <c r="AM8" i="1"/>
  <c r="CB7" i="1"/>
  <c r="CA7" i="1"/>
  <c r="BZ7" i="1"/>
  <c r="BG7" i="1" s="1"/>
  <c r="BI7" i="1" s="1"/>
  <c r="BY7" i="1"/>
  <c r="BV7" i="1"/>
  <c r="BU7" i="1"/>
  <c r="BW7" i="1" s="1"/>
  <c r="CC7" i="1" s="1"/>
  <c r="O7" i="1" s="1"/>
  <c r="BN7" i="1"/>
  <c r="BK7" i="1"/>
  <c r="BH7" i="1"/>
  <c r="BE7" i="1"/>
  <c r="L7" i="2" s="1"/>
  <c r="BC7" i="1"/>
  <c r="BB7" i="1"/>
  <c r="BA7" i="1"/>
  <c r="AZ7" i="1"/>
  <c r="AY7" i="1"/>
  <c r="AX7" i="1"/>
  <c r="AW7" i="1"/>
  <c r="AV7" i="1"/>
  <c r="AU7" i="1"/>
  <c r="AN7" i="1"/>
  <c r="AM7" i="1"/>
  <c r="CB6" i="1"/>
  <c r="CA6" i="1"/>
  <c r="BZ6" i="1"/>
  <c r="BD6" i="1" s="1"/>
  <c r="BY6" i="1"/>
  <c r="BV6" i="1"/>
  <c r="BU6" i="1"/>
  <c r="BW6" i="1" s="1"/>
  <c r="BN6" i="1"/>
  <c r="BK6" i="1"/>
  <c r="BH6" i="1"/>
  <c r="BE6" i="1"/>
  <c r="L6" i="2" s="1"/>
  <c r="BC6" i="1"/>
  <c r="BB6" i="1"/>
  <c r="BA6" i="1"/>
  <c r="AZ6" i="1"/>
  <c r="AY6" i="1"/>
  <c r="AX6" i="1"/>
  <c r="AW6" i="1"/>
  <c r="AV6" i="1"/>
  <c r="AU6" i="1"/>
  <c r="AN6" i="1"/>
  <c r="AM6" i="1"/>
  <c r="CB5" i="1"/>
  <c r="CA5" i="1"/>
  <c r="BZ5" i="1"/>
  <c r="BD5" i="1" s="1"/>
  <c r="BY5" i="1"/>
  <c r="BV5" i="1"/>
  <c r="BU5" i="1"/>
  <c r="BW5" i="1" s="1"/>
  <c r="CC5" i="1" s="1"/>
  <c r="BN5" i="1"/>
  <c r="BK5" i="1"/>
  <c r="BH5" i="1"/>
  <c r="BE5" i="1"/>
  <c r="L5" i="2" s="1"/>
  <c r="BC5" i="1"/>
  <c r="BB5" i="1"/>
  <c r="BA5" i="1"/>
  <c r="AZ5" i="1"/>
  <c r="AY5" i="1"/>
  <c r="AX5" i="1"/>
  <c r="AW5" i="1"/>
  <c r="AV5" i="1"/>
  <c r="AU5" i="1"/>
  <c r="AN5" i="1"/>
  <c r="AM5" i="1"/>
  <c r="CB4" i="1"/>
  <c r="CA4" i="1"/>
  <c r="BZ4" i="1"/>
  <c r="BG4" i="1" s="1"/>
  <c r="BI4" i="1" s="1"/>
  <c r="BY4" i="1"/>
  <c r="BW4" i="1"/>
  <c r="BV4" i="1"/>
  <c r="BU4" i="1"/>
  <c r="BN4" i="1"/>
  <c r="BK4" i="1"/>
  <c r="BH4" i="1"/>
  <c r="BE4" i="1"/>
  <c r="L4" i="2" s="1"/>
  <c r="BC4" i="1"/>
  <c r="BB4" i="1"/>
  <c r="BA4" i="1"/>
  <c r="AZ4" i="1"/>
  <c r="AY4" i="1"/>
  <c r="AX4" i="1"/>
  <c r="AW4" i="1"/>
  <c r="AV4" i="1"/>
  <c r="AU4" i="1"/>
  <c r="AN4" i="1"/>
  <c r="AM4" i="1"/>
  <c r="CB3" i="1"/>
  <c r="CA3" i="1"/>
  <c r="BZ3" i="1"/>
  <c r="BD3" i="1" s="1"/>
  <c r="BY3" i="1"/>
  <c r="BV3" i="1"/>
  <c r="BU3" i="1"/>
  <c r="BW3" i="1" s="1"/>
  <c r="BN3" i="1"/>
  <c r="BK3" i="1"/>
  <c r="BH3" i="1"/>
  <c r="BG3" i="1"/>
  <c r="BI3" i="1" s="1"/>
  <c r="BE3" i="1"/>
  <c r="BC3" i="1"/>
  <c r="BB3" i="1"/>
  <c r="BA3" i="1"/>
  <c r="AZ3" i="1"/>
  <c r="AY3" i="1"/>
  <c r="AX3" i="1"/>
  <c r="AW3" i="1"/>
  <c r="AV3" i="1"/>
  <c r="AU3" i="1"/>
  <c r="AN3" i="1"/>
  <c r="AM3" i="1"/>
  <c r="N27" i="2" l="1"/>
  <c r="BF27" i="1"/>
  <c r="M27" i="2" s="1"/>
  <c r="BG13" i="1"/>
  <c r="BI13" i="1" s="1"/>
  <c r="AP13" i="1" s="1"/>
  <c r="BG27" i="1"/>
  <c r="BI27" i="1" s="1"/>
  <c r="CD34" i="1"/>
  <c r="CF34" i="1" s="1"/>
  <c r="BG12" i="1"/>
  <c r="BI12" i="1" s="1"/>
  <c r="AP12" i="1" s="1"/>
  <c r="BG22" i="1"/>
  <c r="BI22" i="1" s="1"/>
  <c r="BW24" i="1"/>
  <c r="AP27" i="1"/>
  <c r="BD31" i="1"/>
  <c r="BW32" i="1"/>
  <c r="CC32" i="1" s="1"/>
  <c r="BW38" i="1"/>
  <c r="BW41" i="1"/>
  <c r="BG43" i="1"/>
  <c r="BI43" i="1" s="1"/>
  <c r="BD46" i="1"/>
  <c r="BW51" i="1"/>
  <c r="CC51" i="1" s="1"/>
  <c r="CD51" i="1" s="1"/>
  <c r="CF51" i="1" s="1"/>
  <c r="BW54" i="1"/>
  <c r="CC54" i="1" s="1"/>
  <c r="O54" i="1" s="1"/>
  <c r="AP43" i="1"/>
  <c r="BD44" i="1"/>
  <c r="BD45" i="1"/>
  <c r="BW50" i="1"/>
  <c r="CC50" i="1" s="1"/>
  <c r="O50" i="1" s="1"/>
  <c r="BW52" i="1"/>
  <c r="CC52" i="1" s="1"/>
  <c r="BW53" i="1"/>
  <c r="CC53" i="1" s="1"/>
  <c r="BW65" i="1"/>
  <c r="CC65" i="1" s="1"/>
  <c r="O65" i="1" s="1"/>
  <c r="AP59" i="1"/>
  <c r="BM61" i="1"/>
  <c r="BO61" i="1" s="1"/>
  <c r="BG5" i="1"/>
  <c r="BI5" i="1" s="1"/>
  <c r="AP5" i="1" s="1"/>
  <c r="CD30" i="1"/>
  <c r="CF30" i="1" s="1"/>
  <c r="CD42" i="1"/>
  <c r="CF42" i="1" s="1"/>
  <c r="CC43" i="1"/>
  <c r="CD43" i="1" s="1"/>
  <c r="CF43" i="1" s="1"/>
  <c r="BF16" i="1"/>
  <c r="M16" i="2" s="1"/>
  <c r="CC27" i="1"/>
  <c r="O27" i="1" s="1"/>
  <c r="AP39" i="1"/>
  <c r="CC58" i="1"/>
  <c r="O58" i="1" s="1"/>
  <c r="BD59" i="1"/>
  <c r="AS61" i="1"/>
  <c r="BG29" i="1"/>
  <c r="BI29" i="1" s="1"/>
  <c r="AP29" i="1" s="1"/>
  <c r="AP44" i="1"/>
  <c r="BD8" i="1"/>
  <c r="AP15" i="1"/>
  <c r="CC19" i="1"/>
  <c r="CD19" i="1" s="1"/>
  <c r="CF19" i="1" s="1"/>
  <c r="BD38" i="1"/>
  <c r="CC41" i="1"/>
  <c r="O41" i="1" s="1"/>
  <c r="CC46" i="1"/>
  <c r="O46" i="1" s="1"/>
  <c r="BD54" i="1"/>
  <c r="CC61" i="1"/>
  <c r="O61" i="1" s="1"/>
  <c r="AP47" i="1"/>
  <c r="BD39" i="1"/>
  <c r="AP45" i="1"/>
  <c r="AP7" i="1"/>
  <c r="BG20" i="1"/>
  <c r="BI20" i="1" s="1"/>
  <c r="BW22" i="1"/>
  <c r="BG23" i="1"/>
  <c r="BI23" i="1" s="1"/>
  <c r="BW25" i="1"/>
  <c r="CC25" i="1" s="1"/>
  <c r="O25" i="1" s="1"/>
  <c r="BD36" i="1"/>
  <c r="BD37" i="1"/>
  <c r="CC44" i="1"/>
  <c r="O44" i="1" s="1"/>
  <c r="CC45" i="1"/>
  <c r="O45" i="1" s="1"/>
  <c r="AP51" i="1"/>
  <c r="BD52" i="1"/>
  <c r="BD53" i="1"/>
  <c r="BG11" i="1"/>
  <c r="BI11" i="1" s="1"/>
  <c r="AP11" i="1" s="1"/>
  <c r="AP10" i="1"/>
  <c r="CC11" i="1"/>
  <c r="O11" i="1" s="1"/>
  <c r="CC3" i="1"/>
  <c r="O3" i="1" s="1"/>
  <c r="BD19" i="1"/>
  <c r="BD26" i="1"/>
  <c r="CD28" i="1"/>
  <c r="CF28" i="1" s="1"/>
  <c r="BW29" i="1"/>
  <c r="BG31" i="1"/>
  <c r="BI31" i="1" s="1"/>
  <c r="AP31" i="1" s="1"/>
  <c r="AP36" i="1"/>
  <c r="BW39" i="1"/>
  <c r="CD50" i="1"/>
  <c r="CF50" i="1" s="1"/>
  <c r="AP52" i="1"/>
  <c r="AP53" i="1"/>
  <c r="BG56" i="1"/>
  <c r="BI56" i="1" s="1"/>
  <c r="AP56" i="1" s="1"/>
  <c r="BW59" i="1"/>
  <c r="CC59" i="1" s="1"/>
  <c r="O59" i="1" s="1"/>
  <c r="BD65" i="1"/>
  <c r="BM8" i="1"/>
  <c r="BO8" i="1" s="1"/>
  <c r="O8" i="1"/>
  <c r="AP4" i="1"/>
  <c r="N11" i="2"/>
  <c r="BF11" i="1"/>
  <c r="M11" i="2" s="1"/>
  <c r="B3" i="3"/>
  <c r="B3" i="2"/>
  <c r="N13" i="2"/>
  <c r="BF13" i="1"/>
  <c r="O21" i="1"/>
  <c r="BJ21" i="1"/>
  <c r="O23" i="1"/>
  <c r="BM23" i="1"/>
  <c r="BO23" i="1" s="1"/>
  <c r="D6" i="3"/>
  <c r="D6" i="2"/>
  <c r="O10" i="1"/>
  <c r="BJ10" i="1"/>
  <c r="N5" i="2"/>
  <c r="BF5" i="1"/>
  <c r="AP3" i="1"/>
  <c r="O19" i="1"/>
  <c r="L4" i="3"/>
  <c r="CC6" i="1"/>
  <c r="O6" i="1" s="1"/>
  <c r="BG6" i="1"/>
  <c r="BI6" i="1" s="1"/>
  <c r="AP6" i="1" s="1"/>
  <c r="BJ7" i="1"/>
  <c r="AP8" i="1"/>
  <c r="CD21" i="1"/>
  <c r="CF21" i="1" s="1"/>
  <c r="AP48" i="1"/>
  <c r="O5" i="1"/>
  <c r="BJ5" i="1"/>
  <c r="N31" i="2"/>
  <c r="BF31" i="1"/>
  <c r="M31" i="2" s="1"/>
  <c r="BJ15" i="1"/>
  <c r="O15" i="1"/>
  <c r="L3" i="2"/>
  <c r="L12" i="3"/>
  <c r="N3" i="2"/>
  <c r="BF3" i="1"/>
  <c r="M3" i="2" s="1"/>
  <c r="F8" i="3"/>
  <c r="F8" i="2"/>
  <c r="C9" i="3"/>
  <c r="C9" i="2"/>
  <c r="K9" i="3"/>
  <c r="K9" i="2"/>
  <c r="O13" i="1"/>
  <c r="BJ13" i="1"/>
  <c r="J4" i="3"/>
  <c r="J4" i="2"/>
  <c r="CC4" i="1"/>
  <c r="O4" i="1" s="1"/>
  <c r="N6" i="2"/>
  <c r="BF6" i="1"/>
  <c r="M6" i="2" s="1"/>
  <c r="BM17" i="1"/>
  <c r="BO17" i="1" s="1"/>
  <c r="BM7" i="1"/>
  <c r="BO7" i="1" s="1"/>
  <c r="E3" i="3"/>
  <c r="E3" i="2"/>
  <c r="G5" i="3"/>
  <c r="G5" i="2"/>
  <c r="BJ9" i="1"/>
  <c r="BJ8" i="1"/>
  <c r="H18" i="3"/>
  <c r="H18" i="2"/>
  <c r="D22" i="3"/>
  <c r="D22" i="2"/>
  <c r="N22" i="2"/>
  <c r="BF22" i="1"/>
  <c r="M22" i="2" s="1"/>
  <c r="G26" i="3"/>
  <c r="G26" i="2"/>
  <c r="L26" i="3"/>
  <c r="BJ27" i="1"/>
  <c r="BM27" i="1"/>
  <c r="BO27" i="1" s="1"/>
  <c r="CD27" i="1"/>
  <c r="CF27" i="1" s="1"/>
  <c r="C28" i="3"/>
  <c r="C28" i="2"/>
  <c r="K28" i="3"/>
  <c r="K28" i="2"/>
  <c r="B29" i="3"/>
  <c r="B29" i="2"/>
  <c r="D30" i="3"/>
  <c r="D30" i="2"/>
  <c r="N30" i="2"/>
  <c r="BF30" i="1"/>
  <c r="M30" i="2" s="1"/>
  <c r="O35" i="1"/>
  <c r="BM35" i="1"/>
  <c r="BO35" i="1" s="1"/>
  <c r="AS35" i="1" s="1"/>
  <c r="F37" i="3"/>
  <c r="F37" i="2"/>
  <c r="F38" i="3"/>
  <c r="F38" i="2"/>
  <c r="N39" i="2"/>
  <c r="BF39" i="1"/>
  <c r="AS43" i="1"/>
  <c r="O43" i="1"/>
  <c r="BM43" i="1"/>
  <c r="BO43" i="1" s="1"/>
  <c r="F45" i="3"/>
  <c r="F45" i="2"/>
  <c r="F46" i="3"/>
  <c r="F46" i="2"/>
  <c r="BD47" i="1"/>
  <c r="CC47" i="1"/>
  <c r="O47" i="1" s="1"/>
  <c r="O51" i="1"/>
  <c r="BM51" i="1"/>
  <c r="BO51" i="1" s="1"/>
  <c r="AS51" i="1" s="1"/>
  <c r="F53" i="3"/>
  <c r="F53" i="2"/>
  <c r="H21" i="3"/>
  <c r="H21" i="2"/>
  <c r="BG32" i="1"/>
  <c r="BI32" i="1" s="1"/>
  <c r="AP32" i="1" s="1"/>
  <c r="BD32" i="1"/>
  <c r="C34" i="3"/>
  <c r="C34" i="2"/>
  <c r="K34" i="3"/>
  <c r="K34" i="2"/>
  <c r="CD35" i="1"/>
  <c r="CF35" i="1" s="1"/>
  <c r="AP37" i="1"/>
  <c r="AP38" i="1"/>
  <c r="BD40" i="1"/>
  <c r="CC40" i="1"/>
  <c r="O40" i="1" s="1"/>
  <c r="BG40" i="1"/>
  <c r="BI40" i="1" s="1"/>
  <c r="AP40" i="1" s="1"/>
  <c r="C42" i="3"/>
  <c r="C42" i="2"/>
  <c r="K42" i="3"/>
  <c r="K42" i="2"/>
  <c r="G46" i="3"/>
  <c r="G46" i="2"/>
  <c r="AP46" i="1"/>
  <c r="F47" i="3"/>
  <c r="F47" i="2"/>
  <c r="BD48" i="1"/>
  <c r="CC48" i="1"/>
  <c r="O48" i="1" s="1"/>
  <c r="BG48" i="1"/>
  <c r="BI48" i="1" s="1"/>
  <c r="G54" i="3"/>
  <c r="G54" i="2"/>
  <c r="AP54" i="1"/>
  <c r="G21" i="3"/>
  <c r="G21" i="2"/>
  <c r="C12" i="3"/>
  <c r="C12" i="2"/>
  <c r="BD49" i="1"/>
  <c r="BG49" i="1"/>
  <c r="BI49" i="1" s="1"/>
  <c r="AP49" i="1" s="1"/>
  <c r="H23" i="3"/>
  <c r="H23" i="2"/>
  <c r="C4" i="3"/>
  <c r="C4" i="2"/>
  <c r="B6" i="3"/>
  <c r="B6" i="2"/>
  <c r="J7" i="3"/>
  <c r="J7" i="2"/>
  <c r="BD9" i="1"/>
  <c r="BM9" i="1"/>
  <c r="BO9" i="1" s="1"/>
  <c r="AS9" i="1" s="1"/>
  <c r="K12" i="3"/>
  <c r="K12" i="2"/>
  <c r="CD15" i="1"/>
  <c r="CF15" i="1" s="1"/>
  <c r="BJ17" i="1"/>
  <c r="E20" i="3"/>
  <c r="E20" i="2"/>
  <c r="E22" i="3"/>
  <c r="E22" i="2"/>
  <c r="AP23" i="1"/>
  <c r="H26" i="3"/>
  <c r="H26" i="2"/>
  <c r="E30" i="3"/>
  <c r="E30" i="2"/>
  <c r="CC31" i="1"/>
  <c r="G3" i="3"/>
  <c r="G3" i="2"/>
  <c r="BD4" i="1"/>
  <c r="F6" i="2"/>
  <c r="F6" i="3"/>
  <c r="C7" i="3"/>
  <c r="C7" i="2"/>
  <c r="K7" i="3"/>
  <c r="K7" i="2"/>
  <c r="B9" i="3"/>
  <c r="B9" i="2"/>
  <c r="E9" i="3"/>
  <c r="E9" i="2"/>
  <c r="J10" i="3"/>
  <c r="J10" i="2"/>
  <c r="CD10" i="1"/>
  <c r="CF10" i="1" s="1"/>
  <c r="G11" i="3"/>
  <c r="G11" i="2"/>
  <c r="BD12" i="1"/>
  <c r="F14" i="3"/>
  <c r="F14" i="2"/>
  <c r="C15" i="3"/>
  <c r="C15" i="2"/>
  <c r="CD16" i="1"/>
  <c r="CF16" i="1" s="1"/>
  <c r="BF20" i="1"/>
  <c r="M20" i="2" s="1"/>
  <c r="AP22" i="1"/>
  <c r="CC29" i="1"/>
  <c r="O29" i="1" s="1"/>
  <c r="BD33" i="1"/>
  <c r="BG33" i="1"/>
  <c r="BI33" i="1" s="1"/>
  <c r="AP33" i="1" s="1"/>
  <c r="B36" i="3"/>
  <c r="B36" i="2"/>
  <c r="B38" i="3"/>
  <c r="B38" i="2"/>
  <c r="L39" i="3"/>
  <c r="L40" i="3"/>
  <c r="G47" i="3"/>
  <c r="G47" i="2"/>
  <c r="E4" i="3"/>
  <c r="E4" i="2"/>
  <c r="J13" i="3"/>
  <c r="J13" i="2"/>
  <c r="L13" i="3"/>
  <c r="CD13" i="1"/>
  <c r="CF13" i="1" s="1"/>
  <c r="G14" i="3"/>
  <c r="G14" i="2"/>
  <c r="BG14" i="1"/>
  <c r="BI14" i="1" s="1"/>
  <c r="AP14" i="1" s="1"/>
  <c r="D15" i="3"/>
  <c r="D15" i="2"/>
  <c r="BD15" i="1"/>
  <c r="BM15" i="1"/>
  <c r="BO15" i="1" s="1"/>
  <c r="L16" i="3"/>
  <c r="BG16" i="1"/>
  <c r="BI16" i="1" s="1"/>
  <c r="AP16" i="1" s="1"/>
  <c r="J17" i="3"/>
  <c r="J17" i="2"/>
  <c r="CC18" i="1"/>
  <c r="O18" i="1" s="1"/>
  <c r="C19" i="3"/>
  <c r="C19" i="2"/>
  <c r="K19" i="3"/>
  <c r="K19" i="2"/>
  <c r="B20" i="3"/>
  <c r="B20" i="2"/>
  <c r="L22" i="3"/>
  <c r="C23" i="3"/>
  <c r="C23" i="2"/>
  <c r="K23" i="3"/>
  <c r="K23" i="2"/>
  <c r="G24" i="3"/>
  <c r="G24" i="2"/>
  <c r="BJ25" i="1"/>
  <c r="CD25" i="1"/>
  <c r="CF25" i="1" s="1"/>
  <c r="BM25" i="1"/>
  <c r="BO25" i="1" s="1"/>
  <c r="CC26" i="1"/>
  <c r="H27" i="3"/>
  <c r="H27" i="2"/>
  <c r="F28" i="3"/>
  <c r="F28" i="2"/>
  <c r="AP28" i="1"/>
  <c r="C31" i="3"/>
  <c r="C31" i="2"/>
  <c r="K31" i="3"/>
  <c r="K31" i="2"/>
  <c r="C35" i="3"/>
  <c r="C35" i="2"/>
  <c r="K35" i="3"/>
  <c r="K35" i="2"/>
  <c r="B37" i="3"/>
  <c r="B37" i="2"/>
  <c r="H39" i="3"/>
  <c r="H39" i="2"/>
  <c r="G40" i="3"/>
  <c r="G40" i="2"/>
  <c r="BM40" i="1"/>
  <c r="BO40" i="1" s="1"/>
  <c r="C43" i="3"/>
  <c r="C43" i="2"/>
  <c r="K43" i="3"/>
  <c r="K43" i="2"/>
  <c r="H47" i="3"/>
  <c r="H47" i="2"/>
  <c r="G48" i="3"/>
  <c r="G48" i="2"/>
  <c r="BM48" i="1"/>
  <c r="BO48" i="1" s="1"/>
  <c r="BD14" i="1"/>
  <c r="F16" i="3"/>
  <c r="F16" i="2"/>
  <c r="H55" i="3"/>
  <c r="H55" i="2"/>
  <c r="L5" i="3"/>
  <c r="AO6" i="1"/>
  <c r="D7" i="3"/>
  <c r="D7" i="2"/>
  <c r="BD7" i="1"/>
  <c r="F9" i="3"/>
  <c r="F9" i="2"/>
  <c r="K10" i="3"/>
  <c r="K10" i="2"/>
  <c r="B12" i="3"/>
  <c r="B12" i="2"/>
  <c r="C5" i="3"/>
  <c r="C5" i="2"/>
  <c r="J8" i="3"/>
  <c r="J8" i="2"/>
  <c r="CD8" i="1"/>
  <c r="CF8" i="1" s="1"/>
  <c r="G9" i="3"/>
  <c r="G9" i="2"/>
  <c r="BG9" i="1"/>
  <c r="BI9" i="1" s="1"/>
  <c r="AP9" i="1" s="1"/>
  <c r="BD10" i="1"/>
  <c r="BM10" i="1"/>
  <c r="BO10" i="1" s="1"/>
  <c r="BJ11" i="1"/>
  <c r="F12" i="3"/>
  <c r="F12" i="2"/>
  <c r="CC12" i="1"/>
  <c r="O12" i="1" s="1"/>
  <c r="C13" i="3"/>
  <c r="C13" i="2"/>
  <c r="K13" i="3"/>
  <c r="K13" i="2"/>
  <c r="B15" i="3"/>
  <c r="B15" i="2"/>
  <c r="E15" i="3"/>
  <c r="E15" i="2"/>
  <c r="AS15" i="1"/>
  <c r="J16" i="3"/>
  <c r="J16" i="2"/>
  <c r="C17" i="3"/>
  <c r="C17" i="2"/>
  <c r="K17" i="3"/>
  <c r="K17" i="2"/>
  <c r="D18" i="3"/>
  <c r="D18" i="2"/>
  <c r="BD18" i="1"/>
  <c r="L20" i="3"/>
  <c r="AP20" i="1"/>
  <c r="B22" i="3"/>
  <c r="B22" i="2"/>
  <c r="D23" i="3"/>
  <c r="D23" i="2"/>
  <c r="BD23" i="1"/>
  <c r="BD25" i="1"/>
  <c r="BG25" i="1"/>
  <c r="BI25" i="1" s="1"/>
  <c r="AP25" i="1" s="1"/>
  <c r="AO27" i="1"/>
  <c r="G28" i="3"/>
  <c r="G28" i="2"/>
  <c r="BD28" i="1"/>
  <c r="D29" i="3"/>
  <c r="D29" i="2"/>
  <c r="BD29" i="1"/>
  <c r="B30" i="3"/>
  <c r="B30" i="2"/>
  <c r="D31" i="3"/>
  <c r="D31" i="2"/>
  <c r="CC33" i="1"/>
  <c r="O33" i="1" s="1"/>
  <c r="L35" i="2"/>
  <c r="C36" i="3"/>
  <c r="C36" i="2"/>
  <c r="K36" i="3"/>
  <c r="K36" i="2"/>
  <c r="CC37" i="1"/>
  <c r="O37" i="1" s="1"/>
  <c r="CC38" i="1"/>
  <c r="O38" i="1" s="1"/>
  <c r="H40" i="3"/>
  <c r="H40" i="2"/>
  <c r="BM41" i="1"/>
  <c r="BO41" i="1" s="1"/>
  <c r="AS41" i="1" s="1"/>
  <c r="L43" i="2"/>
  <c r="H48" i="3"/>
  <c r="H48" i="2"/>
  <c r="CC49" i="1"/>
  <c r="O49" i="1" s="1"/>
  <c r="L51" i="2"/>
  <c r="O53" i="1"/>
  <c r="CD53" i="1"/>
  <c r="CF53" i="1" s="1"/>
  <c r="E11" i="3"/>
  <c r="E11" i="2"/>
  <c r="E6" i="2"/>
  <c r="E6" i="3"/>
  <c r="L7" i="3"/>
  <c r="L15" i="3"/>
  <c r="CD17" i="1"/>
  <c r="CF17" i="1" s="1"/>
  <c r="L30" i="2"/>
  <c r="AO30" i="1"/>
  <c r="L10" i="3"/>
  <c r="AO11" i="1"/>
  <c r="D12" i="2"/>
  <c r="D12" i="3"/>
  <c r="BM12" i="1"/>
  <c r="BO12" i="1" s="1"/>
  <c r="AS12" i="1" s="1"/>
  <c r="CC14" i="1"/>
  <c r="O14" i="1" s="1"/>
  <c r="K15" i="3"/>
  <c r="K15" i="2"/>
  <c r="BJ16" i="1"/>
  <c r="L17" i="3"/>
  <c r="J19" i="3"/>
  <c r="J19" i="2"/>
  <c r="F20" i="3"/>
  <c r="F20" i="2"/>
  <c r="BJ20" i="1"/>
  <c r="CD20" i="1"/>
  <c r="CF20" i="1" s="1"/>
  <c r="AS23" i="1"/>
  <c r="CC24" i="1"/>
  <c r="O24" i="1" s="1"/>
  <c r="BD24" i="1"/>
  <c r="AP26" i="1"/>
  <c r="G27" i="3"/>
  <c r="G27" i="2"/>
  <c r="E28" i="3"/>
  <c r="E28" i="2"/>
  <c r="AP30" i="1"/>
  <c r="G39" i="3"/>
  <c r="G39" i="2"/>
  <c r="BD41" i="1"/>
  <c r="BG41" i="1"/>
  <c r="BI41" i="1" s="1"/>
  <c r="AP41" i="1" s="1"/>
  <c r="CD41" i="1"/>
  <c r="CF41" i="1" s="1"/>
  <c r="B4" i="3"/>
  <c r="B4" i="2"/>
  <c r="J5" i="3"/>
  <c r="J5" i="2"/>
  <c r="CD5" i="1"/>
  <c r="CF5" i="1" s="1"/>
  <c r="G6" i="3"/>
  <c r="G6" i="2"/>
  <c r="C10" i="3"/>
  <c r="C10" i="2"/>
  <c r="E12" i="3"/>
  <c r="E12" i="2"/>
  <c r="BJ3" i="1"/>
  <c r="F4" i="3"/>
  <c r="F4" i="2"/>
  <c r="K5" i="3"/>
  <c r="K5" i="2"/>
  <c r="B7" i="3"/>
  <c r="B7" i="2"/>
  <c r="E7" i="3"/>
  <c r="E7" i="2"/>
  <c r="AS7" i="1"/>
  <c r="L8" i="3"/>
  <c r="D10" i="3"/>
  <c r="D10" i="2"/>
  <c r="J3" i="3"/>
  <c r="J3" i="2"/>
  <c r="L3" i="3"/>
  <c r="CD3" i="1"/>
  <c r="CF3" i="1" s="1"/>
  <c r="G4" i="3"/>
  <c r="G4" i="2"/>
  <c r="D5" i="3"/>
  <c r="D5" i="2"/>
  <c r="BM5" i="1"/>
  <c r="BO5" i="1" s="1"/>
  <c r="AS5" i="1" s="1"/>
  <c r="F7" i="3"/>
  <c r="F7" i="2"/>
  <c r="C8" i="3"/>
  <c r="C8" i="2"/>
  <c r="K8" i="3"/>
  <c r="K8" i="2"/>
  <c r="B10" i="3"/>
  <c r="B10" i="2"/>
  <c r="E10" i="3"/>
  <c r="E10" i="2"/>
  <c r="AS10" i="1"/>
  <c r="J11" i="3"/>
  <c r="J11" i="2"/>
  <c r="L11" i="3"/>
  <c r="CD11" i="1"/>
  <c r="CF11" i="1" s="1"/>
  <c r="G12" i="3"/>
  <c r="G12" i="2"/>
  <c r="D13" i="3"/>
  <c r="D13" i="2"/>
  <c r="BM13" i="1"/>
  <c r="BO13" i="1" s="1"/>
  <c r="AS13" i="1" s="1"/>
  <c r="F15" i="3"/>
  <c r="F15" i="2"/>
  <c r="C16" i="3"/>
  <c r="C16" i="2"/>
  <c r="K16" i="3"/>
  <c r="K16" i="2"/>
  <c r="BM16" i="1"/>
  <c r="BO16" i="1" s="1"/>
  <c r="D17" i="3"/>
  <c r="D17" i="2"/>
  <c r="BD17" i="1"/>
  <c r="AS17" i="1"/>
  <c r="E18" i="3"/>
  <c r="E18" i="2"/>
  <c r="BM20" i="1"/>
  <c r="BO20" i="1" s="1"/>
  <c r="L21" i="2"/>
  <c r="CC22" i="1"/>
  <c r="O22" i="1" s="1"/>
  <c r="BJ23" i="1"/>
  <c r="CD23" i="1"/>
  <c r="CF23" i="1" s="1"/>
  <c r="BM24" i="1"/>
  <c r="BO24" i="1" s="1"/>
  <c r="F25" i="3"/>
  <c r="F25" i="2"/>
  <c r="BJ26" i="1"/>
  <c r="BM26" i="1"/>
  <c r="BO26" i="1" s="1"/>
  <c r="AS26" i="1" s="1"/>
  <c r="AS27" i="1"/>
  <c r="B28" i="3"/>
  <c r="B28" i="2"/>
  <c r="E29" i="3"/>
  <c r="E29" i="2"/>
  <c r="L29" i="2"/>
  <c r="BM30" i="1"/>
  <c r="BO30" i="1" s="1"/>
  <c r="AS30" i="1" s="1"/>
  <c r="H33" i="3"/>
  <c r="H33" i="2"/>
  <c r="BM34" i="1"/>
  <c r="BO34" i="1" s="1"/>
  <c r="AP35" i="1"/>
  <c r="L36" i="2"/>
  <c r="H41" i="3"/>
  <c r="H41" i="2"/>
  <c r="BM42" i="1"/>
  <c r="BO42" i="1" s="1"/>
  <c r="L44" i="2"/>
  <c r="H49" i="3"/>
  <c r="H49" i="2"/>
  <c r="BM50" i="1"/>
  <c r="BO50" i="1" s="1"/>
  <c r="L52" i="2"/>
  <c r="O57" i="1"/>
  <c r="BM57" i="1"/>
  <c r="BO57" i="1" s="1"/>
  <c r="F27" i="3"/>
  <c r="F27" i="2"/>
  <c r="F39" i="3"/>
  <c r="F39" i="2"/>
  <c r="D4" i="3"/>
  <c r="D4" i="2"/>
  <c r="L6" i="3"/>
  <c r="CD6" i="1"/>
  <c r="CF6" i="1" s="1"/>
  <c r="G7" i="3"/>
  <c r="G7" i="2"/>
  <c r="D8" i="3"/>
  <c r="D8" i="2"/>
  <c r="J14" i="3"/>
  <c r="J14" i="2"/>
  <c r="D16" i="3"/>
  <c r="D16" i="2"/>
  <c r="BM21" i="1"/>
  <c r="BO21" i="1" s="1"/>
  <c r="AS21" i="1" s="1"/>
  <c r="BJ53" i="1"/>
  <c r="BD55" i="1"/>
  <c r="CC55" i="1"/>
  <c r="O55" i="1" s="1"/>
  <c r="BM55" i="1"/>
  <c r="BO55" i="1" s="1"/>
  <c r="BG55" i="1"/>
  <c r="BI55" i="1" s="1"/>
  <c r="AP55" i="1" s="1"/>
  <c r="AS57" i="1"/>
  <c r="B11" i="3"/>
  <c r="B11" i="2"/>
  <c r="J12" i="3"/>
  <c r="J12" i="2"/>
  <c r="G13" i="3"/>
  <c r="G13" i="2"/>
  <c r="D14" i="3"/>
  <c r="D14" i="2"/>
  <c r="D20" i="3"/>
  <c r="D20" i="2"/>
  <c r="F3" i="3"/>
  <c r="F3" i="2"/>
  <c r="K4" i="3"/>
  <c r="K4" i="2"/>
  <c r="CD7" i="1"/>
  <c r="CF7" i="1" s="1"/>
  <c r="G8" i="3"/>
  <c r="G8" i="2"/>
  <c r="D9" i="3"/>
  <c r="D9" i="2"/>
  <c r="F11" i="3"/>
  <c r="F11" i="2"/>
  <c r="B14" i="3"/>
  <c r="B14" i="2"/>
  <c r="E14" i="3"/>
  <c r="E14" i="2"/>
  <c r="J15" i="3"/>
  <c r="J15" i="2"/>
  <c r="AO16" i="1"/>
  <c r="G16" i="3"/>
  <c r="G16" i="2"/>
  <c r="BJ18" i="1"/>
  <c r="AP21" i="1"/>
  <c r="L22" i="2"/>
  <c r="AO22" i="1"/>
  <c r="G38" i="3"/>
  <c r="G38" i="2"/>
  <c r="C3" i="3"/>
  <c r="C3" i="2"/>
  <c r="K3" i="3"/>
  <c r="K3" i="2"/>
  <c r="B5" i="3"/>
  <c r="B5" i="2"/>
  <c r="E5" i="3"/>
  <c r="E5" i="2"/>
  <c r="J6" i="3"/>
  <c r="J6" i="2"/>
  <c r="F10" i="3"/>
  <c r="F10" i="2"/>
  <c r="C11" i="3"/>
  <c r="C11" i="2"/>
  <c r="K11" i="3"/>
  <c r="K11" i="2"/>
  <c r="B13" i="3"/>
  <c r="B13" i="2"/>
  <c r="E13" i="3"/>
  <c r="E13" i="2"/>
  <c r="L14" i="3"/>
  <c r="G15" i="3"/>
  <c r="G15" i="2"/>
  <c r="AS16" i="1"/>
  <c r="E17" i="3"/>
  <c r="E17" i="2"/>
  <c r="B18" i="3"/>
  <c r="B18" i="2"/>
  <c r="F18" i="3"/>
  <c r="F18" i="2"/>
  <c r="BM19" i="1"/>
  <c r="BO19" i="1" s="1"/>
  <c r="J20" i="3"/>
  <c r="J20" i="2"/>
  <c r="AS20" i="1"/>
  <c r="E21" i="3"/>
  <c r="E21" i="2"/>
  <c r="CD22" i="1"/>
  <c r="CF22" i="1" s="1"/>
  <c r="E26" i="3"/>
  <c r="E26" i="2"/>
  <c r="N26" i="2"/>
  <c r="BF26" i="1"/>
  <c r="BM28" i="1"/>
  <c r="BO28" i="1" s="1"/>
  <c r="F29" i="3"/>
  <c r="F29" i="2"/>
  <c r="BM29" i="1"/>
  <c r="BO29" i="1" s="1"/>
  <c r="AS29" i="1" s="1"/>
  <c r="C32" i="3"/>
  <c r="C32" i="2"/>
  <c r="K32" i="3"/>
  <c r="K32" i="2"/>
  <c r="AS34" i="1"/>
  <c r="E36" i="3"/>
  <c r="E36" i="2"/>
  <c r="L37" i="2"/>
  <c r="BJ37" i="1"/>
  <c r="BJ38" i="1"/>
  <c r="CD38" i="1"/>
  <c r="CF38" i="1" s="1"/>
  <c r="BM38" i="1"/>
  <c r="BO38" i="1" s="1"/>
  <c r="CC39" i="1"/>
  <c r="O39" i="1" s="1"/>
  <c r="BM39" i="1"/>
  <c r="BO39" i="1" s="1"/>
  <c r="AS39" i="1" s="1"/>
  <c r="AS42" i="1"/>
  <c r="E44" i="3"/>
  <c r="E44" i="2"/>
  <c r="L45" i="2"/>
  <c r="BJ47" i="1"/>
  <c r="AS50" i="1"/>
  <c r="E52" i="3"/>
  <c r="E52" i="2"/>
  <c r="D3" i="3"/>
  <c r="D3" i="2"/>
  <c r="BM3" i="1"/>
  <c r="BO3" i="1" s="1"/>
  <c r="AS3" i="1" s="1"/>
  <c r="F5" i="3"/>
  <c r="F5" i="2"/>
  <c r="C6" i="3"/>
  <c r="C6" i="2"/>
  <c r="K6" i="3"/>
  <c r="K6" i="2"/>
  <c r="B8" i="3"/>
  <c r="B8" i="2"/>
  <c r="E8" i="3"/>
  <c r="E8" i="2"/>
  <c r="AS8" i="1"/>
  <c r="J9" i="3"/>
  <c r="J9" i="2"/>
  <c r="L9" i="3"/>
  <c r="CD9" i="1"/>
  <c r="CF9" i="1" s="1"/>
  <c r="G10" i="3"/>
  <c r="G10" i="2"/>
  <c r="D11" i="3"/>
  <c r="D11" i="2"/>
  <c r="BM11" i="1"/>
  <c r="BO11" i="1" s="1"/>
  <c r="AS11" i="1" s="1"/>
  <c r="BJ12" i="1"/>
  <c r="F13" i="3"/>
  <c r="F13" i="2"/>
  <c r="C14" i="3"/>
  <c r="C14" i="2"/>
  <c r="K14" i="3"/>
  <c r="K14" i="2"/>
  <c r="B16" i="3"/>
  <c r="B16" i="2"/>
  <c r="E16" i="3"/>
  <c r="E16" i="2"/>
  <c r="B17" i="3"/>
  <c r="B17" i="2"/>
  <c r="F17" i="3"/>
  <c r="F17" i="2"/>
  <c r="G18" i="3"/>
  <c r="G18" i="2"/>
  <c r="BG18" i="1"/>
  <c r="BI18" i="1" s="1"/>
  <c r="AP18" i="1" s="1"/>
  <c r="G19" i="3"/>
  <c r="G19" i="2"/>
  <c r="BJ19" i="1"/>
  <c r="N19" i="2"/>
  <c r="BF19" i="1"/>
  <c r="M19" i="2" s="1"/>
  <c r="BD21" i="1"/>
  <c r="C22" i="3"/>
  <c r="C22" i="2"/>
  <c r="K22" i="3"/>
  <c r="K22" i="2"/>
  <c r="C24" i="3"/>
  <c r="C24" i="2"/>
  <c r="K24" i="3"/>
  <c r="K24" i="2"/>
  <c r="H25" i="3"/>
  <c r="H25" i="2"/>
  <c r="B26" i="2"/>
  <c r="B26" i="3"/>
  <c r="D27" i="3"/>
  <c r="D27" i="2"/>
  <c r="C30" i="3"/>
  <c r="C30" i="2"/>
  <c r="K30" i="3"/>
  <c r="K30" i="2"/>
  <c r="CD31" i="1"/>
  <c r="CF31" i="1" s="1"/>
  <c r="E37" i="3"/>
  <c r="E37" i="2"/>
  <c r="E38" i="3"/>
  <c r="E38" i="2"/>
  <c r="E45" i="3"/>
  <c r="E45" i="2"/>
  <c r="E46" i="3"/>
  <c r="E46" i="2"/>
  <c r="H19" i="3"/>
  <c r="H19" i="2"/>
  <c r="C20" i="3"/>
  <c r="C20" i="2"/>
  <c r="K20" i="3"/>
  <c r="K20" i="2"/>
  <c r="F21" i="3"/>
  <c r="F21" i="2"/>
  <c r="H24" i="3"/>
  <c r="H24" i="2"/>
  <c r="BJ24" i="1"/>
  <c r="G25" i="3"/>
  <c r="G25" i="2"/>
  <c r="F26" i="3"/>
  <c r="F26" i="2"/>
  <c r="B27" i="2"/>
  <c r="B27" i="3"/>
  <c r="E27" i="3"/>
  <c r="E27" i="2"/>
  <c r="D28" i="3"/>
  <c r="D28" i="2"/>
  <c r="AS28" i="1"/>
  <c r="C29" i="3"/>
  <c r="C29" i="2"/>
  <c r="K29" i="3"/>
  <c r="K29" i="2"/>
  <c r="H32" i="3"/>
  <c r="H32" i="2"/>
  <c r="G33" i="3"/>
  <c r="G33" i="2"/>
  <c r="H34" i="3"/>
  <c r="H34" i="2"/>
  <c r="BD34" i="1"/>
  <c r="C37" i="3"/>
  <c r="C37" i="2"/>
  <c r="K37" i="3"/>
  <c r="K37" i="2"/>
  <c r="B39" i="2"/>
  <c r="B39" i="3"/>
  <c r="E39" i="3"/>
  <c r="E39" i="2"/>
  <c r="F40" i="3"/>
  <c r="F40" i="2"/>
  <c r="BJ40" i="1"/>
  <c r="G41" i="3"/>
  <c r="G41" i="2"/>
  <c r="H42" i="3"/>
  <c r="H42" i="2"/>
  <c r="BD42" i="1"/>
  <c r="CD45" i="1"/>
  <c r="CF45" i="1" s="1"/>
  <c r="E47" i="3"/>
  <c r="E47" i="2"/>
  <c r="F48" i="3"/>
  <c r="F48" i="2"/>
  <c r="BJ48" i="1"/>
  <c r="G49" i="3"/>
  <c r="G49" i="2"/>
  <c r="H50" i="3"/>
  <c r="H50" i="2"/>
  <c r="BD50" i="1"/>
  <c r="E55" i="3"/>
  <c r="E55" i="2"/>
  <c r="F56" i="3"/>
  <c r="F56" i="2"/>
  <c r="G57" i="3"/>
  <c r="G57" i="2"/>
  <c r="BJ57" i="1"/>
  <c r="H58" i="3"/>
  <c r="H58" i="2"/>
  <c r="BD58" i="1"/>
  <c r="BM59" i="1"/>
  <c r="BO59" i="1" s="1"/>
  <c r="CD59" i="1"/>
  <c r="CF59" i="1" s="1"/>
  <c r="C60" i="3"/>
  <c r="C60" i="2"/>
  <c r="K60" i="3"/>
  <c r="K60" i="2"/>
  <c r="I63" i="3"/>
  <c r="I63" i="2"/>
  <c r="H64" i="3"/>
  <c r="H64" i="2"/>
  <c r="E54" i="3"/>
  <c r="E54" i="2"/>
  <c r="F55" i="3"/>
  <c r="F55" i="2"/>
  <c r="BJ55" i="1"/>
  <c r="G56" i="3"/>
  <c r="G56" i="2"/>
  <c r="H57" i="3"/>
  <c r="H57" i="2"/>
  <c r="BD57" i="1"/>
  <c r="BM58" i="1"/>
  <c r="BO58" i="1" s="1"/>
  <c r="AS58" i="1" s="1"/>
  <c r="AS59" i="1"/>
  <c r="CD61" i="1"/>
  <c r="CF61" i="1" s="1"/>
  <c r="I64" i="3"/>
  <c r="I64" i="2"/>
  <c r="E53" i="3"/>
  <c r="E53" i="2"/>
  <c r="F54" i="3"/>
  <c r="F54" i="2"/>
  <c r="BJ54" i="1"/>
  <c r="G55" i="3"/>
  <c r="G55" i="2"/>
  <c r="H56" i="3"/>
  <c r="H56" i="2"/>
  <c r="BD56" i="1"/>
  <c r="BG62" i="1"/>
  <c r="BI62" i="1" s="1"/>
  <c r="AP62" i="1" s="1"/>
  <c r="BD62" i="1"/>
  <c r="I65" i="3"/>
  <c r="I65" i="2"/>
  <c r="CD60" i="1"/>
  <c r="CF60" i="1" s="1"/>
  <c r="BM60" i="1"/>
  <c r="BO60" i="1" s="1"/>
  <c r="AS60" i="1" s="1"/>
  <c r="BG63" i="1"/>
  <c r="BI63" i="1" s="1"/>
  <c r="AP63" i="1" s="1"/>
  <c r="BD63" i="1"/>
  <c r="G17" i="3"/>
  <c r="G17" i="2"/>
  <c r="B19" i="3"/>
  <c r="B19" i="2"/>
  <c r="D19" i="3"/>
  <c r="D19" i="2"/>
  <c r="G20" i="3"/>
  <c r="G20" i="2"/>
  <c r="J21" i="3"/>
  <c r="J21" i="2"/>
  <c r="F22" i="3"/>
  <c r="F22" i="2"/>
  <c r="B23" i="3"/>
  <c r="B23" i="2"/>
  <c r="E23" i="3"/>
  <c r="E23" i="2"/>
  <c r="D24" i="3"/>
  <c r="D24" i="2"/>
  <c r="AS24" i="1"/>
  <c r="C25" i="3"/>
  <c r="C25" i="2"/>
  <c r="K25" i="3"/>
  <c r="K25" i="2"/>
  <c r="H28" i="3"/>
  <c r="H28" i="2"/>
  <c r="BJ28" i="1"/>
  <c r="G29" i="3"/>
  <c r="G29" i="2"/>
  <c r="F30" i="3"/>
  <c r="F30" i="2"/>
  <c r="B31" i="3"/>
  <c r="B31" i="2"/>
  <c r="E31" i="3"/>
  <c r="E31" i="2"/>
  <c r="D32" i="3"/>
  <c r="D32" i="2"/>
  <c r="C33" i="3"/>
  <c r="C33" i="2"/>
  <c r="K33" i="3"/>
  <c r="K33" i="2"/>
  <c r="B35" i="2"/>
  <c r="B35" i="3"/>
  <c r="E35" i="3"/>
  <c r="E35" i="2"/>
  <c r="F36" i="3"/>
  <c r="F36" i="2"/>
  <c r="BJ36" i="1"/>
  <c r="G37" i="3"/>
  <c r="G37" i="2"/>
  <c r="H38" i="3"/>
  <c r="H38" i="2"/>
  <c r="AS40" i="1"/>
  <c r="C41" i="3"/>
  <c r="C41" i="2"/>
  <c r="K41" i="3"/>
  <c r="K41" i="2"/>
  <c r="B43" i="3"/>
  <c r="B43" i="2"/>
  <c r="E43" i="3"/>
  <c r="E43" i="2"/>
  <c r="F44" i="3"/>
  <c r="F44" i="2"/>
  <c r="BJ44" i="1"/>
  <c r="G45" i="3"/>
  <c r="G45" i="2"/>
  <c r="H46" i="3"/>
  <c r="H46" i="2"/>
  <c r="AS48" i="1"/>
  <c r="E51" i="3"/>
  <c r="E51" i="2"/>
  <c r="F52" i="3"/>
  <c r="F52" i="2"/>
  <c r="BJ52" i="1"/>
  <c r="G53" i="3"/>
  <c r="G53" i="2"/>
  <c r="H54" i="3"/>
  <c r="H54" i="2"/>
  <c r="CC56" i="1"/>
  <c r="BJ56" i="1" s="1"/>
  <c r="CD57" i="1"/>
  <c r="CF57" i="1" s="1"/>
  <c r="E59" i="3"/>
  <c r="E59" i="2"/>
  <c r="BJ60" i="1"/>
  <c r="BG60" i="1"/>
  <c r="BI60" i="1" s="1"/>
  <c r="AP60" i="1" s="1"/>
  <c r="BD60" i="1"/>
  <c r="D61" i="3"/>
  <c r="D61" i="2"/>
  <c r="C65" i="3"/>
  <c r="C65" i="2"/>
  <c r="H4" i="3"/>
  <c r="H4" i="2"/>
  <c r="H6" i="2"/>
  <c r="H6" i="3"/>
  <c r="H7" i="3"/>
  <c r="H7" i="2"/>
  <c r="H10" i="3"/>
  <c r="H10" i="2"/>
  <c r="H14" i="3"/>
  <c r="H14" i="2"/>
  <c r="H16" i="3"/>
  <c r="H16" i="2"/>
  <c r="H17" i="3"/>
  <c r="H17" i="2"/>
  <c r="J18" i="3"/>
  <c r="J18" i="2"/>
  <c r="E19" i="3"/>
  <c r="E19" i="2"/>
  <c r="B24" i="3"/>
  <c r="B24" i="2"/>
  <c r="H29" i="3"/>
  <c r="H29" i="2"/>
  <c r="BJ29" i="1"/>
  <c r="G30" i="3"/>
  <c r="G30" i="2"/>
  <c r="F31" i="3"/>
  <c r="F31" i="2"/>
  <c r="B32" i="3"/>
  <c r="B32" i="2"/>
  <c r="E32" i="3"/>
  <c r="E32" i="2"/>
  <c r="B34" i="3"/>
  <c r="B34" i="2"/>
  <c r="E34" i="3"/>
  <c r="E34" i="2"/>
  <c r="F35" i="3"/>
  <c r="F35" i="2"/>
  <c r="BJ35" i="1"/>
  <c r="G36" i="3"/>
  <c r="G36" i="2"/>
  <c r="H37" i="3"/>
  <c r="H37" i="2"/>
  <c r="C40" i="3"/>
  <c r="C40" i="2"/>
  <c r="K40" i="3"/>
  <c r="K40" i="2"/>
  <c r="B42" i="3"/>
  <c r="B42" i="2"/>
  <c r="E42" i="3"/>
  <c r="E42" i="2"/>
  <c r="F43" i="3"/>
  <c r="F43" i="2"/>
  <c r="BJ43" i="1"/>
  <c r="G44" i="3"/>
  <c r="G44" i="2"/>
  <c r="H45" i="3"/>
  <c r="H45" i="2"/>
  <c r="BM46" i="1"/>
  <c r="BO46" i="1" s="1"/>
  <c r="AS46" i="1" s="1"/>
  <c r="E50" i="3"/>
  <c r="E50" i="2"/>
  <c r="F51" i="3"/>
  <c r="F51" i="2"/>
  <c r="BJ51" i="1"/>
  <c r="G52" i="3"/>
  <c r="G52" i="2"/>
  <c r="H53" i="3"/>
  <c r="H53" i="2"/>
  <c r="BM54" i="1"/>
  <c r="BO54" i="1" s="1"/>
  <c r="AS54" i="1" s="1"/>
  <c r="AS55" i="1"/>
  <c r="E58" i="3"/>
  <c r="E58" i="2"/>
  <c r="F59" i="3"/>
  <c r="F59" i="2"/>
  <c r="H60" i="3"/>
  <c r="H60" i="2"/>
  <c r="E61" i="3"/>
  <c r="E61" i="2"/>
  <c r="H62" i="3"/>
  <c r="H62" i="2"/>
  <c r="AP65" i="1"/>
  <c r="H3" i="3"/>
  <c r="H3" i="2"/>
  <c r="H5" i="3"/>
  <c r="H5" i="2"/>
  <c r="H8" i="3"/>
  <c r="H8" i="2"/>
  <c r="H9" i="3"/>
  <c r="H9" i="2"/>
  <c r="H11" i="3"/>
  <c r="H11" i="2"/>
  <c r="H12" i="2"/>
  <c r="H12" i="3"/>
  <c r="H13" i="3"/>
  <c r="H13" i="2"/>
  <c r="H15" i="3"/>
  <c r="H15" i="2"/>
  <c r="AS19" i="1"/>
  <c r="H20" i="3"/>
  <c r="H20" i="2"/>
  <c r="C21" i="3"/>
  <c r="C21" i="2"/>
  <c r="K21" i="3"/>
  <c r="K21" i="2"/>
  <c r="G22" i="3"/>
  <c r="G22" i="2"/>
  <c r="F23" i="3"/>
  <c r="F23" i="2"/>
  <c r="E24" i="2"/>
  <c r="E24" i="3"/>
  <c r="CD24" i="1"/>
  <c r="CF24" i="1" s="1"/>
  <c r="D25" i="3"/>
  <c r="D25" i="2"/>
  <c r="AS25" i="1"/>
  <c r="C26" i="2"/>
  <c r="C26" i="3"/>
  <c r="K26" i="3"/>
  <c r="K26" i="2"/>
  <c r="I3" i="3"/>
  <c r="I3" i="2"/>
  <c r="I4" i="2"/>
  <c r="I4" i="3"/>
  <c r="I5" i="3"/>
  <c r="I5" i="2"/>
  <c r="I6" i="3"/>
  <c r="I6" i="2"/>
  <c r="I7" i="2"/>
  <c r="I7" i="3"/>
  <c r="I8" i="3"/>
  <c r="I8" i="2"/>
  <c r="I9" i="3"/>
  <c r="I9" i="2"/>
  <c r="I10" i="3"/>
  <c r="I10" i="2"/>
  <c r="I11" i="3"/>
  <c r="I11" i="2"/>
  <c r="I12" i="2"/>
  <c r="I12" i="3"/>
  <c r="I13" i="3"/>
  <c r="I13" i="2"/>
  <c r="I14" i="3"/>
  <c r="I14" i="2"/>
  <c r="I15" i="2"/>
  <c r="I15" i="3"/>
  <c r="I16" i="3"/>
  <c r="I16" i="2"/>
  <c r="I17" i="3"/>
  <c r="I17" i="2"/>
  <c r="C18" i="3"/>
  <c r="C18" i="2"/>
  <c r="K18" i="2"/>
  <c r="K18" i="3"/>
  <c r="AO19" i="1"/>
  <c r="F19" i="3"/>
  <c r="F19" i="2"/>
  <c r="B21" i="3"/>
  <c r="B21" i="2"/>
  <c r="D21" i="3"/>
  <c r="D21" i="2"/>
  <c r="H22" i="3"/>
  <c r="H22" i="2"/>
  <c r="BJ22" i="1"/>
  <c r="G23" i="3"/>
  <c r="G23" i="2"/>
  <c r="F24" i="3"/>
  <c r="F24" i="2"/>
  <c r="B25" i="3"/>
  <c r="B25" i="2"/>
  <c r="E25" i="3"/>
  <c r="E25" i="2"/>
  <c r="D26" i="3"/>
  <c r="D26" i="2"/>
  <c r="C27" i="3"/>
  <c r="C27" i="2"/>
  <c r="K27" i="3"/>
  <c r="K27" i="2"/>
  <c r="H30" i="3"/>
  <c r="H30" i="2"/>
  <c r="BJ30" i="1"/>
  <c r="AO31" i="1"/>
  <c r="G31" i="3"/>
  <c r="G31" i="2"/>
  <c r="F32" i="3"/>
  <c r="F32" i="2"/>
  <c r="B33" i="3"/>
  <c r="B33" i="2"/>
  <c r="E33" i="3"/>
  <c r="E33" i="2"/>
  <c r="F34" i="3"/>
  <c r="F34" i="2"/>
  <c r="BG34" i="1"/>
  <c r="BI34" i="1" s="1"/>
  <c r="AP34" i="1" s="1"/>
  <c r="BJ34" i="1"/>
  <c r="G35" i="3"/>
  <c r="G35" i="2"/>
  <c r="H36" i="3"/>
  <c r="H36" i="2"/>
  <c r="AS38" i="1"/>
  <c r="C39" i="3"/>
  <c r="C39" i="2"/>
  <c r="K39" i="3"/>
  <c r="K39" i="2"/>
  <c r="B41" i="2"/>
  <c r="B41" i="3"/>
  <c r="E41" i="3"/>
  <c r="E41" i="2"/>
  <c r="F42" i="3"/>
  <c r="F42" i="2"/>
  <c r="BG42" i="1"/>
  <c r="BI42" i="1" s="1"/>
  <c r="AP42" i="1" s="1"/>
  <c r="BJ42" i="1"/>
  <c r="G43" i="3"/>
  <c r="G43" i="2"/>
  <c r="H44" i="3"/>
  <c r="H44" i="2"/>
  <c r="BM45" i="1"/>
  <c r="BO45" i="1" s="1"/>
  <c r="AS45" i="1" s="1"/>
  <c r="E49" i="3"/>
  <c r="E49" i="2"/>
  <c r="F50" i="3"/>
  <c r="F50" i="2"/>
  <c r="BG50" i="1"/>
  <c r="BI50" i="1" s="1"/>
  <c r="AP50" i="1" s="1"/>
  <c r="BJ50" i="1"/>
  <c r="G51" i="3"/>
  <c r="G51" i="2"/>
  <c r="H52" i="3"/>
  <c r="H52" i="2"/>
  <c r="BM53" i="1"/>
  <c r="BO53" i="1" s="1"/>
  <c r="E57" i="3"/>
  <c r="E57" i="2"/>
  <c r="F58" i="3"/>
  <c r="F58" i="2"/>
  <c r="BG58" i="1"/>
  <c r="BI58" i="1" s="1"/>
  <c r="AP58" i="1" s="1"/>
  <c r="G59" i="3"/>
  <c r="G59" i="2"/>
  <c r="BJ59" i="1"/>
  <c r="I60" i="3"/>
  <c r="I60" i="2"/>
  <c r="F61" i="3"/>
  <c r="F61" i="2"/>
  <c r="BF61" i="1"/>
  <c r="I62" i="3"/>
  <c r="I62" i="2"/>
  <c r="N64" i="2"/>
  <c r="BF64" i="1"/>
  <c r="H31" i="3"/>
  <c r="H31" i="2"/>
  <c r="BJ31" i="1"/>
  <c r="G32" i="3"/>
  <c r="G32" i="2"/>
  <c r="F33" i="3"/>
  <c r="F33" i="2"/>
  <c r="BJ33" i="1"/>
  <c r="G34" i="3"/>
  <c r="G34" i="2"/>
  <c r="H35" i="3"/>
  <c r="H35" i="2"/>
  <c r="BD35" i="1"/>
  <c r="BM36" i="1"/>
  <c r="BO36" i="1" s="1"/>
  <c r="AS36" i="1" s="1"/>
  <c r="C38" i="3"/>
  <c r="C38" i="2"/>
  <c r="K38" i="3"/>
  <c r="K38" i="2"/>
  <c r="B40" i="3"/>
  <c r="B40" i="2"/>
  <c r="E40" i="3"/>
  <c r="E40" i="2"/>
  <c r="F41" i="3"/>
  <c r="F41" i="2"/>
  <c r="BJ41" i="1"/>
  <c r="G42" i="3"/>
  <c r="G42" i="2"/>
  <c r="H43" i="3"/>
  <c r="H43" i="2"/>
  <c r="BD43" i="1"/>
  <c r="BM44" i="1"/>
  <c r="BO44" i="1" s="1"/>
  <c r="AS44" i="1" s="1"/>
  <c r="CD46" i="1"/>
  <c r="CF46" i="1" s="1"/>
  <c r="E48" i="3"/>
  <c r="E48" i="2"/>
  <c r="F49" i="3"/>
  <c r="F49" i="2"/>
  <c r="BJ49" i="1"/>
  <c r="G50" i="3"/>
  <c r="G50" i="2"/>
  <c r="H51" i="3"/>
  <c r="H51" i="2"/>
  <c r="BD51" i="1"/>
  <c r="BM52" i="1"/>
  <c r="BO52" i="1" s="1"/>
  <c r="AS52" i="1" s="1"/>
  <c r="AS53" i="1"/>
  <c r="CD54" i="1"/>
  <c r="CF54" i="1" s="1"/>
  <c r="E56" i="3"/>
  <c r="E56" i="2"/>
  <c r="F57" i="3"/>
  <c r="F57" i="2"/>
  <c r="BG57" i="1"/>
  <c r="BI57" i="1" s="1"/>
  <c r="AP57" i="1" s="1"/>
  <c r="G58" i="3"/>
  <c r="G58" i="2"/>
  <c r="BJ58" i="1"/>
  <c r="H59" i="3"/>
  <c r="H59" i="2"/>
  <c r="J60" i="3"/>
  <c r="J60" i="2"/>
  <c r="B61" i="2"/>
  <c r="B61" i="3"/>
  <c r="BJ61" i="1"/>
  <c r="J62" i="3"/>
  <c r="J62" i="2"/>
  <c r="H63" i="3"/>
  <c r="H63" i="2"/>
  <c r="D33" i="3"/>
  <c r="D33" i="2"/>
  <c r="D34" i="3"/>
  <c r="D34" i="2"/>
  <c r="D35" i="3"/>
  <c r="D35" i="2"/>
  <c r="D36" i="3"/>
  <c r="D36" i="2"/>
  <c r="D37" i="3"/>
  <c r="D37" i="2"/>
  <c r="D38" i="3"/>
  <c r="D38" i="2"/>
  <c r="D39" i="3"/>
  <c r="D39" i="2"/>
  <c r="D40" i="3"/>
  <c r="D40" i="2"/>
  <c r="D41" i="3"/>
  <c r="D41" i="2"/>
  <c r="D42" i="3"/>
  <c r="D42" i="2"/>
  <c r="D43" i="3"/>
  <c r="D43" i="2"/>
  <c r="D44" i="3"/>
  <c r="D44" i="2"/>
  <c r="D45" i="3"/>
  <c r="D45" i="2"/>
  <c r="D46" i="3"/>
  <c r="D46" i="2"/>
  <c r="D47" i="3"/>
  <c r="D47" i="2"/>
  <c r="D48" i="3"/>
  <c r="D48" i="2"/>
  <c r="D49" i="3"/>
  <c r="D49" i="2"/>
  <c r="D50" i="3"/>
  <c r="D50" i="2"/>
  <c r="D51" i="3"/>
  <c r="D51" i="2"/>
  <c r="D52" i="3"/>
  <c r="D52" i="2"/>
  <c r="D53" i="3"/>
  <c r="D53" i="2"/>
  <c r="D54" i="3"/>
  <c r="D54" i="2"/>
  <c r="D55" i="3"/>
  <c r="D55" i="2"/>
  <c r="D56" i="3"/>
  <c r="D56" i="2"/>
  <c r="D57" i="3"/>
  <c r="D57" i="2"/>
  <c r="D58" i="3"/>
  <c r="D58" i="2"/>
  <c r="D59" i="3"/>
  <c r="D59" i="2"/>
  <c r="C61" i="3"/>
  <c r="C61" i="2"/>
  <c r="K61" i="3"/>
  <c r="K61" i="2"/>
  <c r="F63" i="3"/>
  <c r="F63" i="2"/>
  <c r="F64" i="3"/>
  <c r="F64" i="2"/>
  <c r="BG64" i="1"/>
  <c r="BI64" i="1" s="1"/>
  <c r="AP64" i="1" s="1"/>
  <c r="H65" i="3"/>
  <c r="H65" i="2"/>
  <c r="K65" i="3"/>
  <c r="K65" i="2"/>
  <c r="C62" i="3"/>
  <c r="C62" i="2"/>
  <c r="K62" i="3"/>
  <c r="K62" i="2"/>
  <c r="CD65" i="1"/>
  <c r="CF65" i="1" s="1"/>
  <c r="I18" i="3"/>
  <c r="I18" i="2"/>
  <c r="I19" i="3"/>
  <c r="I19" i="2"/>
  <c r="I20" i="3"/>
  <c r="I20" i="2"/>
  <c r="I21" i="3"/>
  <c r="I21" i="2"/>
  <c r="I22" i="3"/>
  <c r="I22" i="2"/>
  <c r="I23" i="3"/>
  <c r="I23" i="2"/>
  <c r="I24" i="3"/>
  <c r="I24" i="2"/>
  <c r="I25" i="3"/>
  <c r="I25" i="2"/>
  <c r="I26" i="3"/>
  <c r="I26" i="2"/>
  <c r="I27" i="3"/>
  <c r="I27" i="2"/>
  <c r="I28" i="3"/>
  <c r="I28" i="2"/>
  <c r="I29" i="3"/>
  <c r="I29" i="2"/>
  <c r="I30" i="3"/>
  <c r="I30" i="2"/>
  <c r="I31" i="3"/>
  <c r="I31" i="2"/>
  <c r="I32" i="3"/>
  <c r="I32" i="2"/>
  <c r="I33" i="3"/>
  <c r="I33" i="2"/>
  <c r="I34" i="3"/>
  <c r="I34" i="2"/>
  <c r="I35" i="3"/>
  <c r="I35" i="2"/>
  <c r="I36" i="3"/>
  <c r="I36" i="2"/>
  <c r="I37" i="3"/>
  <c r="I37" i="2"/>
  <c r="I38" i="3"/>
  <c r="I38" i="2"/>
  <c r="I39" i="3"/>
  <c r="I39" i="2"/>
  <c r="I40" i="3"/>
  <c r="I40" i="2"/>
  <c r="I41" i="3"/>
  <c r="I41" i="2"/>
  <c r="I42" i="3"/>
  <c r="I42" i="2"/>
  <c r="I43" i="3"/>
  <c r="I43" i="2"/>
  <c r="I44" i="3"/>
  <c r="I44" i="2"/>
  <c r="I45" i="3"/>
  <c r="I45" i="2"/>
  <c r="I46" i="3"/>
  <c r="I46" i="2"/>
  <c r="I47" i="3"/>
  <c r="I47" i="2"/>
  <c r="I48" i="3"/>
  <c r="I48" i="2"/>
  <c r="I49" i="3"/>
  <c r="I49" i="2"/>
  <c r="I50" i="3"/>
  <c r="I50" i="2"/>
  <c r="I51" i="3"/>
  <c r="I51" i="2"/>
  <c r="I52" i="3"/>
  <c r="I52" i="2"/>
  <c r="I53" i="3"/>
  <c r="I53" i="2"/>
  <c r="I54" i="3"/>
  <c r="I54" i="2"/>
  <c r="I55" i="3"/>
  <c r="I55" i="2"/>
  <c r="I56" i="3"/>
  <c r="I56" i="2"/>
  <c r="I57" i="3"/>
  <c r="I57" i="2"/>
  <c r="I58" i="3"/>
  <c r="I58" i="2"/>
  <c r="I59" i="3"/>
  <c r="I59" i="2"/>
  <c r="B60" i="3"/>
  <c r="B60" i="2"/>
  <c r="D60" i="3"/>
  <c r="D60" i="2"/>
  <c r="H61" i="3"/>
  <c r="H61" i="2"/>
  <c r="B62" i="3"/>
  <c r="B62" i="2"/>
  <c r="D62" i="3"/>
  <c r="D62" i="2"/>
  <c r="C63" i="3"/>
  <c r="C63" i="2"/>
  <c r="K63" i="3"/>
  <c r="K63" i="2"/>
  <c r="C64" i="3"/>
  <c r="C64" i="2"/>
  <c r="K64" i="3"/>
  <c r="K64" i="2"/>
  <c r="CC64" i="1"/>
  <c r="B65" i="3"/>
  <c r="B65" i="2"/>
  <c r="E65" i="3"/>
  <c r="E65" i="2"/>
  <c r="J22" i="2"/>
  <c r="J22" i="3"/>
  <c r="J23" i="3"/>
  <c r="J23" i="2"/>
  <c r="J24" i="3"/>
  <c r="J24" i="2"/>
  <c r="J25" i="3"/>
  <c r="J25" i="2"/>
  <c r="J26" i="3"/>
  <c r="J26" i="2"/>
  <c r="J27" i="3"/>
  <c r="J27" i="2"/>
  <c r="J28" i="3"/>
  <c r="J28" i="2"/>
  <c r="J29" i="3"/>
  <c r="J29" i="2"/>
  <c r="J30" i="3"/>
  <c r="J30" i="2"/>
  <c r="J31" i="3"/>
  <c r="J31" i="2"/>
  <c r="J32" i="3"/>
  <c r="J32" i="2"/>
  <c r="J33" i="3"/>
  <c r="J33" i="2"/>
  <c r="J34" i="3"/>
  <c r="J34" i="2"/>
  <c r="J35" i="3"/>
  <c r="J35" i="2"/>
  <c r="J36" i="3"/>
  <c r="J36" i="2"/>
  <c r="J37" i="3"/>
  <c r="J37" i="2"/>
  <c r="J38" i="3"/>
  <c r="J38" i="2"/>
  <c r="J39" i="3"/>
  <c r="J39" i="2"/>
  <c r="J40" i="3"/>
  <c r="J40" i="2"/>
  <c r="J41" i="3"/>
  <c r="J41" i="2"/>
  <c r="J42" i="3"/>
  <c r="J42" i="2"/>
  <c r="J43" i="3"/>
  <c r="J43" i="2"/>
  <c r="J44" i="3"/>
  <c r="J44" i="2"/>
  <c r="J45" i="3"/>
  <c r="J45" i="2"/>
  <c r="J46" i="3"/>
  <c r="J46" i="2"/>
  <c r="J47" i="3"/>
  <c r="J47" i="2"/>
  <c r="J48" i="3"/>
  <c r="J48" i="2"/>
  <c r="J49" i="3"/>
  <c r="J49" i="2"/>
  <c r="J50" i="3"/>
  <c r="J50" i="2"/>
  <c r="J51" i="3"/>
  <c r="J51" i="2"/>
  <c r="J52" i="3"/>
  <c r="J52" i="2"/>
  <c r="J53" i="3"/>
  <c r="J53" i="2"/>
  <c r="J54" i="3"/>
  <c r="J54" i="2"/>
  <c r="J55" i="3"/>
  <c r="J55" i="2"/>
  <c r="J56" i="3"/>
  <c r="J56" i="2"/>
  <c r="J57" i="3"/>
  <c r="J57" i="2"/>
  <c r="J58" i="3"/>
  <c r="J58" i="2"/>
  <c r="J59" i="3"/>
  <c r="J59" i="2"/>
  <c r="E60" i="3"/>
  <c r="E60" i="2"/>
  <c r="I61" i="3"/>
  <c r="I61" i="2"/>
  <c r="E62" i="3"/>
  <c r="E62" i="2"/>
  <c r="D63" i="3"/>
  <c r="D63" i="2"/>
  <c r="D64" i="3"/>
  <c r="D64" i="2"/>
  <c r="F65" i="3"/>
  <c r="F65" i="2"/>
  <c r="B44" i="3"/>
  <c r="B44" i="2"/>
  <c r="C44" i="3"/>
  <c r="C44" i="2"/>
  <c r="K44" i="3"/>
  <c r="K44" i="2"/>
  <c r="B45" i="2"/>
  <c r="B45" i="3"/>
  <c r="C45" i="3"/>
  <c r="C45" i="2"/>
  <c r="K45" i="3"/>
  <c r="K45" i="2"/>
  <c r="B46" i="3"/>
  <c r="B46" i="2"/>
  <c r="C46" i="3"/>
  <c r="C46" i="2"/>
  <c r="K46" i="3"/>
  <c r="K46" i="2"/>
  <c r="B47" i="3"/>
  <c r="B47" i="2"/>
  <c r="C47" i="3"/>
  <c r="C47" i="2"/>
  <c r="K47" i="3"/>
  <c r="K47" i="2"/>
  <c r="B48" i="3"/>
  <c r="B48" i="2"/>
  <c r="C48" i="3"/>
  <c r="C48" i="2"/>
  <c r="K48" i="3"/>
  <c r="K48" i="2"/>
  <c r="B49" i="3"/>
  <c r="B49" i="2"/>
  <c r="C49" i="3"/>
  <c r="C49" i="2"/>
  <c r="K49" i="3"/>
  <c r="K49" i="2"/>
  <c r="B50" i="3"/>
  <c r="B50" i="2"/>
  <c r="C50" i="3"/>
  <c r="C50" i="2"/>
  <c r="K50" i="3"/>
  <c r="K50" i="2"/>
  <c r="B51" i="2"/>
  <c r="B51" i="3"/>
  <c r="C51" i="3"/>
  <c r="C51" i="2"/>
  <c r="K51" i="3"/>
  <c r="K51" i="2"/>
  <c r="B52" i="3"/>
  <c r="B52" i="2"/>
  <c r="C52" i="3"/>
  <c r="C52" i="2"/>
  <c r="K52" i="3"/>
  <c r="K52" i="2"/>
  <c r="B53" i="2"/>
  <c r="B53" i="3"/>
  <c r="C53" i="3"/>
  <c r="C53" i="2"/>
  <c r="K53" i="3"/>
  <c r="K53" i="2"/>
  <c r="B54" i="3"/>
  <c r="B54" i="2"/>
  <c r="C54" i="3"/>
  <c r="C54" i="2"/>
  <c r="K54" i="3"/>
  <c r="K54" i="2"/>
  <c r="B55" i="2"/>
  <c r="B55" i="3"/>
  <c r="C55" i="3"/>
  <c r="C55" i="2"/>
  <c r="K55" i="3"/>
  <c r="K55" i="2"/>
  <c r="B56" i="3"/>
  <c r="B56" i="2"/>
  <c r="C56" i="3"/>
  <c r="C56" i="2"/>
  <c r="K56" i="3"/>
  <c r="K56" i="2"/>
  <c r="B57" i="2"/>
  <c r="B57" i="3"/>
  <c r="C57" i="3"/>
  <c r="C57" i="2"/>
  <c r="K57" i="3"/>
  <c r="K57" i="2"/>
  <c r="B58" i="3"/>
  <c r="B58" i="2"/>
  <c r="C58" i="3"/>
  <c r="C58" i="2"/>
  <c r="K58" i="3"/>
  <c r="K58" i="2"/>
  <c r="B59" i="2"/>
  <c r="B59" i="3"/>
  <c r="C59" i="3"/>
  <c r="C59" i="2"/>
  <c r="K59" i="3"/>
  <c r="K59" i="2"/>
  <c r="F60" i="3"/>
  <c r="F60" i="2"/>
  <c r="J61" i="3"/>
  <c r="J61" i="2"/>
  <c r="BG61" i="1"/>
  <c r="BI61" i="1" s="1"/>
  <c r="AP61" i="1" s="1"/>
  <c r="F62" i="3"/>
  <c r="F62" i="2"/>
  <c r="BW62" i="1"/>
  <c r="CC62" i="1" s="1"/>
  <c r="O62" i="1" s="1"/>
  <c r="B63" i="2"/>
  <c r="B63" i="3"/>
  <c r="E63" i="3"/>
  <c r="E63" i="2"/>
  <c r="BW63" i="1"/>
  <c r="CC63" i="1" s="1"/>
  <c r="O63" i="1" s="1"/>
  <c r="B64" i="3"/>
  <c r="B64" i="2"/>
  <c r="E64" i="3"/>
  <c r="E64" i="2"/>
  <c r="J63" i="3"/>
  <c r="J63" i="2"/>
  <c r="J64" i="3"/>
  <c r="J64" i="2"/>
  <c r="J65" i="3"/>
  <c r="J65" i="2"/>
  <c r="BJ65" i="1"/>
  <c r="D65" i="3"/>
  <c r="D65" i="2"/>
  <c r="BM65" i="1"/>
  <c r="BO65" i="1" s="1"/>
  <c r="AS65" i="1" s="1"/>
  <c r="G60" i="3"/>
  <c r="G60" i="2"/>
  <c r="G61" i="3"/>
  <c r="G61" i="2"/>
  <c r="G62" i="3"/>
  <c r="G62" i="2"/>
  <c r="G63" i="3"/>
  <c r="G63" i="2"/>
  <c r="G64" i="3"/>
  <c r="G64" i="2"/>
  <c r="G65" i="3"/>
  <c r="G65" i="2"/>
  <c r="O32" i="1" l="1"/>
  <c r="BJ32" i="1"/>
  <c r="CD32" i="1"/>
  <c r="CF32" i="1" s="1"/>
  <c r="N52" i="2"/>
  <c r="BF52" i="1"/>
  <c r="N54" i="2"/>
  <c r="BF54" i="1"/>
  <c r="BM4" i="1"/>
  <c r="BO4" i="1" s="1"/>
  <c r="AS4" i="1" s="1"/>
  <c r="N45" i="2"/>
  <c r="BF45" i="1"/>
  <c r="N59" i="2"/>
  <c r="BF59" i="1"/>
  <c r="N44" i="2"/>
  <c r="BF44" i="1"/>
  <c r="CD29" i="1"/>
  <c r="CF29" i="1" s="1"/>
  <c r="CD12" i="1"/>
  <c r="CF12" i="1" s="1"/>
  <c r="CD40" i="1"/>
  <c r="CF40" i="1" s="1"/>
  <c r="BJ46" i="1"/>
  <c r="N38" i="2"/>
  <c r="BF38" i="1"/>
  <c r="CD44" i="1"/>
  <c r="CF44" i="1" s="1"/>
  <c r="N37" i="2"/>
  <c r="BF37" i="1"/>
  <c r="BM37" i="1"/>
  <c r="BO37" i="1" s="1"/>
  <c r="AS37" i="1" s="1"/>
  <c r="CD55" i="1"/>
  <c r="CF55" i="1" s="1"/>
  <c r="AO20" i="1"/>
  <c r="BM33" i="1"/>
  <c r="BO33" i="1" s="1"/>
  <c r="AS33" i="1" s="1"/>
  <c r="N65" i="2"/>
  <c r="BF65" i="1"/>
  <c r="N36" i="2"/>
  <c r="BF36" i="1"/>
  <c r="BJ62" i="1"/>
  <c r="BM22" i="1"/>
  <c r="BO22" i="1" s="1"/>
  <c r="AS22" i="1" s="1"/>
  <c r="BJ45" i="1"/>
  <c r="N8" i="2"/>
  <c r="BF8" i="1"/>
  <c r="N46" i="2"/>
  <c r="BF46" i="1"/>
  <c r="CD58" i="1"/>
  <c r="CF58" i="1" s="1"/>
  <c r="BM6" i="1"/>
  <c r="BO6" i="1" s="1"/>
  <c r="AS6" i="1" s="1"/>
  <c r="N53" i="2"/>
  <c r="BF53" i="1"/>
  <c r="O52" i="1"/>
  <c r="CD52" i="1"/>
  <c r="CF52" i="1" s="1"/>
  <c r="N56" i="3"/>
  <c r="BL56" i="1"/>
  <c r="N28" i="3"/>
  <c r="BL28" i="1"/>
  <c r="BM63" i="1"/>
  <c r="BO63" i="1" s="1"/>
  <c r="AS63" i="1" s="1"/>
  <c r="N57" i="2"/>
  <c r="BF57" i="1"/>
  <c r="N49" i="3"/>
  <c r="BL49" i="1"/>
  <c r="N43" i="2"/>
  <c r="BF43" i="1"/>
  <c r="N31" i="3"/>
  <c r="BL31" i="1"/>
  <c r="N56" i="2"/>
  <c r="BF56" i="1"/>
  <c r="N42" i="2"/>
  <c r="BF42" i="1"/>
  <c r="Q20" i="2"/>
  <c r="CD37" i="1"/>
  <c r="CF37" i="1" s="1"/>
  <c r="O22" i="2"/>
  <c r="P22" i="2" s="1"/>
  <c r="AQ22" i="1"/>
  <c r="N53" i="3"/>
  <c r="BL53" i="1"/>
  <c r="N41" i="2"/>
  <c r="BF41" i="1"/>
  <c r="N20" i="3"/>
  <c r="BL20" i="1"/>
  <c r="O6" i="2"/>
  <c r="P6" i="2" s="1"/>
  <c r="AQ6" i="1"/>
  <c r="N15" i="2"/>
  <c r="BF15" i="1"/>
  <c r="O31" i="1"/>
  <c r="BM31" i="1"/>
  <c r="BO31" i="1" s="1"/>
  <c r="AS31" i="1" s="1"/>
  <c r="N57" i="3"/>
  <c r="BL57" i="1"/>
  <c r="N48" i="3"/>
  <c r="BL48" i="1"/>
  <c r="N24" i="3"/>
  <c r="BL24" i="1"/>
  <c r="Q22" i="2"/>
  <c r="M26" i="2"/>
  <c r="Q26" i="2" s="1"/>
  <c r="AO26" i="1"/>
  <c r="N17" i="2"/>
  <c r="BF17" i="1"/>
  <c r="N3" i="3"/>
  <c r="BL3" i="1"/>
  <c r="O30" i="2"/>
  <c r="P30" i="2" s="1"/>
  <c r="AQ30" i="1"/>
  <c r="O27" i="2"/>
  <c r="P27" i="2" s="1"/>
  <c r="AQ27" i="1"/>
  <c r="CD33" i="1"/>
  <c r="CF33" i="1" s="1"/>
  <c r="N9" i="2"/>
  <c r="BF9" i="1"/>
  <c r="CD48" i="1"/>
  <c r="CF48" i="1" s="1"/>
  <c r="BM47" i="1"/>
  <c r="BO47" i="1" s="1"/>
  <c r="AS47" i="1" s="1"/>
  <c r="N27" i="3"/>
  <c r="BL27" i="1"/>
  <c r="N22" i="3"/>
  <c r="BL22" i="1"/>
  <c r="N62" i="3"/>
  <c r="BL62" i="1"/>
  <c r="N34" i="2"/>
  <c r="BF34" i="1"/>
  <c r="Q30" i="2"/>
  <c r="N12" i="3"/>
  <c r="BL12" i="1"/>
  <c r="N37" i="3"/>
  <c r="BL37" i="1"/>
  <c r="N26" i="3"/>
  <c r="BL26" i="1"/>
  <c r="N25" i="3"/>
  <c r="BL25" i="1"/>
  <c r="N48" i="2"/>
  <c r="BF48" i="1"/>
  <c r="N13" i="3"/>
  <c r="BL13" i="1"/>
  <c r="BJ14" i="1"/>
  <c r="N50" i="2"/>
  <c r="BF50" i="1"/>
  <c r="N21" i="2"/>
  <c r="BF21" i="1"/>
  <c r="CD39" i="1"/>
  <c r="CF39" i="1" s="1"/>
  <c r="N18" i="3"/>
  <c r="BL18" i="1"/>
  <c r="N24" i="2"/>
  <c r="BF24" i="1"/>
  <c r="BM49" i="1"/>
  <c r="BO49" i="1" s="1"/>
  <c r="AS49" i="1" s="1"/>
  <c r="N29" i="2"/>
  <c r="BF29" i="1"/>
  <c r="N25" i="2"/>
  <c r="BF25" i="1"/>
  <c r="N11" i="3"/>
  <c r="BL11" i="1"/>
  <c r="N33" i="2"/>
  <c r="BF33" i="1"/>
  <c r="N17" i="3"/>
  <c r="BL17" i="1"/>
  <c r="CD47" i="1"/>
  <c r="CF47" i="1" s="1"/>
  <c r="N15" i="3"/>
  <c r="BL15" i="1"/>
  <c r="N33" i="3"/>
  <c r="BL33" i="1"/>
  <c r="N52" i="3"/>
  <c r="BL52" i="1"/>
  <c r="CD63" i="1"/>
  <c r="CF63" i="1" s="1"/>
  <c r="O64" i="1"/>
  <c r="CD64" i="1"/>
  <c r="CF64" i="1" s="1"/>
  <c r="BM64" i="1"/>
  <c r="BO64" i="1" s="1"/>
  <c r="AS64" i="1" s="1"/>
  <c r="N35" i="2"/>
  <c r="BF35" i="1"/>
  <c r="N63" i="2"/>
  <c r="BF63" i="1"/>
  <c r="BJ63" i="1"/>
  <c r="BJ39" i="1"/>
  <c r="Q3" i="2"/>
  <c r="N23" i="2"/>
  <c r="BF23" i="1"/>
  <c r="BM32" i="1"/>
  <c r="BO32" i="1" s="1"/>
  <c r="AS32" i="1" s="1"/>
  <c r="N12" i="2"/>
  <c r="BF12" i="1"/>
  <c r="N47" i="2"/>
  <c r="BF47" i="1"/>
  <c r="M39" i="2"/>
  <c r="Q39" i="2" s="1"/>
  <c r="AO39" i="1"/>
  <c r="BM14" i="1"/>
  <c r="BO14" i="1" s="1"/>
  <c r="AS14" i="1" s="1"/>
  <c r="N7" i="3"/>
  <c r="BL7" i="1"/>
  <c r="M5" i="2"/>
  <c r="Q5" i="2" s="1"/>
  <c r="AO5" i="1"/>
  <c r="N34" i="3"/>
  <c r="BL34" i="1"/>
  <c r="N35" i="3"/>
  <c r="BL35" i="1"/>
  <c r="M64" i="2"/>
  <c r="Q64" i="2" s="1"/>
  <c r="AO64" i="1"/>
  <c r="O19" i="2"/>
  <c r="P19" i="2" s="1"/>
  <c r="AQ19" i="1"/>
  <c r="N59" i="3"/>
  <c r="BL59" i="1"/>
  <c r="N44" i="3"/>
  <c r="BL44" i="1"/>
  <c r="N36" i="3"/>
  <c r="BL36" i="1"/>
  <c r="N65" i="3"/>
  <c r="BL65" i="1"/>
  <c r="BJ64" i="1"/>
  <c r="O31" i="2"/>
  <c r="P31" i="2" s="1"/>
  <c r="AQ31" i="1"/>
  <c r="N60" i="2"/>
  <c r="BF60" i="1"/>
  <c r="N62" i="2"/>
  <c r="BF62" i="1"/>
  <c r="N54" i="3"/>
  <c r="BL54" i="1"/>
  <c r="BM62" i="1"/>
  <c r="BO62" i="1" s="1"/>
  <c r="AS62" i="1" s="1"/>
  <c r="Q6" i="2"/>
  <c r="CD14" i="1"/>
  <c r="CF14" i="1" s="1"/>
  <c r="O20" i="2"/>
  <c r="P20" i="2" s="1"/>
  <c r="AQ20" i="1"/>
  <c r="CD18" i="1"/>
  <c r="CF18" i="1" s="1"/>
  <c r="N10" i="2"/>
  <c r="BF10" i="1"/>
  <c r="N7" i="2"/>
  <c r="BF7" i="1"/>
  <c r="N4" i="2"/>
  <c r="BF4" i="1"/>
  <c r="CD49" i="1"/>
  <c r="CF49" i="1" s="1"/>
  <c r="N8" i="3"/>
  <c r="BL8" i="1"/>
  <c r="BJ4" i="1"/>
  <c r="N21" i="3"/>
  <c r="BL21" i="1"/>
  <c r="Q27" i="2"/>
  <c r="N58" i="3"/>
  <c r="BL58" i="1"/>
  <c r="N41" i="3"/>
  <c r="BL41" i="1"/>
  <c r="N30" i="3"/>
  <c r="BL30" i="1"/>
  <c r="N51" i="3"/>
  <c r="BL51" i="1"/>
  <c r="CD62" i="1"/>
  <c r="CF62" i="1" s="1"/>
  <c r="N58" i="2"/>
  <c r="BF58" i="1"/>
  <c r="N40" i="3"/>
  <c r="BL40" i="1"/>
  <c r="N19" i="3"/>
  <c r="BL19" i="1"/>
  <c r="O16" i="2"/>
  <c r="P16" i="2" s="1"/>
  <c r="AQ16" i="1"/>
  <c r="O11" i="2"/>
  <c r="P11" i="2" s="1"/>
  <c r="AQ11" i="1"/>
  <c r="N28" i="2"/>
  <c r="BF28" i="1"/>
  <c r="N18" i="2"/>
  <c r="BF18" i="1"/>
  <c r="CD4" i="1"/>
  <c r="CF4" i="1" s="1"/>
  <c r="N5" i="3"/>
  <c r="BL5" i="1"/>
  <c r="N10" i="3"/>
  <c r="BL10" i="1"/>
  <c r="N43" i="3"/>
  <c r="BL43" i="1"/>
  <c r="N29" i="3"/>
  <c r="BL29" i="1"/>
  <c r="N51" i="2"/>
  <c r="BF51" i="1"/>
  <c r="N50" i="3"/>
  <c r="BL50" i="1"/>
  <c r="O56" i="1"/>
  <c r="BM56" i="1"/>
  <c r="BO56" i="1" s="1"/>
  <c r="AS56" i="1" s="1"/>
  <c r="N61" i="3"/>
  <c r="BL61" i="1"/>
  <c r="M61" i="2"/>
  <c r="Q61" i="2" s="1"/>
  <c r="AO61" i="1"/>
  <c r="N42" i="3"/>
  <c r="BL42" i="1"/>
  <c r="CD56" i="1"/>
  <c r="CF56" i="1" s="1"/>
  <c r="N60" i="3"/>
  <c r="BL60" i="1"/>
  <c r="N55" i="3"/>
  <c r="BL55" i="1"/>
  <c r="N32" i="3"/>
  <c r="BL32" i="1"/>
  <c r="N47" i="3"/>
  <c r="BL47" i="1"/>
  <c r="N38" i="3"/>
  <c r="BL38" i="1"/>
  <c r="Q11" i="2"/>
  <c r="N55" i="2"/>
  <c r="BF55" i="1"/>
  <c r="N23" i="3"/>
  <c r="BL23" i="1"/>
  <c r="Q16" i="2"/>
  <c r="N16" i="3"/>
  <c r="BL16" i="1"/>
  <c r="N14" i="2"/>
  <c r="BF14" i="1"/>
  <c r="Q31" i="2"/>
  <c r="O26" i="1"/>
  <c r="CD26" i="1"/>
  <c r="CF26" i="1" s="1"/>
  <c r="Q19" i="2"/>
  <c r="N49" i="2"/>
  <c r="BF49" i="1"/>
  <c r="N40" i="2"/>
  <c r="BF40" i="1"/>
  <c r="N32" i="2"/>
  <c r="BF32" i="1"/>
  <c r="N9" i="3"/>
  <c r="BL9" i="1"/>
  <c r="BJ6" i="1"/>
  <c r="BM18" i="1"/>
  <c r="BO18" i="1" s="1"/>
  <c r="AS18" i="1" s="1"/>
  <c r="AO3" i="1"/>
  <c r="M13" i="2"/>
  <c r="Q13" i="2" s="1"/>
  <c r="AO13" i="1"/>
  <c r="M46" i="2" l="1"/>
  <c r="Q46" i="2" s="1"/>
  <c r="AO46" i="1"/>
  <c r="M36" i="2"/>
  <c r="Q36" i="2" s="1"/>
  <c r="AO36" i="1"/>
  <c r="M37" i="2"/>
  <c r="Q37" i="2" s="1"/>
  <c r="AO37" i="1"/>
  <c r="M54" i="2"/>
  <c r="Q54" i="2" s="1"/>
  <c r="AO54" i="1"/>
  <c r="M44" i="2"/>
  <c r="Q44" i="2" s="1"/>
  <c r="AO44" i="1"/>
  <c r="M8" i="2"/>
  <c r="Q8" i="2" s="1"/>
  <c r="AO8" i="1"/>
  <c r="M65" i="2"/>
  <c r="Q65" i="2" s="1"/>
  <c r="AO65" i="1"/>
  <c r="M52" i="2"/>
  <c r="Q52" i="2" s="1"/>
  <c r="AO52" i="1"/>
  <c r="M38" i="2"/>
  <c r="Q38" i="2" s="1"/>
  <c r="AO38" i="1"/>
  <c r="M59" i="2"/>
  <c r="Q59" i="2" s="1"/>
  <c r="AO59" i="1"/>
  <c r="M53" i="2"/>
  <c r="Q53" i="2" s="1"/>
  <c r="AO53" i="1"/>
  <c r="N45" i="3"/>
  <c r="BL45" i="1"/>
  <c r="BL46" i="1"/>
  <c r="N46" i="3"/>
  <c r="M45" i="2"/>
  <c r="Q45" i="2" s="1"/>
  <c r="AO45" i="1"/>
  <c r="M15" i="3"/>
  <c r="Q15" i="3" s="1"/>
  <c r="AR15" i="1"/>
  <c r="M12" i="3"/>
  <c r="Q12" i="3" s="1"/>
  <c r="AR12" i="1"/>
  <c r="M31" i="3"/>
  <c r="Q31" i="3" s="1"/>
  <c r="AR31" i="1"/>
  <c r="M18" i="2"/>
  <c r="Q18" i="2" s="1"/>
  <c r="AO18" i="1"/>
  <c r="M22" i="3"/>
  <c r="Q22" i="3" s="1"/>
  <c r="AR22" i="1"/>
  <c r="M9" i="2"/>
  <c r="Q9" i="2" s="1"/>
  <c r="AO9" i="1"/>
  <c r="O26" i="2"/>
  <c r="P26" i="2" s="1"/>
  <c r="AQ26" i="1"/>
  <c r="M57" i="3"/>
  <c r="Q57" i="3" s="1"/>
  <c r="AR57" i="1"/>
  <c r="M42" i="2"/>
  <c r="Q42" i="2" s="1"/>
  <c r="AO42" i="1"/>
  <c r="M28" i="3"/>
  <c r="Q28" i="3" s="1"/>
  <c r="AR28" i="1"/>
  <c r="M9" i="3"/>
  <c r="Q9" i="3" s="1"/>
  <c r="AR9" i="1"/>
  <c r="M61" i="3"/>
  <c r="Q61" i="3" s="1"/>
  <c r="AR61" i="1"/>
  <c r="M5" i="3"/>
  <c r="Q5" i="3" s="1"/>
  <c r="AR5" i="1"/>
  <c r="M62" i="2"/>
  <c r="Q62" i="2" s="1"/>
  <c r="AO62" i="1"/>
  <c r="M36" i="3"/>
  <c r="Q36" i="3" s="1"/>
  <c r="AR36" i="1"/>
  <c r="AQ64" i="1"/>
  <c r="O64" i="2"/>
  <c r="P64" i="2" s="1"/>
  <c r="M12" i="2"/>
  <c r="Q12" i="2" s="1"/>
  <c r="AO12" i="1"/>
  <c r="M8" i="3"/>
  <c r="Q8" i="3" s="1"/>
  <c r="AR8" i="1"/>
  <c r="M7" i="3"/>
  <c r="Q7" i="3" s="1"/>
  <c r="AR7" i="1"/>
  <c r="M33" i="3"/>
  <c r="Q33" i="3" s="1"/>
  <c r="AR33" i="1"/>
  <c r="M48" i="2"/>
  <c r="Q48" i="2" s="1"/>
  <c r="AO48" i="1"/>
  <c r="M15" i="2"/>
  <c r="Q15" i="2" s="1"/>
  <c r="AO15" i="1"/>
  <c r="M20" i="3"/>
  <c r="Q20" i="3" s="1"/>
  <c r="AR20" i="1"/>
  <c r="M40" i="3"/>
  <c r="Q40" i="3" s="1"/>
  <c r="AR40" i="1"/>
  <c r="O5" i="2"/>
  <c r="P5" i="2" s="1"/>
  <c r="AQ5" i="1"/>
  <c r="M35" i="2"/>
  <c r="Q35" i="2" s="1"/>
  <c r="AO35" i="1"/>
  <c r="N4" i="3"/>
  <c r="BL4" i="1"/>
  <c r="M7" i="2"/>
  <c r="Q7" i="2" s="1"/>
  <c r="AO7" i="1"/>
  <c r="M26" i="3"/>
  <c r="Q26" i="3" s="1"/>
  <c r="AR26" i="1"/>
  <c r="M42" i="3"/>
  <c r="Q42" i="3" s="1"/>
  <c r="AR42" i="1"/>
  <c r="M58" i="2"/>
  <c r="Q58" i="2" s="1"/>
  <c r="AO58" i="1"/>
  <c r="M21" i="2"/>
  <c r="Q21" i="2" s="1"/>
  <c r="AO21" i="1"/>
  <c r="M3" i="3"/>
  <c r="Q3" i="3" s="1"/>
  <c r="AR3" i="1"/>
  <c r="M56" i="2"/>
  <c r="Q56" i="2" s="1"/>
  <c r="AO56" i="1"/>
  <c r="M43" i="2"/>
  <c r="Q43" i="2" s="1"/>
  <c r="AO43" i="1"/>
  <c r="N39" i="3"/>
  <c r="BL39" i="1"/>
  <c r="M11" i="3"/>
  <c r="Q11" i="3" s="1"/>
  <c r="AR11" i="1"/>
  <c r="M24" i="2"/>
  <c r="Q24" i="2" s="1"/>
  <c r="AO24" i="1"/>
  <c r="O13" i="2"/>
  <c r="P13" i="2" s="1"/>
  <c r="AQ13" i="1"/>
  <c r="M32" i="2"/>
  <c r="Q32" i="2" s="1"/>
  <c r="AO32" i="1"/>
  <c r="M16" i="3"/>
  <c r="Q16" i="3" s="1"/>
  <c r="AR16" i="1"/>
  <c r="M38" i="3"/>
  <c r="Q38" i="3" s="1"/>
  <c r="AR38" i="1"/>
  <c r="M55" i="3"/>
  <c r="Q55" i="3" s="1"/>
  <c r="AR55" i="1"/>
  <c r="M28" i="2"/>
  <c r="Q28" i="2" s="1"/>
  <c r="AO28" i="1"/>
  <c r="M30" i="3"/>
  <c r="Q30" i="3" s="1"/>
  <c r="AR30" i="1"/>
  <c r="M50" i="3"/>
  <c r="Q50" i="3" s="1"/>
  <c r="AR50" i="1"/>
  <c r="M29" i="3"/>
  <c r="Q29" i="3" s="1"/>
  <c r="AR29" i="1"/>
  <c r="M44" i="3"/>
  <c r="Q44" i="3" s="1"/>
  <c r="AR44" i="1"/>
  <c r="O3" i="2"/>
  <c r="P3" i="2" s="1"/>
  <c r="AQ3" i="1"/>
  <c r="M40" i="2"/>
  <c r="Q40" i="2" s="1"/>
  <c r="AO40" i="1"/>
  <c r="M47" i="3"/>
  <c r="Q47" i="3" s="1"/>
  <c r="AR47" i="1"/>
  <c r="M41" i="3"/>
  <c r="Q41" i="3" s="1"/>
  <c r="AR41" i="1"/>
  <c r="M10" i="2"/>
  <c r="Q10" i="2" s="1"/>
  <c r="AO10" i="1"/>
  <c r="M35" i="3"/>
  <c r="Q35" i="3" s="1"/>
  <c r="AR35" i="1"/>
  <c r="M17" i="3"/>
  <c r="Q17" i="3" s="1"/>
  <c r="AR17" i="1"/>
  <c r="M25" i="2"/>
  <c r="Q25" i="2" s="1"/>
  <c r="AO25" i="1"/>
  <c r="N14" i="3"/>
  <c r="BL14" i="1"/>
  <c r="M37" i="3"/>
  <c r="Q37" i="3" s="1"/>
  <c r="AR37" i="1"/>
  <c r="M34" i="2"/>
  <c r="Q34" i="2" s="1"/>
  <c r="AO34" i="1"/>
  <c r="M27" i="3"/>
  <c r="Q27" i="3" s="1"/>
  <c r="AR27" i="1"/>
  <c r="M41" i="2"/>
  <c r="Q41" i="2" s="1"/>
  <c r="AO41" i="1"/>
  <c r="M43" i="3"/>
  <c r="Q43" i="3" s="1"/>
  <c r="AR43" i="1"/>
  <c r="M59" i="3"/>
  <c r="Q59" i="3" s="1"/>
  <c r="AR59" i="1"/>
  <c r="O39" i="2"/>
  <c r="P39" i="2" s="1"/>
  <c r="AQ39" i="1"/>
  <c r="M23" i="2"/>
  <c r="Q23" i="2" s="1"/>
  <c r="AO23" i="1"/>
  <c r="N63" i="3"/>
  <c r="BL63" i="1"/>
  <c r="M18" i="3"/>
  <c r="Q18" i="3" s="1"/>
  <c r="AR18" i="1"/>
  <c r="M13" i="3"/>
  <c r="Q13" i="3" s="1"/>
  <c r="AR13" i="1"/>
  <c r="M25" i="3"/>
  <c r="Q25" i="3" s="1"/>
  <c r="AR25" i="1"/>
  <c r="M17" i="2"/>
  <c r="Q17" i="2" s="1"/>
  <c r="AO17" i="1"/>
  <c r="M24" i="3"/>
  <c r="Q24" i="3" s="1"/>
  <c r="AR24" i="1"/>
  <c r="M49" i="3"/>
  <c r="Q49" i="3" s="1"/>
  <c r="AR49" i="1"/>
  <c r="M19" i="3"/>
  <c r="Q19" i="3" s="1"/>
  <c r="AR19" i="1"/>
  <c r="M60" i="2"/>
  <c r="Q60" i="2" s="1"/>
  <c r="AO60" i="1"/>
  <c r="M49" i="2"/>
  <c r="Q49" i="2" s="1"/>
  <c r="AO49" i="1"/>
  <c r="AQ61" i="1"/>
  <c r="O61" i="2"/>
  <c r="P61" i="2" s="1"/>
  <c r="M58" i="3"/>
  <c r="Q58" i="3" s="1"/>
  <c r="AR58" i="1"/>
  <c r="N64" i="3"/>
  <c r="BL64" i="1"/>
  <c r="M34" i="3"/>
  <c r="Q34" i="3" s="1"/>
  <c r="AR34" i="1"/>
  <c r="M63" i="2"/>
  <c r="Q63" i="2" s="1"/>
  <c r="AO63" i="1"/>
  <c r="M33" i="2"/>
  <c r="Q33" i="2" s="1"/>
  <c r="AO33" i="1"/>
  <c r="M29" i="2"/>
  <c r="Q29" i="2" s="1"/>
  <c r="AO29" i="1"/>
  <c r="M50" i="2"/>
  <c r="Q50" i="2" s="1"/>
  <c r="AO50" i="1"/>
  <c r="M62" i="3"/>
  <c r="Q62" i="3" s="1"/>
  <c r="AR62" i="1"/>
  <c r="M57" i="2"/>
  <c r="Q57" i="2" s="1"/>
  <c r="AO57" i="1"/>
  <c r="M56" i="3"/>
  <c r="Q56" i="3" s="1"/>
  <c r="AR56" i="1"/>
  <c r="M23" i="3"/>
  <c r="Q23" i="3" s="1"/>
  <c r="AR23" i="1"/>
  <c r="M60" i="3"/>
  <c r="Q60" i="3" s="1"/>
  <c r="AR60" i="1"/>
  <c r="N6" i="3"/>
  <c r="BL6" i="1"/>
  <c r="M14" i="2"/>
  <c r="Q14" i="2" s="1"/>
  <c r="AO14" i="1"/>
  <c r="M55" i="2"/>
  <c r="Q55" i="2" s="1"/>
  <c r="AO55" i="1"/>
  <c r="M32" i="3"/>
  <c r="Q32" i="3" s="1"/>
  <c r="AR32" i="1"/>
  <c r="M51" i="2"/>
  <c r="Q51" i="2" s="1"/>
  <c r="AO51" i="1"/>
  <c r="M10" i="3"/>
  <c r="Q10" i="3" s="1"/>
  <c r="AR10" i="1"/>
  <c r="M51" i="3"/>
  <c r="Q51" i="3" s="1"/>
  <c r="AR51" i="1"/>
  <c r="M21" i="3"/>
  <c r="Q21" i="3" s="1"/>
  <c r="AR21" i="1"/>
  <c r="M4" i="2"/>
  <c r="Q4" i="2" s="1"/>
  <c r="AO4" i="1"/>
  <c r="M54" i="3"/>
  <c r="Q54" i="3" s="1"/>
  <c r="AR54" i="1"/>
  <c r="M65" i="3"/>
  <c r="Q65" i="3" s="1"/>
  <c r="AR65" i="1"/>
  <c r="M47" i="2"/>
  <c r="Q47" i="2" s="1"/>
  <c r="AO47" i="1"/>
  <c r="M52" i="3"/>
  <c r="Q52" i="3" s="1"/>
  <c r="AR52" i="1"/>
  <c r="M48" i="3"/>
  <c r="Q48" i="3" s="1"/>
  <c r="AR48" i="1"/>
  <c r="M53" i="3"/>
  <c r="Q53" i="3" s="1"/>
  <c r="AR53" i="1"/>
  <c r="M45" i="3" l="1"/>
  <c r="Q45" i="3" s="1"/>
  <c r="AR45" i="1"/>
  <c r="O52" i="2"/>
  <c r="P52" i="2" s="1"/>
  <c r="AQ52" i="1"/>
  <c r="O54" i="2"/>
  <c r="P54" i="2" s="1"/>
  <c r="AQ54" i="1"/>
  <c r="O53" i="2"/>
  <c r="P53" i="2" s="1"/>
  <c r="AQ53" i="1"/>
  <c r="AQ65" i="1"/>
  <c r="O65" i="2"/>
  <c r="P65" i="2" s="1"/>
  <c r="O37" i="2"/>
  <c r="P37" i="2" s="1"/>
  <c r="AQ37" i="1"/>
  <c r="O45" i="2"/>
  <c r="P45" i="2" s="1"/>
  <c r="AQ45" i="1"/>
  <c r="O59" i="2"/>
  <c r="P59" i="2" s="1"/>
  <c r="AQ59" i="1"/>
  <c r="O8" i="2"/>
  <c r="P8" i="2" s="1"/>
  <c r="AQ8" i="1"/>
  <c r="O36" i="2"/>
  <c r="P36" i="2" s="1"/>
  <c r="AQ36" i="1"/>
  <c r="O38" i="2"/>
  <c r="P38" i="2" s="1"/>
  <c r="AQ38" i="1"/>
  <c r="O44" i="2"/>
  <c r="P44" i="2" s="1"/>
  <c r="AQ44" i="1"/>
  <c r="AQ46" i="1"/>
  <c r="O46" i="2"/>
  <c r="P46" i="2" s="1"/>
  <c r="M46" i="3"/>
  <c r="Q46" i="3" s="1"/>
  <c r="AR46" i="1"/>
  <c r="O48" i="3"/>
  <c r="P48" i="3" s="1"/>
  <c r="AT48" i="1"/>
  <c r="O10" i="3"/>
  <c r="P10" i="3" s="1"/>
  <c r="AT10" i="1"/>
  <c r="O56" i="3"/>
  <c r="P56" i="3" s="1"/>
  <c r="AT56" i="1"/>
  <c r="O34" i="3"/>
  <c r="P34" i="3" s="1"/>
  <c r="AT34" i="1"/>
  <c r="O13" i="3"/>
  <c r="P13" i="3" s="1"/>
  <c r="AT13" i="1"/>
  <c r="O25" i="2"/>
  <c r="P25" i="2" s="1"/>
  <c r="AQ25" i="1"/>
  <c r="O41" i="3"/>
  <c r="P41" i="3" s="1"/>
  <c r="AT41" i="1"/>
  <c r="O32" i="2"/>
  <c r="P32" i="2" s="1"/>
  <c r="AQ32" i="1"/>
  <c r="M39" i="3"/>
  <c r="Q39" i="3" s="1"/>
  <c r="AR39" i="1"/>
  <c r="O21" i="2"/>
  <c r="P21" i="2" s="1"/>
  <c r="AQ21" i="1"/>
  <c r="O40" i="3"/>
  <c r="P40" i="3" s="1"/>
  <c r="AT40" i="1"/>
  <c r="O33" i="3"/>
  <c r="P33" i="3" s="1"/>
  <c r="AT33" i="1"/>
  <c r="O57" i="3"/>
  <c r="P57" i="3" s="1"/>
  <c r="AT57" i="1"/>
  <c r="O18" i="2"/>
  <c r="P18" i="2" s="1"/>
  <c r="AQ18" i="1"/>
  <c r="O4" i="2"/>
  <c r="P4" i="2" s="1"/>
  <c r="AQ4" i="1"/>
  <c r="O29" i="2"/>
  <c r="P29" i="2" s="1"/>
  <c r="AQ29" i="1"/>
  <c r="O18" i="3"/>
  <c r="P18" i="3" s="1"/>
  <c r="AT18" i="1"/>
  <c r="O29" i="3"/>
  <c r="P29" i="3" s="1"/>
  <c r="AT29" i="1"/>
  <c r="O54" i="3"/>
  <c r="P54" i="3" s="1"/>
  <c r="AT54" i="1"/>
  <c r="O14" i="2"/>
  <c r="P14" i="2" s="1"/>
  <c r="AQ14" i="1"/>
  <c r="O50" i="2"/>
  <c r="P50" i="2" s="1"/>
  <c r="AQ50" i="1"/>
  <c r="O49" i="2"/>
  <c r="P49" i="2" s="1"/>
  <c r="AQ49" i="1"/>
  <c r="O27" i="3"/>
  <c r="P27" i="3" s="1"/>
  <c r="AT27" i="1"/>
  <c r="O44" i="3"/>
  <c r="P44" i="3" s="1"/>
  <c r="AT44" i="1"/>
  <c r="O28" i="2"/>
  <c r="P28" i="2" s="1"/>
  <c r="AQ28" i="1"/>
  <c r="O7" i="2"/>
  <c r="P7" i="2" s="1"/>
  <c r="AQ7" i="1"/>
  <c r="O51" i="2"/>
  <c r="P51" i="2" s="1"/>
  <c r="AQ51" i="1"/>
  <c r="AQ60" i="1"/>
  <c r="O60" i="2"/>
  <c r="P60" i="2" s="1"/>
  <c r="O17" i="3"/>
  <c r="P17" i="3" s="1"/>
  <c r="AT17" i="1"/>
  <c r="O47" i="3"/>
  <c r="P47" i="3" s="1"/>
  <c r="AT47" i="1"/>
  <c r="O43" i="2"/>
  <c r="P43" i="2" s="1"/>
  <c r="AQ43" i="1"/>
  <c r="M4" i="3"/>
  <c r="Q4" i="3" s="1"/>
  <c r="AR4" i="1"/>
  <c r="O7" i="3"/>
  <c r="P7" i="3" s="1"/>
  <c r="AT7" i="1"/>
  <c r="O9" i="3"/>
  <c r="P9" i="3" s="1"/>
  <c r="AT9" i="1"/>
  <c r="O31" i="3"/>
  <c r="P31" i="3" s="1"/>
  <c r="AT31" i="1"/>
  <c r="O47" i="2"/>
  <c r="P47" i="2" s="1"/>
  <c r="AQ47" i="1"/>
  <c r="O21" i="3"/>
  <c r="P21" i="3" s="1"/>
  <c r="AT21" i="1"/>
  <c r="O32" i="3"/>
  <c r="P32" i="3" s="1"/>
  <c r="AT32" i="1"/>
  <c r="O60" i="3"/>
  <c r="P60" i="3" s="1"/>
  <c r="AT60" i="1"/>
  <c r="O62" i="3"/>
  <c r="P62" i="3" s="1"/>
  <c r="AT62" i="1"/>
  <c r="O33" i="2"/>
  <c r="P33" i="2" s="1"/>
  <c r="AQ33" i="1"/>
  <c r="O58" i="3"/>
  <c r="P58" i="3" s="1"/>
  <c r="AT58" i="1"/>
  <c r="O19" i="3"/>
  <c r="P19" i="3" s="1"/>
  <c r="AT19" i="1"/>
  <c r="O17" i="2"/>
  <c r="P17" i="2" s="1"/>
  <c r="AQ17" i="1"/>
  <c r="M63" i="3"/>
  <c r="Q63" i="3" s="1"/>
  <c r="AR63" i="1"/>
  <c r="O43" i="3"/>
  <c r="P43" i="3" s="1"/>
  <c r="AT43" i="1"/>
  <c r="O37" i="3"/>
  <c r="P37" i="3" s="1"/>
  <c r="AT37" i="1"/>
  <c r="O35" i="3"/>
  <c r="P35" i="3" s="1"/>
  <c r="AT35" i="1"/>
  <c r="O40" i="2"/>
  <c r="P40" i="2" s="1"/>
  <c r="AQ40" i="1"/>
  <c r="O50" i="3"/>
  <c r="P50" i="3" s="1"/>
  <c r="AT50" i="1"/>
  <c r="O38" i="3"/>
  <c r="P38" i="3" s="1"/>
  <c r="AT38" i="1"/>
  <c r="O24" i="2"/>
  <c r="P24" i="2" s="1"/>
  <c r="AQ24" i="1"/>
  <c r="O56" i="2"/>
  <c r="P56" i="2" s="1"/>
  <c r="AQ56" i="1"/>
  <c r="O42" i="3"/>
  <c r="P42" i="3" s="1"/>
  <c r="AT42" i="1"/>
  <c r="O35" i="2"/>
  <c r="P35" i="2" s="1"/>
  <c r="AQ35" i="1"/>
  <c r="O15" i="2"/>
  <c r="P15" i="2" s="1"/>
  <c r="AQ15" i="1"/>
  <c r="O8" i="3"/>
  <c r="P8" i="3" s="1"/>
  <c r="AT8" i="1"/>
  <c r="AQ62" i="1"/>
  <c r="O62" i="2"/>
  <c r="P62" i="2" s="1"/>
  <c r="O28" i="3"/>
  <c r="P28" i="3" s="1"/>
  <c r="AT28" i="1"/>
  <c r="O9" i="2"/>
  <c r="P9" i="2" s="1"/>
  <c r="AQ9" i="1"/>
  <c r="O12" i="3"/>
  <c r="P12" i="3" s="1"/>
  <c r="AT12" i="1"/>
  <c r="O61" i="3"/>
  <c r="P61" i="3" s="1"/>
  <c r="AT61" i="1"/>
  <c r="O57" i="2"/>
  <c r="P57" i="2" s="1"/>
  <c r="AQ57" i="1"/>
  <c r="O59" i="3"/>
  <c r="P59" i="3" s="1"/>
  <c r="AT59" i="1"/>
  <c r="O53" i="3"/>
  <c r="P53" i="3" s="1"/>
  <c r="AT53" i="1"/>
  <c r="O65" i="3"/>
  <c r="P65" i="3" s="1"/>
  <c r="AT65" i="1"/>
  <c r="O51" i="3"/>
  <c r="P51" i="3" s="1"/>
  <c r="AT51" i="1"/>
  <c r="O55" i="2"/>
  <c r="P55" i="2" s="1"/>
  <c r="AQ55" i="1"/>
  <c r="O23" i="3"/>
  <c r="P23" i="3" s="1"/>
  <c r="AT23" i="1"/>
  <c r="AQ63" i="1"/>
  <c r="O63" i="2"/>
  <c r="P63" i="2" s="1"/>
  <c r="O49" i="3"/>
  <c r="P49" i="3" s="1"/>
  <c r="AT49" i="1"/>
  <c r="O25" i="3"/>
  <c r="P25" i="3" s="1"/>
  <c r="AT25" i="1"/>
  <c r="O23" i="2"/>
  <c r="P23" i="2" s="1"/>
  <c r="AQ23" i="1"/>
  <c r="O41" i="2"/>
  <c r="P41" i="2" s="1"/>
  <c r="AQ41" i="1"/>
  <c r="M14" i="3"/>
  <c r="Q14" i="3" s="1"/>
  <c r="AR14" i="1"/>
  <c r="O10" i="2"/>
  <c r="P10" i="2" s="1"/>
  <c r="AQ10" i="1"/>
  <c r="O30" i="3"/>
  <c r="P30" i="3" s="1"/>
  <c r="AT30" i="1"/>
  <c r="O16" i="3"/>
  <c r="P16" i="3" s="1"/>
  <c r="AT16" i="1"/>
  <c r="O11" i="3"/>
  <c r="P11" i="3" s="1"/>
  <c r="AT11" i="1"/>
  <c r="O3" i="3"/>
  <c r="P3" i="3" s="1"/>
  <c r="AT3" i="1"/>
  <c r="O26" i="3"/>
  <c r="P26" i="3" s="1"/>
  <c r="AT26" i="1"/>
  <c r="O48" i="2"/>
  <c r="P48" i="2" s="1"/>
  <c r="AQ48" i="1"/>
  <c r="O12" i="2"/>
  <c r="P12" i="2" s="1"/>
  <c r="AQ12" i="1"/>
  <c r="O5" i="3"/>
  <c r="P5" i="3" s="1"/>
  <c r="AT5" i="1"/>
  <c r="O42" i="2"/>
  <c r="P42" i="2" s="1"/>
  <c r="AQ42" i="1"/>
  <c r="O22" i="3"/>
  <c r="P22" i="3" s="1"/>
  <c r="AT22" i="1"/>
  <c r="O15" i="3"/>
  <c r="P15" i="3" s="1"/>
  <c r="AT15" i="1"/>
  <c r="O52" i="3"/>
  <c r="P52" i="3" s="1"/>
  <c r="AT52" i="1"/>
  <c r="M6" i="3"/>
  <c r="Q6" i="3" s="1"/>
  <c r="AR6" i="1"/>
  <c r="M64" i="3"/>
  <c r="Q64" i="3" s="1"/>
  <c r="AR64" i="1"/>
  <c r="O24" i="3"/>
  <c r="P24" i="3" s="1"/>
  <c r="AT24" i="1"/>
  <c r="O34" i="2"/>
  <c r="P34" i="2" s="1"/>
  <c r="AQ34" i="1"/>
  <c r="O55" i="3"/>
  <c r="P55" i="3" s="1"/>
  <c r="AT55" i="1"/>
  <c r="O58" i="2"/>
  <c r="P58" i="2" s="1"/>
  <c r="AQ58" i="1"/>
  <c r="O20" i="3"/>
  <c r="P20" i="3" s="1"/>
  <c r="AT20" i="1"/>
  <c r="O36" i="3"/>
  <c r="P36" i="3" s="1"/>
  <c r="AT36" i="1"/>
  <c r="O46" i="3" l="1"/>
  <c r="P46" i="3" s="1"/>
  <c r="AT46" i="1"/>
  <c r="O45" i="3"/>
  <c r="P45" i="3" s="1"/>
  <c r="AT45" i="1"/>
  <c r="O14" i="3"/>
  <c r="P14" i="3" s="1"/>
  <c r="AT14" i="1"/>
  <c r="O4" i="3"/>
  <c r="P4" i="3" s="1"/>
  <c r="AT4" i="1"/>
  <c r="O64" i="3"/>
  <c r="P64" i="3" s="1"/>
  <c r="AT64" i="1"/>
  <c r="O6" i="3"/>
  <c r="P6" i="3" s="1"/>
  <c r="AT6" i="1"/>
  <c r="O63" i="3"/>
  <c r="P63" i="3" s="1"/>
  <c r="AT63" i="1"/>
  <c r="O39" i="3"/>
  <c r="P39" i="3" s="1"/>
  <c r="AT39" i="1"/>
</calcChain>
</file>

<file path=xl/sharedStrings.xml><?xml version="1.0" encoding="utf-8"?>
<sst xmlns="http://schemas.openxmlformats.org/spreadsheetml/2006/main" count="258" uniqueCount="148">
  <si>
    <t>Asset Parameters (normalized by commodity feedstock)</t>
  </si>
  <si>
    <t>Duals</t>
  </si>
  <si>
    <t>LCOE for assets with ethane capacity ($/t-ethylene)</t>
  </si>
  <si>
    <t>SEQ - CI</t>
  </si>
  <si>
    <t>SEQ - CREDIT</t>
  </si>
  <si>
    <t>NO SEQ - CI</t>
  </si>
  <si>
    <t>NO SEQ - CREDIT</t>
  </si>
  <si>
    <t>CHEM SEQUESTRATION - CARBON INTENSITY</t>
  </si>
  <si>
    <t>CHEM SEQUESTRATION - CREDIT</t>
  </si>
  <si>
    <t>NO CHEM SEQUESTRATION - CARBON INTENSITY</t>
  </si>
  <si>
    <t>NO CHEM SEQUESTRATION - CREDIT</t>
  </si>
  <si>
    <t>Carbon Content</t>
  </si>
  <si>
    <t>Carbon Inputs</t>
  </si>
  <si>
    <t>Carbon Outputs</t>
  </si>
  <si>
    <t>Sanity Checks</t>
  </si>
  <si>
    <t>id</t>
  </si>
  <si>
    <t>commodity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</si>
  <si>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</si>
  <si>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</si>
  <si>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</si>
  <si>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</si>
  <si>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</si>
  <si>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</si>
  <si>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capture_rate (t-CO2/MWh-ethane)</t>
  </si>
  <si>
    <t>emission_rate (t-CO2/MWh-ethane)</t>
  </si>
  <si>
    <t>investment_cost ($/yr per MW ethane)</t>
  </si>
  <si>
    <t>fixed_om_cost ($/yr per MW ethane)</t>
  </si>
  <si>
    <t>variable_om_cost ($/MWh-ethane)</t>
  </si>
  <si>
    <t>LPG_production (t-LPG/t-ethylene)</t>
  </si>
  <si>
    <t>co2_sink ($/t)</t>
  </si>
  <si>
    <t>co2_captured ($/t)</t>
  </si>
  <si>
    <t>bioherb_supply ($/t)</t>
  </si>
  <si>
    <t>biowood_supply ($/t)</t>
  </si>
  <si>
    <t>bioagri_supply ($/t)</t>
  </si>
  <si>
    <t>ethane_supply ($/MWh)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</si>
  <si>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</si>
  <si>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</si>
  <si>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</si>
  <si>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</si>
  <si>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</si>
  <si>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</si>
  <si>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</si>
  <si>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</si>
  <si>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</si>
  <si>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</si>
  <si>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</si>
  <si>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</si>
  <si>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</si>
  <si>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</si>
  <si>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</si>
  <si>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</si>
  <si>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</si>
  <si>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</si>
  <si>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</si>
  <si>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</si>
  <si>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</si>
  <si>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</si>
  <si>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</si>
  <si>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</si>
  <si>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</si>
  <si>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</si>
  <si>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</si>
  <si>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</si>
  <si>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</si>
  <si>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</si>
  <si>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</si>
  <si>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</si>
  <si>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Ethane (t-CO2/MWh-ethane)</t>
  </si>
  <si>
    <t>NG (t-CO2/MWh-NG)</t>
  </si>
  <si>
    <t>Ethane (t-CO2/t-ethylene)</t>
  </si>
  <si>
    <t>NG (t-CO2/t-ethylene)</t>
  </si>
  <si>
    <t>Total input (t-CO2/t-ethylene)</t>
  </si>
  <si>
    <t>Emissions (t-CO2/t-ethylene)</t>
  </si>
  <si>
    <t>Captured (t-CO2/t-ethylene)</t>
  </si>
  <si>
    <t>LPG (t-CO2/t-ethylene)</t>
  </si>
  <si>
    <t>Total Output (t-CO2/t-ethylene)</t>
  </si>
  <si>
    <t>Diff. Between Input and Output CO2 (t-CO2/t-ethylene)</t>
  </si>
  <si>
    <t>CA_TSC</t>
  </si>
  <si>
    <t>Ethane</t>
  </si>
  <si>
    <t>SW_TSC</t>
  </si>
  <si>
    <t>NW_TSC</t>
  </si>
  <si>
    <t>TX_TSC</t>
  </si>
  <si>
    <t>NCEN_TSC</t>
  </si>
  <si>
    <t>CEN_TSC</t>
  </si>
  <si>
    <t>SE_TSC</t>
  </si>
  <si>
    <t>MIDAT_TSC</t>
  </si>
  <si>
    <t>NE_TSC</t>
  </si>
  <si>
    <t>CA_TSC+CC90</t>
  </si>
  <si>
    <t>CA_TSC:H2</t>
  </si>
  <si>
    <t>CA_TSC+CC90:H2</t>
  </si>
  <si>
    <t>CA_TSC+H2in</t>
  </si>
  <si>
    <t>CA_TSC+H2in:CH4</t>
  </si>
  <si>
    <t>SW_TSC+CC90</t>
  </si>
  <si>
    <t>SW_TSC:H2</t>
  </si>
  <si>
    <t>SW_TSC+CC90:H2</t>
  </si>
  <si>
    <t>SW_TSC+H2in</t>
  </si>
  <si>
    <t>SW_TSC+H2in:CH4</t>
  </si>
  <si>
    <t>NW_TSC+CC90</t>
  </si>
  <si>
    <t>NW_TSC:H2</t>
  </si>
  <si>
    <t>NW_TSC+CC90:H2</t>
  </si>
  <si>
    <t>NW_TSC+H2in</t>
  </si>
  <si>
    <t>NW_TSC+H2in:CH4</t>
  </si>
  <si>
    <t>TX_TSC+CC90</t>
  </si>
  <si>
    <t>TX_TSC:H2</t>
  </si>
  <si>
    <t>TX_TSC+CC90:H2</t>
  </si>
  <si>
    <t>TX_TSC+H2in</t>
  </si>
  <si>
    <t>TX_TSC+H2in:CH4</t>
  </si>
  <si>
    <t>NCEN_TSC+CC90</t>
  </si>
  <si>
    <t>NCEN_TSC:H2</t>
  </si>
  <si>
    <t>NCEN_TSC+CC90:H2</t>
  </si>
  <si>
    <t>NCEN_TSC+H2in</t>
  </si>
  <si>
    <t>NCEN_TSC+H2in:CH4</t>
  </si>
  <si>
    <t>CEN_TSC+CC90</t>
  </si>
  <si>
    <t>CEN_TSC:H2</t>
  </si>
  <si>
    <t>CEN_TSC+CC90:H2</t>
  </si>
  <si>
    <t>CEN_TSC+H2in</t>
  </si>
  <si>
    <t>CEN_TSC+H2in:CH4</t>
  </si>
  <si>
    <t>SE_TSC+CC90</t>
  </si>
  <si>
    <t>SE_TSC:H2</t>
  </si>
  <si>
    <t>SE_TSC+CC90:H2</t>
  </si>
  <si>
    <t>SE_TSC+H2in</t>
  </si>
  <si>
    <t>SE_TSC+H2in:CH4</t>
  </si>
  <si>
    <t>MIDAT_TSC+CC90</t>
  </si>
  <si>
    <t>MIDAT_TSC:H2</t>
  </si>
  <si>
    <t>MIDAT_TSC+CC90:H2</t>
  </si>
  <si>
    <t>MIDAT_TSC+H2in</t>
  </si>
  <si>
    <t>MIDAT_TSC+H2in:CH4</t>
  </si>
  <si>
    <t>NE_TSC+CC90</t>
  </si>
  <si>
    <t>NE_TSC:H2</t>
  </si>
  <si>
    <t>NE_TSC+CC90:H2</t>
  </si>
  <si>
    <t>NE_TSC+H2in</t>
  </si>
  <si>
    <t>NE_TSC+H2in:CH4</t>
  </si>
  <si>
    <t>CA_ESC</t>
  </si>
  <si>
    <t>SW_ESC</t>
  </si>
  <si>
    <t>NW_ESC</t>
  </si>
  <si>
    <t>TX_ESC</t>
  </si>
  <si>
    <t>NCEN_ESC</t>
  </si>
  <si>
    <t>CEN_ESC</t>
  </si>
  <si>
    <t>SE_ESC</t>
  </si>
  <si>
    <t>MIDAT_ESC</t>
  </si>
  <si>
    <t>NE_ESC</t>
  </si>
  <si>
    <t>LCOE for steam/electric cracker ($/GJ-ethylene) - CHEMICALS SEQUESTRATION</t>
  </si>
  <si>
    <t>Assumptions</t>
  </si>
  <si>
    <t>LCOE ($/GJ-ethylene)</t>
  </si>
  <si>
    <t>CHECK LCOE ($/GJ-ethylene)</t>
  </si>
  <si>
    <t>Ethylene LHV</t>
  </si>
  <si>
    <t>GJ/t-ethylene</t>
  </si>
  <si>
    <t>LCOE for steam/electric cracker ($/GJ-ethylene) - NO CHEMICALS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</si>
</sst>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0" fillId="8" borderId="0" xfId="0" applyFill="1"/>
    <xf numFmtId="164" fontId="1" fillId="9" borderId="0" xfId="0" applyNumberFormat="1" applyFont="1" applyFill="1"/>
    <xf numFmtId="0" fontId="0" fillId="10" borderId="0" xfId="0" applyFill="1"/>
    <xf numFmtId="0" fontId="4" fillId="11" borderId="0" xfId="0" applyFont="1" applyFill="1"/>
    <xf numFmtId="0" fontId="2" fillId="12" borderId="0" xfId="0" applyFont="1" applyFill="1"/>
    <xf numFmtId="0" fontId="0" fillId="13" borderId="0" xfId="0" applyFill="1"/>
    <xf numFmtId="0" fontId="1" fillId="14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F107"/>
  <sheetViews>
    <sheetView tabSelected="1" topLeftCell="AR1" zoomScale="82" zoomScaleNormal="157" workbookViewId="0">
      <selection activeCell="AV17" sqref="AV17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14" style="1" customWidth="1"/>
    <col min="5" max="5" width="12.33203125" style="1" customWidth="1"/>
    <col min="6" max="6" width="14.6640625" style="1" customWidth="1"/>
    <col min="7" max="7" width="17" style="1" customWidth="1"/>
    <col min="8" max="8" width="16.33203125" style="1" customWidth="1"/>
    <col min="9" max="9" width="15.1640625" style="1" customWidth="1"/>
    <col min="10" max="12" width="17" style="1" customWidth="1"/>
    <col min="13" max="13" width="12.1640625" style="1" customWidth="1"/>
    <col min="14" max="14" width="15.83203125" style="1" customWidth="1"/>
    <col min="15" max="15" width="13.5" style="1" customWidth="1"/>
    <col min="16" max="16" width="3" style="1" customWidth="1"/>
    <col min="17" max="17" width="12.83203125" style="1" bestFit="1" customWidth="1"/>
    <col min="18" max="18" width="11" style="1" customWidth="1"/>
    <col min="19" max="19" width="12.83203125" style="1" customWidth="1"/>
    <col min="20" max="20" width="13.83203125" style="1" customWidth="1"/>
    <col min="21" max="21" width="12" style="1" customWidth="1"/>
    <col min="22" max="22" width="11.83203125" style="1" customWidth="1"/>
    <col min="23" max="23" width="13.5" style="1" customWidth="1"/>
    <col min="24" max="24" width="14.33203125" style="1" customWidth="1"/>
    <col min="25" max="25" width="11" style="1" customWidth="1"/>
    <col min="26" max="26" width="9.33203125" style="1" customWidth="1"/>
    <col min="27" max="27" width="10.33203125" style="1" customWidth="1"/>
    <col min="28" max="28" width="14.83203125" style="1" customWidth="1"/>
    <col min="29" max="29" width="14.5" style="1" customWidth="1"/>
    <col min="30" max="31" width="12.5" style="1" customWidth="1"/>
    <col min="32" max="32" width="12.1640625" style="1" customWidth="1"/>
    <col min="33" max="33" width="13.1640625" style="1" customWidth="1"/>
    <col min="34" max="34" width="9.33203125" style="1" customWidth="1"/>
    <col min="35" max="35" width="9.83203125" style="1" customWidth="1"/>
    <col min="36" max="36" width="14.5" style="1" customWidth="1"/>
    <col min="37" max="37" width="15.33203125" style="1" customWidth="1"/>
    <col min="38" max="38" width="3.33203125" customWidth="1"/>
    <col min="39" max="39" width="18.83203125" style="1" customWidth="1"/>
    <col min="40" max="40" width="19.83203125" style="1" customWidth="1"/>
    <col min="41" max="41" width="15.6640625" style="1" bestFit="1" customWidth="1"/>
    <col min="42" max="42" width="15.6640625" style="1" customWidth="1"/>
    <col min="43" max="43" width="18.33203125" style="1" bestFit="1" customWidth="1"/>
    <col min="44" max="45" width="15.6640625" style="1" customWidth="1"/>
    <col min="46" max="46" width="18.33203125" style="1" bestFit="1" customWidth="1"/>
    <col min="47" max="47" width="14.1640625" style="1" bestFit="1" customWidth="1"/>
    <col min="48" max="48" width="12.6640625" style="1" bestFit="1" customWidth="1"/>
    <col min="49" max="49" width="15.1640625" style="1" bestFit="1" customWidth="1"/>
    <col min="50" max="50" width="17.33203125" style="1" bestFit="1" customWidth="1"/>
    <col min="51" max="51" width="17.1640625" style="1" bestFit="1" customWidth="1"/>
    <col min="52" max="52" width="15.5" style="1" customWidth="1"/>
    <col min="53" max="53" width="13.6640625" style="1" bestFit="1" customWidth="1"/>
    <col min="54" max="54" width="12.1640625" style="1" bestFit="1" customWidth="1"/>
    <col min="55" max="55" width="14.5" style="1" bestFit="1" customWidth="1"/>
    <col min="56" max="56" width="10.5" style="1" customWidth="1"/>
    <col min="57" max="57" width="17.83203125" style="1" bestFit="1" customWidth="1"/>
    <col min="58" max="58" width="19.6640625" style="1" bestFit="1" customWidth="1"/>
    <col min="59" max="59" width="12.1640625" style="1" customWidth="1"/>
    <col min="60" max="60" width="17.83203125" style="1" bestFit="1" customWidth="1"/>
    <col min="61" max="61" width="19.33203125" style="1" bestFit="1" customWidth="1"/>
    <col min="62" max="62" width="18" style="1" customWidth="1"/>
    <col min="63" max="63" width="17.83203125" style="1" bestFit="1" customWidth="1"/>
    <col min="64" max="64" width="19.33203125" style="1" bestFit="1" customWidth="1"/>
    <col min="65" max="65" width="9.6640625" style="1" customWidth="1"/>
    <col min="66" max="66" width="17.83203125" style="1" bestFit="1" customWidth="1"/>
    <col min="67" max="67" width="19.33203125" style="1" bestFit="1" customWidth="1"/>
    <col min="68" max="68" width="3.33203125" style="1" customWidth="1"/>
    <col min="69" max="69" width="12.83203125" style="1" customWidth="1"/>
    <col min="70" max="70" width="11.6640625" style="1" customWidth="1"/>
    <col min="71" max="71" width="19.1640625" style="1" bestFit="1" customWidth="1"/>
    <col min="72" max="72" width="3.6640625" style="1" customWidth="1"/>
    <col min="73" max="73" width="21.6640625" style="1" bestFit="1" customWidth="1"/>
    <col min="74" max="74" width="18.33203125" style="1" bestFit="1" customWidth="1"/>
    <col min="75" max="75" width="24.33203125" style="1" bestFit="1" customWidth="1"/>
    <col min="76" max="76" width="3.33203125" style="1" customWidth="1"/>
    <col min="77" max="77" width="23" style="1" bestFit="1" customWidth="1"/>
    <col min="78" max="78" width="17.83203125" style="1" bestFit="1" customWidth="1"/>
    <col min="79" max="79" width="23.6640625" style="1" bestFit="1" customWidth="1"/>
    <col min="80" max="80" width="23.1640625" style="1" bestFit="1" customWidth="1"/>
    <col min="81" max="81" width="18.5" style="1" bestFit="1" customWidth="1"/>
    <col min="82" max="82" width="26" style="1" bestFit="1" customWidth="1"/>
    <col min="83" max="83" width="3" style="1" customWidth="1"/>
    <col min="84" max="84" width="43.5" style="1" bestFit="1" customWidth="1"/>
    <col min="85" max="91" width="10.83203125" style="1" customWidth="1"/>
    <col min="92" max="16384" width="10.83203125" style="1"/>
  </cols>
  <sheetData>
    <row r="1" spans="2:84" x14ac:dyDescent="0.2">
      <c r="B1" s="1" t="s">
        <v>0</v>
      </c>
      <c r="Q1" s="1" t="s">
        <v>1</v>
      </c>
      <c r="AM1" s="1" t="s">
        <v>2</v>
      </c>
      <c r="AO1" s="1" t="s">
        <v>3</v>
      </c>
      <c r="AP1" s="1" t="s">
        <v>4</v>
      </c>
      <c r="AR1" s="1" t="s">
        <v>5</v>
      </c>
      <c r="AS1" s="1" t="s">
        <v>6</v>
      </c>
      <c r="BD1" s="1" t="s">
        <v>7</v>
      </c>
      <c r="BG1" s="1" t="s">
        <v>8</v>
      </c>
      <c r="BJ1" s="1" t="s">
        <v>9</v>
      </c>
      <c r="BM1" s="1" t="s">
        <v>10</v>
      </c>
      <c r="BQ1" s="1" t="s">
        <v>11</v>
      </c>
      <c r="BU1" s="1" t="s">
        <v>12</v>
      </c>
      <c r="BY1" s="1" t="s">
        <v>13</v>
      </c>
      <c r="CF1" s="1" t="s">
        <v>14</v>
      </c>
    </row>
    <row r="2" spans="2:84" x14ac:dyDescent="0.2"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7" t="s">
        <v>28</v>
      </c>
      <c r="Q2" s="15" t="s">
        <v>29</v>
      </c>
      <c r="R2" s="15" t="s">
        <v>30</v>
      </c>
      <c r="S2" s="15" t="s">
        <v>31</v>
      </c>
      <c r="T2" s="15" t="s">
        <v>32</v>
      </c>
      <c r="U2" s="15" t="s">
        <v>33</v>
      </c>
      <c r="V2" s="7" t="s">
        <v>34</v>
      </c>
      <c r="W2" s="15" t="s">
        <v>35</v>
      </c>
      <c r="X2" s="15" t="s">
        <v>36</v>
      </c>
      <c r="Y2" s="15" t="s">
        <v>37</v>
      </c>
      <c r="Z2" s="15" t="s">
        <v>38</v>
      </c>
      <c r="AA2" s="15" t="s">
        <v>39</v>
      </c>
      <c r="AB2" s="15" t="s">
        <v>40</v>
      </c>
      <c r="AC2" s="15" t="s">
        <v>41</v>
      </c>
      <c r="AD2" s="15" t="s">
        <v>42</v>
      </c>
      <c r="AE2" s="15" t="s">
        <v>43</v>
      </c>
      <c r="AF2" s="15" t="s">
        <v>44</v>
      </c>
      <c r="AG2" s="15" t="s">
        <v>45</v>
      </c>
      <c r="AH2" s="15" t="s">
        <v>46</v>
      </c>
      <c r="AI2" s="15" t="s">
        <v>47</v>
      </c>
      <c r="AJ2" s="15" t="s">
        <v>48</v>
      </c>
      <c r="AK2" s="15" t="s">
        <v>49</v>
      </c>
      <c r="AM2" s="4" t="s">
        <v>50</v>
      </c>
      <c r="AN2" s="4" t="s">
        <v>51</v>
      </c>
      <c r="AO2" s="3" t="s">
        <v>52</v>
      </c>
      <c r="AP2" s="6" t="s">
        <v>52</v>
      </c>
      <c r="AQ2" s="7" t="s">
        <v>53</v>
      </c>
      <c r="AR2" s="3" t="s">
        <v>52</v>
      </c>
      <c r="AS2" s="6" t="s">
        <v>52</v>
      </c>
      <c r="AT2" s="7" t="s">
        <v>53</v>
      </c>
      <c r="AU2" s="4" t="s">
        <v>54</v>
      </c>
      <c r="AV2" s="4" t="s">
        <v>55</v>
      </c>
      <c r="AW2" s="4" t="s">
        <v>56</v>
      </c>
      <c r="AX2" s="4" t="s">
        <v>57</v>
      </c>
      <c r="AY2" s="4" t="s">
        <v>58</v>
      </c>
      <c r="AZ2" s="4" t="s">
        <v>59</v>
      </c>
      <c r="BA2" s="4" t="s">
        <v>60</v>
      </c>
      <c r="BB2" s="4" t="s">
        <v>61</v>
      </c>
      <c r="BC2" s="4" t="s">
        <v>62</v>
      </c>
      <c r="BD2" s="3" t="s">
        <v>63</v>
      </c>
      <c r="BE2" s="3" t="s">
        <v>64</v>
      </c>
      <c r="BF2" s="3" t="s">
        <v>65</v>
      </c>
      <c r="BG2" s="6" t="s">
        <v>63</v>
      </c>
      <c r="BH2" s="6" t="s">
        <v>64</v>
      </c>
      <c r="BI2" s="6" t="s">
        <v>65</v>
      </c>
      <c r="BJ2" s="3" t="s">
        <v>63</v>
      </c>
      <c r="BK2" s="3" t="s">
        <v>64</v>
      </c>
      <c r="BL2" s="3" t="s">
        <v>65</v>
      </c>
      <c r="BM2" s="6" t="s">
        <v>63</v>
      </c>
      <c r="BN2" s="6" t="s">
        <v>64</v>
      </c>
      <c r="BO2" s="6" t="s">
        <v>65</v>
      </c>
      <c r="BQ2" s="7" t="s">
        <v>66</v>
      </c>
      <c r="BR2" s="7" t="s">
        <v>67</v>
      </c>
      <c r="BS2" s="7" t="s">
        <v>68</v>
      </c>
      <c r="BU2" s="7" t="s">
        <v>69</v>
      </c>
      <c r="BV2" s="7" t="s">
        <v>70</v>
      </c>
      <c r="BW2" s="7" t="s">
        <v>71</v>
      </c>
      <c r="BY2" s="7" t="s">
        <v>66</v>
      </c>
      <c r="BZ2" s="7" t="s">
        <v>68</v>
      </c>
      <c r="CA2" s="7" t="s">
        <v>72</v>
      </c>
      <c r="CB2" s="7" t="s">
        <v>73</v>
      </c>
      <c r="CC2" s="7" t="s">
        <v>74</v>
      </c>
      <c r="CD2" s="7" t="s">
        <v>75</v>
      </c>
      <c r="CF2" s="7" t="s">
        <v>76</v>
      </c>
    </row>
    <row r="3" spans="2:84" x14ac:dyDescent="0.2">
      <c r="B3" s="14" t="s">
        <v>77</v>
      </c>
      <c r="C3" s="13" t="s">
        <v>78</v>
      </c>
      <c r="D3" s="13">
        <v>0</v>
      </c>
      <c r="E3" s="13">
        <v>0</v>
      </c>
      <c r="F3" s="13">
        <v>0</v>
      </c>
      <c r="G3" s="13">
        <v>5.3101897240000001E-2</v>
      </c>
      <c r="H3" s="13">
        <v>2.270169876E-2</v>
      </c>
      <c r="I3" s="13">
        <v>0</v>
      </c>
      <c r="J3" s="13">
        <v>0</v>
      </c>
      <c r="K3" s="13">
        <v>2.6783469550000001E-2</v>
      </c>
      <c r="L3" s="13">
        <v>99124.320160000003</v>
      </c>
      <c r="M3" s="13">
        <v>54251.997770000002</v>
      </c>
      <c r="N3" s="13">
        <v>1.6761597559999999</v>
      </c>
      <c r="O3" s="11">
        <f t="shared" ref="O3:O34" si="0">CC3/0.22/14</f>
        <v>0.19808570333027159</v>
      </c>
      <c r="Q3" s="16">
        <v>99.913297999999998</v>
      </c>
      <c r="R3" s="16">
        <v>-5.387721</v>
      </c>
      <c r="S3" s="16">
        <v>69.443859000000003</v>
      </c>
      <c r="T3" s="16">
        <v>44.089523</v>
      </c>
      <c r="U3" s="16">
        <v>38.115627000000003</v>
      </c>
      <c r="V3" s="11">
        <v>21.986353300000001</v>
      </c>
      <c r="W3" s="17"/>
      <c r="X3" s="17"/>
      <c r="Y3" s="16">
        <v>19.219857999999999</v>
      </c>
      <c r="Z3" s="16">
        <v>4.6412560000000003</v>
      </c>
      <c r="AA3" s="16"/>
      <c r="AB3" s="17"/>
      <c r="AC3" s="17"/>
      <c r="AD3" s="17"/>
      <c r="AE3" s="17"/>
      <c r="AF3" s="17"/>
      <c r="AG3" s="17"/>
      <c r="AH3" s="16">
        <v>-3.1358760000000001</v>
      </c>
      <c r="AI3" s="16">
        <v>-4.5195569999999998</v>
      </c>
      <c r="AJ3" s="16">
        <v>796.73600799999997</v>
      </c>
      <c r="AK3" s="16">
        <v>0</v>
      </c>
      <c r="AM3" s="1" t="str">
        <f t="shared" ref="AM3:AM34" si="1">B3</f>
        <v>CA_TSC</v>
      </c>
      <c r="AN3" s="1" t="str">
        <f t="shared" ref="AN3:AN34" si="2">C3</f>
        <v>Ethane</v>
      </c>
      <c r="AO3" s="12">
        <f t="shared" ref="AO3:AO34" si="3">SUM(AU3:BC3)+BE3+BF3</f>
        <v>861.01391931183161</v>
      </c>
      <c r="AP3" s="12">
        <f t="shared" ref="AP3:AP34" si="4">SUM(AU3:BC3)+BH3+BI3</f>
        <v>861.01391931183161</v>
      </c>
      <c r="AQ3" s="5">
        <f t="shared" ref="AQ3:AQ34" si="5">AO3-AP3</f>
        <v>0</v>
      </c>
      <c r="AR3" s="12">
        <f t="shared" ref="AR3:AR34" si="6">SUM(AU3:BC3)+BK3+BL3</f>
        <v>1235.6991744234729</v>
      </c>
      <c r="AS3" s="12">
        <f t="shared" ref="AS3:AS34" si="7">SUM(AU3:BC3)+BN3+BO3</f>
        <v>1235.6991744234729</v>
      </c>
      <c r="AT3" s="5">
        <f t="shared" ref="AT3:AT34" si="8">AR3-AS3</f>
        <v>0</v>
      </c>
      <c r="AU3" s="5">
        <f t="shared" ref="AU3:AU34" si="9">D3/G3*Z3</f>
        <v>0</v>
      </c>
      <c r="AV3" s="1">
        <f t="shared" ref="AV3:AV34" si="10">E3/G3*Z3*-1</f>
        <v>0</v>
      </c>
      <c r="AW3" s="1">
        <f t="shared" ref="AW3:AW34" si="11">F3/G3*Y3</f>
        <v>0</v>
      </c>
      <c r="AX3" s="1">
        <f t="shared" ref="AX3:AX34" si="12">1/G3*V3</f>
        <v>414.04082420313915</v>
      </c>
      <c r="AY3" s="1">
        <f t="shared" ref="AY3:AY34" si="13">H3/G3*AH3</f>
        <v>-1.340624648098049</v>
      </c>
      <c r="AZ3" s="1">
        <f t="shared" ref="AZ3:AZ34" si="14">I3/G3*AH3*-1</f>
        <v>0</v>
      </c>
      <c r="BA3" s="1">
        <f t="shared" ref="BA3:BA34" si="15">L3/G3/(0.9*8760)</f>
        <v>236.76830668400294</v>
      </c>
      <c r="BB3" s="1">
        <f t="shared" ref="BB3:BB34" si="16">M3/G3/(0.9*8760)</f>
        <v>129.58629754527846</v>
      </c>
      <c r="BC3" s="1">
        <f t="shared" ref="BC3:BC34" si="17">N3/G3</f>
        <v>31.564969297130897</v>
      </c>
      <c r="BD3" s="1">
        <f t="shared" ref="BD3:BD34" si="18">BZ3+CA3+CB3</f>
        <v>0.50437876878389287</v>
      </c>
      <c r="BE3" s="1">
        <f t="shared" ref="BE3:BE34" si="19">(Q3+R3)*-1*J3/G3</f>
        <v>0</v>
      </c>
      <c r="BF3" s="1">
        <f t="shared" ref="BF3:BF34" si="20">BD3*Q3</f>
        <v>50.394146230378183</v>
      </c>
      <c r="BG3" s="1">
        <f t="shared" ref="BG3:BG34" si="21">BZ3+CA3</f>
        <v>0.50437876878389287</v>
      </c>
      <c r="BH3" s="1">
        <f t="shared" ref="BH3:BH34" si="22">R3*J3*-1/G3</f>
        <v>0</v>
      </c>
      <c r="BI3" s="1">
        <f t="shared" ref="BI3:BI34" si="23">BG3*Q3</f>
        <v>50.394146230378183</v>
      </c>
      <c r="BJ3" s="1">
        <f t="shared" ref="BJ3:BJ34" si="24">SUM(BY3:CC3)</f>
        <v>4.2544827350411296</v>
      </c>
      <c r="BK3" s="1">
        <f t="shared" ref="BK3:BK34" si="25">(Q3+R3)*-1*J3/G3</f>
        <v>0</v>
      </c>
      <c r="BL3" s="1">
        <f t="shared" ref="BL3:BL34" si="26">BJ3*Q3</f>
        <v>425.07940134201942</v>
      </c>
      <c r="BM3" s="1">
        <f t="shared" ref="BM3:BM34" si="27">BY3+BZ3+CA3+CC3</f>
        <v>4.2544827350411296</v>
      </c>
      <c r="BN3" s="1">
        <f t="shared" ref="BN3:BN34" si="28">J3/G3*R3*-1</f>
        <v>0</v>
      </c>
      <c r="BO3" s="1">
        <f t="shared" ref="BO3:BO34" si="29">Q3*BM3</f>
        <v>425.07940134201942</v>
      </c>
      <c r="BQ3" s="9">
        <v>3.14</v>
      </c>
      <c r="BR3" s="10">
        <v>0.22181100240000001</v>
      </c>
      <c r="BS3" s="9">
        <v>0.18104824</v>
      </c>
      <c r="BU3" s="10">
        <f t="shared" ref="BU3:BU34" si="30">1/G3*BR3</f>
        <v>4.1770824382695828</v>
      </c>
      <c r="BV3" s="10">
        <f t="shared" ref="BV3:BV34" si="31">H3/G3*BS3</f>
        <v>7.7400296771546806E-2</v>
      </c>
      <c r="BW3" s="10">
        <f t="shared" ref="BW3:BW34" si="32">BU3+BV3</f>
        <v>4.2544827350411296</v>
      </c>
      <c r="BY3" s="10">
        <f t="shared" ref="BY3:BY34" si="33">BQ3</f>
        <v>3.14</v>
      </c>
      <c r="BZ3" s="10">
        <f t="shared" ref="BZ3:BZ34" si="34">I3/G3*BS3</f>
        <v>0</v>
      </c>
      <c r="CA3" s="10">
        <f t="shared" ref="CA3:CA34" si="35">K3/G3</f>
        <v>0.50437876878389287</v>
      </c>
      <c r="CB3" s="10">
        <f t="shared" ref="CB3:CB34" si="36">J3/G3</f>
        <v>0</v>
      </c>
      <c r="CC3" s="10">
        <f t="shared" ref="CC3:CC34" si="37">BW3-SUM(BY3:CB3)</f>
        <v>0.61010396625723651</v>
      </c>
      <c r="CD3" s="10">
        <f t="shared" ref="CD3:CD34" si="38">SUM(BY3:CC3)</f>
        <v>4.2544827350411296</v>
      </c>
      <c r="CF3" s="1">
        <f t="shared" ref="CF3:CF34" si="39">CD3-BW3</f>
        <v>0</v>
      </c>
    </row>
    <row r="4" spans="2:84" x14ac:dyDescent="0.2">
      <c r="B4" s="14" t="s">
        <v>79</v>
      </c>
      <c r="C4" s="13" t="s">
        <v>78</v>
      </c>
      <c r="D4" s="13">
        <v>0</v>
      </c>
      <c r="E4" s="13">
        <v>0</v>
      </c>
      <c r="F4" s="13">
        <v>0</v>
      </c>
      <c r="G4" s="13">
        <v>5.3101897240000001E-2</v>
      </c>
      <c r="H4" s="13">
        <v>2.270169876E-2</v>
      </c>
      <c r="I4" s="13">
        <v>0</v>
      </c>
      <c r="J4" s="13">
        <v>0</v>
      </c>
      <c r="K4" s="13">
        <v>2.6783469550000001E-2</v>
      </c>
      <c r="L4" s="13">
        <v>99124.320160000003</v>
      </c>
      <c r="M4" s="13">
        <v>54251.997770000002</v>
      </c>
      <c r="N4" s="13">
        <v>1.6761597559999999</v>
      </c>
      <c r="O4" s="11">
        <f t="shared" si="0"/>
        <v>0.19808570333027159</v>
      </c>
      <c r="Q4" s="16">
        <v>99.913297999999998</v>
      </c>
      <c r="R4" s="16">
        <v>-5.3212060000000001</v>
      </c>
      <c r="S4" s="16">
        <v>65.718463999999997</v>
      </c>
      <c r="T4" s="16">
        <v>44.094475000000003</v>
      </c>
      <c r="U4" s="16">
        <v>41.170529999999999</v>
      </c>
      <c r="V4" s="11">
        <v>21.986353300000001</v>
      </c>
      <c r="W4" s="17"/>
      <c r="X4" s="17"/>
      <c r="Y4" s="16">
        <v>20.088657000000001</v>
      </c>
      <c r="Z4" s="16">
        <v>6.2383220000000001</v>
      </c>
      <c r="AA4" s="16"/>
      <c r="AB4" s="17"/>
      <c r="AC4" s="17"/>
      <c r="AD4" s="17"/>
      <c r="AE4" s="17"/>
      <c r="AF4" s="17"/>
      <c r="AG4" s="17"/>
      <c r="AH4" s="16">
        <v>-1.2778670000000001</v>
      </c>
      <c r="AI4" s="16">
        <v>-3.0209890000000001</v>
      </c>
      <c r="AJ4" s="16">
        <v>796.73600799999997</v>
      </c>
      <c r="AK4" s="16">
        <v>0</v>
      </c>
      <c r="AM4" s="1" t="str">
        <f t="shared" si="1"/>
        <v>SW_TSC</v>
      </c>
      <c r="AN4" s="1" t="str">
        <f t="shared" si="2"/>
        <v>Ethane</v>
      </c>
      <c r="AO4" s="12">
        <f t="shared" si="3"/>
        <v>861.8082404717843</v>
      </c>
      <c r="AP4" s="12">
        <f t="shared" si="4"/>
        <v>861.8082404717843</v>
      </c>
      <c r="AQ4" s="5">
        <f t="shared" si="5"/>
        <v>0</v>
      </c>
      <c r="AR4" s="12">
        <f t="shared" si="6"/>
        <v>1236.4934955834256</v>
      </c>
      <c r="AS4" s="12">
        <f t="shared" si="7"/>
        <v>1236.4934955834256</v>
      </c>
      <c r="AT4" s="5">
        <f t="shared" si="8"/>
        <v>0</v>
      </c>
      <c r="AU4" s="5">
        <f t="shared" si="9"/>
        <v>0</v>
      </c>
      <c r="AV4" s="1">
        <f t="shared" si="10"/>
        <v>0</v>
      </c>
      <c r="AW4" s="1">
        <f t="shared" si="11"/>
        <v>0</v>
      </c>
      <c r="AX4" s="1">
        <f t="shared" si="12"/>
        <v>414.04082420313915</v>
      </c>
      <c r="AY4" s="1">
        <f t="shared" si="13"/>
        <v>-0.54630348814529328</v>
      </c>
      <c r="AZ4" s="1">
        <f t="shared" si="14"/>
        <v>0</v>
      </c>
      <c r="BA4" s="1">
        <f t="shared" si="15"/>
        <v>236.76830668400294</v>
      </c>
      <c r="BB4" s="1">
        <f t="shared" si="16"/>
        <v>129.58629754527846</v>
      </c>
      <c r="BC4" s="1">
        <f t="shared" si="17"/>
        <v>31.564969297130897</v>
      </c>
      <c r="BD4" s="1">
        <f t="shared" si="18"/>
        <v>0.50437876878389287</v>
      </c>
      <c r="BE4" s="1">
        <f t="shared" si="19"/>
        <v>0</v>
      </c>
      <c r="BF4" s="1">
        <f t="shared" si="20"/>
        <v>50.394146230378183</v>
      </c>
      <c r="BG4" s="1">
        <f t="shared" si="21"/>
        <v>0.50437876878389287</v>
      </c>
      <c r="BH4" s="1">
        <f t="shared" si="22"/>
        <v>0</v>
      </c>
      <c r="BI4" s="1">
        <f t="shared" si="23"/>
        <v>50.394146230378183</v>
      </c>
      <c r="BJ4" s="1">
        <f t="shared" si="24"/>
        <v>4.2544827350411296</v>
      </c>
      <c r="BK4" s="1">
        <f t="shared" si="25"/>
        <v>0</v>
      </c>
      <c r="BL4" s="1">
        <f t="shared" si="26"/>
        <v>425.07940134201942</v>
      </c>
      <c r="BM4" s="1">
        <f t="shared" si="27"/>
        <v>4.2544827350411296</v>
      </c>
      <c r="BN4" s="1">
        <f t="shared" si="28"/>
        <v>0</v>
      </c>
      <c r="BO4" s="1">
        <f t="shared" si="29"/>
        <v>425.07940134201942</v>
      </c>
      <c r="BQ4" s="9">
        <v>3.14</v>
      </c>
      <c r="BR4" s="10">
        <v>0.22181100240000001</v>
      </c>
      <c r="BS4" s="9">
        <v>0.18104824</v>
      </c>
      <c r="BU4" s="10">
        <f t="shared" si="30"/>
        <v>4.1770824382695828</v>
      </c>
      <c r="BV4" s="10">
        <f t="shared" si="31"/>
        <v>7.7400296771546806E-2</v>
      </c>
      <c r="BW4" s="10">
        <f t="shared" si="32"/>
        <v>4.2544827350411296</v>
      </c>
      <c r="BY4" s="10">
        <f t="shared" si="33"/>
        <v>3.14</v>
      </c>
      <c r="BZ4" s="10">
        <f t="shared" si="34"/>
        <v>0</v>
      </c>
      <c r="CA4" s="10">
        <f t="shared" si="35"/>
        <v>0.50437876878389287</v>
      </c>
      <c r="CB4" s="10">
        <f t="shared" si="36"/>
        <v>0</v>
      </c>
      <c r="CC4" s="10">
        <f t="shared" si="37"/>
        <v>0.61010396625723651</v>
      </c>
      <c r="CD4" s="10">
        <f t="shared" si="38"/>
        <v>4.2544827350411296</v>
      </c>
      <c r="CF4" s="1">
        <f t="shared" si="39"/>
        <v>0</v>
      </c>
    </row>
    <row r="5" spans="2:84" x14ac:dyDescent="0.2">
      <c r="B5" s="14" t="s">
        <v>80</v>
      </c>
      <c r="C5" s="13" t="s">
        <v>78</v>
      </c>
      <c r="D5" s="13">
        <v>0</v>
      </c>
      <c r="E5" s="13">
        <v>0</v>
      </c>
      <c r="F5" s="13">
        <v>0</v>
      </c>
      <c r="G5" s="13">
        <v>5.3101897240000001E-2</v>
      </c>
      <c r="H5" s="13">
        <v>2.270169876E-2</v>
      </c>
      <c r="I5" s="13">
        <v>0</v>
      </c>
      <c r="J5" s="13">
        <v>0</v>
      </c>
      <c r="K5" s="13">
        <v>2.6783469550000001E-2</v>
      </c>
      <c r="L5" s="13">
        <v>99124.320160000003</v>
      </c>
      <c r="M5" s="13">
        <v>54251.997770000002</v>
      </c>
      <c r="N5" s="13">
        <v>1.6761597559999999</v>
      </c>
      <c r="O5" s="11">
        <f t="shared" si="0"/>
        <v>0.19808570333027159</v>
      </c>
      <c r="Q5" s="16">
        <v>99.913297999999998</v>
      </c>
      <c r="R5" s="16">
        <v>-5.2801289999999996</v>
      </c>
      <c r="S5" s="16">
        <v>67.915679999999995</v>
      </c>
      <c r="T5" s="16">
        <v>44.074162000000001</v>
      </c>
      <c r="U5" s="16">
        <v>42.063156999999997</v>
      </c>
      <c r="V5" s="11">
        <v>21.986353300000001</v>
      </c>
      <c r="W5" s="17"/>
      <c r="X5" s="17"/>
      <c r="Y5" s="16">
        <v>19.074368</v>
      </c>
      <c r="Z5" s="16">
        <v>5.2387449999999998</v>
      </c>
      <c r="AA5" s="16"/>
      <c r="AB5" s="17"/>
      <c r="AC5" s="17"/>
      <c r="AD5" s="17"/>
      <c r="AE5" s="17"/>
      <c r="AF5" s="17"/>
      <c r="AG5" s="17"/>
      <c r="AH5" s="16">
        <v>-2.438704</v>
      </c>
      <c r="AI5" s="16">
        <v>-3.9563220000000001</v>
      </c>
      <c r="AJ5" s="16">
        <v>796.73600799999997</v>
      </c>
      <c r="AK5" s="16">
        <v>0</v>
      </c>
      <c r="AM5" s="1" t="str">
        <f t="shared" si="1"/>
        <v>NW_TSC</v>
      </c>
      <c r="AN5" s="1" t="str">
        <f t="shared" si="2"/>
        <v>Ethane</v>
      </c>
      <c r="AO5" s="12">
        <f t="shared" si="3"/>
        <v>861.31196871402858</v>
      </c>
      <c r="AP5" s="12">
        <f t="shared" si="4"/>
        <v>861.31196871402858</v>
      </c>
      <c r="AQ5" s="5">
        <f t="shared" si="5"/>
        <v>0</v>
      </c>
      <c r="AR5" s="12">
        <f t="shared" si="6"/>
        <v>1235.9972238256698</v>
      </c>
      <c r="AS5" s="12">
        <f t="shared" si="7"/>
        <v>1235.9972238256698</v>
      </c>
      <c r="AT5" s="5">
        <f t="shared" si="8"/>
        <v>0</v>
      </c>
      <c r="AU5" s="5">
        <f t="shared" si="9"/>
        <v>0</v>
      </c>
      <c r="AV5" s="1">
        <f t="shared" si="10"/>
        <v>0</v>
      </c>
      <c r="AW5" s="1">
        <f t="shared" si="11"/>
        <v>0</v>
      </c>
      <c r="AX5" s="1">
        <f t="shared" si="12"/>
        <v>414.04082420313915</v>
      </c>
      <c r="AY5" s="1">
        <f t="shared" si="13"/>
        <v>-1.0425752459010831</v>
      </c>
      <c r="AZ5" s="1">
        <f t="shared" si="14"/>
        <v>0</v>
      </c>
      <c r="BA5" s="1">
        <f t="shared" si="15"/>
        <v>236.76830668400294</v>
      </c>
      <c r="BB5" s="1">
        <f t="shared" si="16"/>
        <v>129.58629754527846</v>
      </c>
      <c r="BC5" s="1">
        <f t="shared" si="17"/>
        <v>31.564969297130897</v>
      </c>
      <c r="BD5" s="1">
        <f t="shared" si="18"/>
        <v>0.50437876878389287</v>
      </c>
      <c r="BE5" s="1">
        <f t="shared" si="19"/>
        <v>0</v>
      </c>
      <c r="BF5" s="1">
        <f t="shared" si="20"/>
        <v>50.394146230378183</v>
      </c>
      <c r="BG5" s="1">
        <f t="shared" si="21"/>
        <v>0.50437876878389287</v>
      </c>
      <c r="BH5" s="1">
        <f t="shared" si="22"/>
        <v>0</v>
      </c>
      <c r="BI5" s="1">
        <f t="shared" si="23"/>
        <v>50.394146230378183</v>
      </c>
      <c r="BJ5" s="1">
        <f t="shared" si="24"/>
        <v>4.2544827350411296</v>
      </c>
      <c r="BK5" s="1">
        <f t="shared" si="25"/>
        <v>0</v>
      </c>
      <c r="BL5" s="1">
        <f t="shared" si="26"/>
        <v>425.07940134201942</v>
      </c>
      <c r="BM5" s="1">
        <f t="shared" si="27"/>
        <v>4.2544827350411296</v>
      </c>
      <c r="BN5" s="1">
        <f t="shared" si="28"/>
        <v>0</v>
      </c>
      <c r="BO5" s="1">
        <f t="shared" si="29"/>
        <v>425.07940134201942</v>
      </c>
      <c r="BQ5" s="9">
        <v>3.14</v>
      </c>
      <c r="BR5" s="10">
        <v>0.22181100240000001</v>
      </c>
      <c r="BS5" s="9">
        <v>0.18104824</v>
      </c>
      <c r="BU5" s="10">
        <f t="shared" si="30"/>
        <v>4.1770824382695828</v>
      </c>
      <c r="BV5" s="10">
        <f t="shared" si="31"/>
        <v>7.7400296771546806E-2</v>
      </c>
      <c r="BW5" s="10">
        <f t="shared" si="32"/>
        <v>4.2544827350411296</v>
      </c>
      <c r="BY5" s="10">
        <f t="shared" si="33"/>
        <v>3.14</v>
      </c>
      <c r="BZ5" s="10">
        <f t="shared" si="34"/>
        <v>0</v>
      </c>
      <c r="CA5" s="10">
        <f t="shared" si="35"/>
        <v>0.50437876878389287</v>
      </c>
      <c r="CB5" s="10">
        <f t="shared" si="36"/>
        <v>0</v>
      </c>
      <c r="CC5" s="10">
        <f t="shared" si="37"/>
        <v>0.61010396625723651</v>
      </c>
      <c r="CD5" s="10">
        <f t="shared" si="38"/>
        <v>4.2544827350411296</v>
      </c>
      <c r="CF5" s="1">
        <f t="shared" si="39"/>
        <v>0</v>
      </c>
    </row>
    <row r="6" spans="2:84" x14ac:dyDescent="0.2">
      <c r="B6" s="14" t="s">
        <v>81</v>
      </c>
      <c r="C6" s="13" t="s">
        <v>78</v>
      </c>
      <c r="D6" s="13">
        <v>0</v>
      </c>
      <c r="E6" s="13">
        <v>0</v>
      </c>
      <c r="F6" s="13">
        <v>0</v>
      </c>
      <c r="G6" s="13">
        <v>5.3101897240000001E-2</v>
      </c>
      <c r="H6" s="13">
        <v>2.270169876E-2</v>
      </c>
      <c r="I6" s="13">
        <v>0</v>
      </c>
      <c r="J6" s="13">
        <v>0</v>
      </c>
      <c r="K6" s="13">
        <v>2.6783469550000001E-2</v>
      </c>
      <c r="L6" s="13">
        <v>99124.320160000003</v>
      </c>
      <c r="M6" s="13">
        <v>54251.997770000002</v>
      </c>
      <c r="N6" s="13">
        <v>1.6761597559999999</v>
      </c>
      <c r="O6" s="11">
        <f t="shared" si="0"/>
        <v>0.19808570333027159</v>
      </c>
      <c r="Q6" s="16">
        <v>99.913297999999998</v>
      </c>
      <c r="R6" s="16">
        <v>-4.9988429999999999</v>
      </c>
      <c r="S6" s="16">
        <v>65.086748999999998</v>
      </c>
      <c r="T6" s="16">
        <v>44.879451000000003</v>
      </c>
      <c r="U6" s="16">
        <v>38.220582</v>
      </c>
      <c r="V6" s="11">
        <v>21.986353300000001</v>
      </c>
      <c r="W6" s="17"/>
      <c r="X6" s="17"/>
      <c r="Y6" s="16">
        <v>20.958410000000001</v>
      </c>
      <c r="Z6" s="16">
        <v>6.0598489999999998</v>
      </c>
      <c r="AA6" s="16"/>
      <c r="AB6" s="17"/>
      <c r="AC6" s="17"/>
      <c r="AD6" s="17"/>
      <c r="AE6" s="17"/>
      <c r="AF6" s="17"/>
      <c r="AG6" s="17"/>
      <c r="AH6" s="16">
        <v>-1.4811879999999999</v>
      </c>
      <c r="AI6" s="16">
        <v>-3.2138800000000001</v>
      </c>
      <c r="AJ6" s="16">
        <v>796.73600799999997</v>
      </c>
      <c r="AK6" s="16">
        <v>796.73600799999997</v>
      </c>
      <c r="AM6" s="1" t="str">
        <f t="shared" si="1"/>
        <v>TX_TSC</v>
      </c>
      <c r="AN6" s="1" t="str">
        <f t="shared" si="2"/>
        <v>Ethane</v>
      </c>
      <c r="AO6" s="12">
        <f t="shared" si="3"/>
        <v>861.72131830264379</v>
      </c>
      <c r="AP6" s="12">
        <f t="shared" si="4"/>
        <v>861.72131830264379</v>
      </c>
      <c r="AQ6" s="5">
        <f t="shared" si="5"/>
        <v>0</v>
      </c>
      <c r="AR6" s="12">
        <f t="shared" si="6"/>
        <v>1236.406573414285</v>
      </c>
      <c r="AS6" s="12">
        <f t="shared" si="7"/>
        <v>1236.406573414285</v>
      </c>
      <c r="AT6" s="5">
        <f t="shared" si="8"/>
        <v>0</v>
      </c>
      <c r="AU6" s="5">
        <f t="shared" si="9"/>
        <v>0</v>
      </c>
      <c r="AV6" s="1">
        <f t="shared" si="10"/>
        <v>0</v>
      </c>
      <c r="AW6" s="1">
        <f t="shared" si="11"/>
        <v>0</v>
      </c>
      <c r="AX6" s="1">
        <f t="shared" si="12"/>
        <v>414.04082420313915</v>
      </c>
      <c r="AY6" s="1">
        <f t="shared" si="13"/>
        <v>-0.63322565728589175</v>
      </c>
      <c r="AZ6" s="1">
        <f t="shared" si="14"/>
        <v>0</v>
      </c>
      <c r="BA6" s="1">
        <f t="shared" si="15"/>
        <v>236.76830668400294</v>
      </c>
      <c r="BB6" s="1">
        <f t="shared" si="16"/>
        <v>129.58629754527846</v>
      </c>
      <c r="BC6" s="1">
        <f t="shared" si="17"/>
        <v>31.564969297130897</v>
      </c>
      <c r="BD6" s="1">
        <f t="shared" si="18"/>
        <v>0.50437876878389287</v>
      </c>
      <c r="BE6" s="1">
        <f t="shared" si="19"/>
        <v>0</v>
      </c>
      <c r="BF6" s="1">
        <f t="shared" si="20"/>
        <v>50.394146230378183</v>
      </c>
      <c r="BG6" s="1">
        <f t="shared" si="21"/>
        <v>0.50437876878389287</v>
      </c>
      <c r="BH6" s="1">
        <f t="shared" si="22"/>
        <v>0</v>
      </c>
      <c r="BI6" s="1">
        <f t="shared" si="23"/>
        <v>50.394146230378183</v>
      </c>
      <c r="BJ6" s="1">
        <f t="shared" si="24"/>
        <v>4.2544827350411296</v>
      </c>
      <c r="BK6" s="1">
        <f t="shared" si="25"/>
        <v>0</v>
      </c>
      <c r="BL6" s="1">
        <f t="shared" si="26"/>
        <v>425.07940134201942</v>
      </c>
      <c r="BM6" s="1">
        <f t="shared" si="27"/>
        <v>4.2544827350411296</v>
      </c>
      <c r="BN6" s="1">
        <f t="shared" si="28"/>
        <v>0</v>
      </c>
      <c r="BO6" s="1">
        <f t="shared" si="29"/>
        <v>425.07940134201942</v>
      </c>
      <c r="BQ6" s="9">
        <v>3.14</v>
      </c>
      <c r="BR6" s="10">
        <v>0.22181100240000001</v>
      </c>
      <c r="BS6" s="9">
        <v>0.18104824</v>
      </c>
      <c r="BU6" s="10">
        <f t="shared" si="30"/>
        <v>4.1770824382695828</v>
      </c>
      <c r="BV6" s="10">
        <f t="shared" si="31"/>
        <v>7.7400296771546806E-2</v>
      </c>
      <c r="BW6" s="10">
        <f t="shared" si="32"/>
        <v>4.2544827350411296</v>
      </c>
      <c r="BY6" s="10">
        <f t="shared" si="33"/>
        <v>3.14</v>
      </c>
      <c r="BZ6" s="10">
        <f t="shared" si="34"/>
        <v>0</v>
      </c>
      <c r="CA6" s="10">
        <f t="shared" si="35"/>
        <v>0.50437876878389287</v>
      </c>
      <c r="CB6" s="10">
        <f t="shared" si="36"/>
        <v>0</v>
      </c>
      <c r="CC6" s="10">
        <f t="shared" si="37"/>
        <v>0.61010396625723651</v>
      </c>
      <c r="CD6" s="10">
        <f t="shared" si="38"/>
        <v>4.2544827350411296</v>
      </c>
      <c r="CF6" s="1">
        <f t="shared" si="39"/>
        <v>0</v>
      </c>
    </row>
    <row r="7" spans="2:84" x14ac:dyDescent="0.2">
      <c r="B7" s="14" t="s">
        <v>82</v>
      </c>
      <c r="C7" s="13" t="s">
        <v>78</v>
      </c>
      <c r="D7" s="13">
        <v>0</v>
      </c>
      <c r="E7" s="13">
        <v>0</v>
      </c>
      <c r="F7" s="13">
        <v>0</v>
      </c>
      <c r="G7" s="13">
        <v>5.3101897240000001E-2</v>
      </c>
      <c r="H7" s="13">
        <v>2.270169876E-2</v>
      </c>
      <c r="I7" s="13">
        <v>0</v>
      </c>
      <c r="J7" s="13">
        <v>0</v>
      </c>
      <c r="K7" s="13">
        <v>2.6783469550000001E-2</v>
      </c>
      <c r="L7" s="13">
        <v>99124.320160000003</v>
      </c>
      <c r="M7" s="13">
        <v>54251.997770000002</v>
      </c>
      <c r="N7" s="13">
        <v>1.6761597559999999</v>
      </c>
      <c r="O7" s="11">
        <f t="shared" si="0"/>
        <v>0.19808570333027159</v>
      </c>
      <c r="Q7" s="16">
        <v>99.913297999999998</v>
      </c>
      <c r="R7" s="16">
        <v>-6.0888099999999996</v>
      </c>
      <c r="S7" s="16">
        <v>66.120495000000005</v>
      </c>
      <c r="T7" s="16">
        <v>43.630616000000003</v>
      </c>
      <c r="U7" s="16">
        <v>43.105328999999998</v>
      </c>
      <c r="V7" s="11">
        <v>21.986353300000001</v>
      </c>
      <c r="W7" s="17"/>
      <c r="X7" s="17"/>
      <c r="Y7" s="16">
        <v>22.136932000000002</v>
      </c>
      <c r="Z7" s="16">
        <v>6.8015340000000002</v>
      </c>
      <c r="AA7" s="16"/>
      <c r="AB7" s="17"/>
      <c r="AC7" s="17"/>
      <c r="AD7" s="17"/>
      <c r="AE7" s="17"/>
      <c r="AF7" s="17"/>
      <c r="AG7" s="17"/>
      <c r="AH7" s="16">
        <v>-0.82477800000000001</v>
      </c>
      <c r="AI7" s="16">
        <v>-3.075704</v>
      </c>
      <c r="AJ7" s="16">
        <v>796.73600799999997</v>
      </c>
      <c r="AK7" s="16">
        <v>796.73600799999997</v>
      </c>
      <c r="AM7" s="1" t="str">
        <f t="shared" si="1"/>
        <v>NCEN_TSC</v>
      </c>
      <c r="AN7" s="1" t="str">
        <f t="shared" si="2"/>
        <v>Ethane</v>
      </c>
      <c r="AO7" s="12">
        <f t="shared" si="3"/>
        <v>862.00194146033823</v>
      </c>
      <c r="AP7" s="12">
        <f t="shared" si="4"/>
        <v>862.00194146033823</v>
      </c>
      <c r="AQ7" s="5">
        <f t="shared" si="5"/>
        <v>0</v>
      </c>
      <c r="AR7" s="12">
        <f t="shared" si="6"/>
        <v>1236.6871965719795</v>
      </c>
      <c r="AS7" s="12">
        <f t="shared" si="7"/>
        <v>1236.6871965719795</v>
      </c>
      <c r="AT7" s="5">
        <f t="shared" si="8"/>
        <v>0</v>
      </c>
      <c r="AU7" s="5">
        <f t="shared" si="9"/>
        <v>0</v>
      </c>
      <c r="AV7" s="1">
        <f t="shared" si="10"/>
        <v>0</v>
      </c>
      <c r="AW7" s="1">
        <f t="shared" si="11"/>
        <v>0</v>
      </c>
      <c r="AX7" s="1">
        <f t="shared" si="12"/>
        <v>414.04082420313915</v>
      </c>
      <c r="AY7" s="1">
        <f t="shared" si="13"/>
        <v>-0.35260249959150575</v>
      </c>
      <c r="AZ7" s="1">
        <f t="shared" si="14"/>
        <v>0</v>
      </c>
      <c r="BA7" s="1">
        <f t="shared" si="15"/>
        <v>236.76830668400294</v>
      </c>
      <c r="BB7" s="1">
        <f t="shared" si="16"/>
        <v>129.58629754527846</v>
      </c>
      <c r="BC7" s="1">
        <f t="shared" si="17"/>
        <v>31.564969297130897</v>
      </c>
      <c r="BD7" s="1">
        <f t="shared" si="18"/>
        <v>0.50437876878389287</v>
      </c>
      <c r="BE7" s="1">
        <f t="shared" si="19"/>
        <v>0</v>
      </c>
      <c r="BF7" s="1">
        <f t="shared" si="20"/>
        <v>50.394146230378183</v>
      </c>
      <c r="BG7" s="1">
        <f t="shared" si="21"/>
        <v>0.50437876878389287</v>
      </c>
      <c r="BH7" s="1">
        <f t="shared" si="22"/>
        <v>0</v>
      </c>
      <c r="BI7" s="1">
        <f t="shared" si="23"/>
        <v>50.394146230378183</v>
      </c>
      <c r="BJ7" s="1">
        <f t="shared" si="24"/>
        <v>4.2544827350411296</v>
      </c>
      <c r="BK7" s="1">
        <f t="shared" si="25"/>
        <v>0</v>
      </c>
      <c r="BL7" s="1">
        <f t="shared" si="26"/>
        <v>425.07940134201942</v>
      </c>
      <c r="BM7" s="1">
        <f t="shared" si="27"/>
        <v>4.2544827350411296</v>
      </c>
      <c r="BN7" s="1">
        <f t="shared" si="28"/>
        <v>0</v>
      </c>
      <c r="BO7" s="1">
        <f t="shared" si="29"/>
        <v>425.07940134201942</v>
      </c>
      <c r="BQ7" s="9">
        <v>3.14</v>
      </c>
      <c r="BR7" s="10">
        <v>0.22181100240000001</v>
      </c>
      <c r="BS7" s="9">
        <v>0.18104824</v>
      </c>
      <c r="BU7" s="10">
        <f t="shared" si="30"/>
        <v>4.1770824382695828</v>
      </c>
      <c r="BV7" s="10">
        <f t="shared" si="31"/>
        <v>7.7400296771546806E-2</v>
      </c>
      <c r="BW7" s="10">
        <f t="shared" si="32"/>
        <v>4.2544827350411296</v>
      </c>
      <c r="BY7" s="10">
        <f t="shared" si="33"/>
        <v>3.14</v>
      </c>
      <c r="BZ7" s="10">
        <f t="shared" si="34"/>
        <v>0</v>
      </c>
      <c r="CA7" s="10">
        <f t="shared" si="35"/>
        <v>0.50437876878389287</v>
      </c>
      <c r="CB7" s="10">
        <f t="shared" si="36"/>
        <v>0</v>
      </c>
      <c r="CC7" s="10">
        <f t="shared" si="37"/>
        <v>0.61010396625723651</v>
      </c>
      <c r="CD7" s="10">
        <f t="shared" si="38"/>
        <v>4.2544827350411296</v>
      </c>
      <c r="CF7" s="1">
        <f t="shared" si="39"/>
        <v>0</v>
      </c>
    </row>
    <row r="8" spans="2:84" x14ac:dyDescent="0.2">
      <c r="B8" s="14" t="s">
        <v>83</v>
      </c>
      <c r="C8" s="13" t="s">
        <v>78</v>
      </c>
      <c r="D8" s="13">
        <v>0</v>
      </c>
      <c r="E8" s="13">
        <v>0</v>
      </c>
      <c r="F8" s="13">
        <v>0</v>
      </c>
      <c r="G8" s="13">
        <v>5.3101897240000001E-2</v>
      </c>
      <c r="H8" s="13">
        <v>2.270169876E-2</v>
      </c>
      <c r="I8" s="13">
        <v>0</v>
      </c>
      <c r="J8" s="13">
        <v>0</v>
      </c>
      <c r="K8" s="13">
        <v>2.6783469550000001E-2</v>
      </c>
      <c r="L8" s="13">
        <v>99124.320160000003</v>
      </c>
      <c r="M8" s="13">
        <v>54251.997770000002</v>
      </c>
      <c r="N8" s="13">
        <v>1.6761597559999999</v>
      </c>
      <c r="O8" s="11">
        <f t="shared" si="0"/>
        <v>0.19808570333027159</v>
      </c>
      <c r="Q8" s="16">
        <v>99.913297999999998</v>
      </c>
      <c r="R8" s="16">
        <v>-6.197641</v>
      </c>
      <c r="S8" s="16">
        <v>65.135812000000001</v>
      </c>
      <c r="T8" s="16">
        <v>43.372329999999998</v>
      </c>
      <c r="U8" s="16">
        <v>42.438417999999999</v>
      </c>
      <c r="V8" s="11">
        <v>21.986353300000001</v>
      </c>
      <c r="W8" s="17"/>
      <c r="X8" s="17"/>
      <c r="Y8" s="16">
        <v>21.530919000000001</v>
      </c>
      <c r="Z8" s="16">
        <v>6.288532</v>
      </c>
      <c r="AA8" s="16"/>
      <c r="AB8" s="17"/>
      <c r="AC8" s="17"/>
      <c r="AD8" s="17"/>
      <c r="AE8" s="17"/>
      <c r="AF8" s="17"/>
      <c r="AG8" s="17"/>
      <c r="AH8" s="16">
        <v>-1.431457</v>
      </c>
      <c r="AI8" s="16">
        <v>-3.351826</v>
      </c>
      <c r="AJ8" s="16">
        <v>796.73600799999997</v>
      </c>
      <c r="AK8" s="16">
        <v>796.73600799999997</v>
      </c>
      <c r="AM8" s="1" t="str">
        <f t="shared" si="1"/>
        <v>CEN_TSC</v>
      </c>
      <c r="AN8" s="1" t="str">
        <f t="shared" si="2"/>
        <v>Ethane</v>
      </c>
      <c r="AO8" s="12">
        <f t="shared" si="3"/>
        <v>861.74257890235322</v>
      </c>
      <c r="AP8" s="12">
        <f t="shared" si="4"/>
        <v>861.74257890235322</v>
      </c>
      <c r="AQ8" s="5">
        <f t="shared" si="5"/>
        <v>0</v>
      </c>
      <c r="AR8" s="12">
        <f t="shared" si="6"/>
        <v>1236.4278340139945</v>
      </c>
      <c r="AS8" s="12">
        <f t="shared" si="7"/>
        <v>1236.4278340139945</v>
      </c>
      <c r="AT8" s="5">
        <f t="shared" si="8"/>
        <v>0</v>
      </c>
      <c r="AU8" s="5">
        <f t="shared" si="9"/>
        <v>0</v>
      </c>
      <c r="AV8" s="1">
        <f t="shared" si="10"/>
        <v>0</v>
      </c>
      <c r="AW8" s="1">
        <f t="shared" si="11"/>
        <v>0</v>
      </c>
      <c r="AX8" s="1">
        <f t="shared" si="12"/>
        <v>414.04082420313915</v>
      </c>
      <c r="AY8" s="1">
        <f t="shared" si="13"/>
        <v>-0.61196505757641206</v>
      </c>
      <c r="AZ8" s="1">
        <f t="shared" si="14"/>
        <v>0</v>
      </c>
      <c r="BA8" s="1">
        <f t="shared" si="15"/>
        <v>236.76830668400294</v>
      </c>
      <c r="BB8" s="1">
        <f t="shared" si="16"/>
        <v>129.58629754527846</v>
      </c>
      <c r="BC8" s="1">
        <f t="shared" si="17"/>
        <v>31.564969297130897</v>
      </c>
      <c r="BD8" s="1">
        <f t="shared" si="18"/>
        <v>0.50437876878389287</v>
      </c>
      <c r="BE8" s="1">
        <f t="shared" si="19"/>
        <v>0</v>
      </c>
      <c r="BF8" s="1">
        <f t="shared" si="20"/>
        <v>50.394146230378183</v>
      </c>
      <c r="BG8" s="1">
        <f t="shared" si="21"/>
        <v>0.50437876878389287</v>
      </c>
      <c r="BH8" s="1">
        <f t="shared" si="22"/>
        <v>0</v>
      </c>
      <c r="BI8" s="1">
        <f t="shared" si="23"/>
        <v>50.394146230378183</v>
      </c>
      <c r="BJ8" s="1">
        <f t="shared" si="24"/>
        <v>4.2544827350411296</v>
      </c>
      <c r="BK8" s="1">
        <f t="shared" si="25"/>
        <v>0</v>
      </c>
      <c r="BL8" s="1">
        <f t="shared" si="26"/>
        <v>425.07940134201942</v>
      </c>
      <c r="BM8" s="1">
        <f t="shared" si="27"/>
        <v>4.2544827350411296</v>
      </c>
      <c r="BN8" s="1">
        <f t="shared" si="28"/>
        <v>0</v>
      </c>
      <c r="BO8" s="1">
        <f t="shared" si="29"/>
        <v>425.07940134201942</v>
      </c>
      <c r="BQ8" s="9">
        <v>3.14</v>
      </c>
      <c r="BR8" s="10">
        <v>0.22181100240000001</v>
      </c>
      <c r="BS8" s="9">
        <v>0.18104824</v>
      </c>
      <c r="BU8" s="10">
        <f t="shared" si="30"/>
        <v>4.1770824382695828</v>
      </c>
      <c r="BV8" s="10">
        <f t="shared" si="31"/>
        <v>7.7400296771546806E-2</v>
      </c>
      <c r="BW8" s="10">
        <f t="shared" si="32"/>
        <v>4.2544827350411296</v>
      </c>
      <c r="BY8" s="10">
        <f t="shared" si="33"/>
        <v>3.14</v>
      </c>
      <c r="BZ8" s="10">
        <f t="shared" si="34"/>
        <v>0</v>
      </c>
      <c r="CA8" s="10">
        <f t="shared" si="35"/>
        <v>0.50437876878389287</v>
      </c>
      <c r="CB8" s="10">
        <f t="shared" si="36"/>
        <v>0</v>
      </c>
      <c r="CC8" s="10">
        <f t="shared" si="37"/>
        <v>0.61010396625723651</v>
      </c>
      <c r="CD8" s="10">
        <f t="shared" si="38"/>
        <v>4.2544827350411296</v>
      </c>
      <c r="CF8" s="1">
        <f t="shared" si="39"/>
        <v>0</v>
      </c>
    </row>
    <row r="9" spans="2:84" x14ac:dyDescent="0.2">
      <c r="B9" s="14" t="s">
        <v>84</v>
      </c>
      <c r="C9" s="13" t="s">
        <v>78</v>
      </c>
      <c r="D9" s="13">
        <v>0</v>
      </c>
      <c r="E9" s="13">
        <v>0</v>
      </c>
      <c r="F9" s="13">
        <v>0</v>
      </c>
      <c r="G9" s="13">
        <v>5.3101897240000001E-2</v>
      </c>
      <c r="H9" s="13">
        <v>2.270169876E-2</v>
      </c>
      <c r="I9" s="13">
        <v>0</v>
      </c>
      <c r="J9" s="13">
        <v>0</v>
      </c>
      <c r="K9" s="13">
        <v>2.6783469550000001E-2</v>
      </c>
      <c r="L9" s="13">
        <v>99124.320160000003</v>
      </c>
      <c r="M9" s="13">
        <v>54251.997770000002</v>
      </c>
      <c r="N9" s="13">
        <v>1.6761597559999999</v>
      </c>
      <c r="O9" s="11">
        <f t="shared" si="0"/>
        <v>0.19808570333027159</v>
      </c>
      <c r="Q9" s="16">
        <v>99.913297999999998</v>
      </c>
      <c r="R9" s="16">
        <v>-6.0843480000000003</v>
      </c>
      <c r="S9" s="16">
        <v>64.970397000000006</v>
      </c>
      <c r="T9" s="16">
        <v>43.861592000000002</v>
      </c>
      <c r="U9" s="16">
        <v>39.255600999999999</v>
      </c>
      <c r="V9" s="11">
        <v>21.986353300000001</v>
      </c>
      <c r="W9" s="17"/>
      <c r="X9" s="17"/>
      <c r="Y9" s="16">
        <v>21.109138000000002</v>
      </c>
      <c r="Z9" s="16">
        <v>6.2406389999999998</v>
      </c>
      <c r="AA9" s="16"/>
      <c r="AB9" s="17"/>
      <c r="AC9" s="17"/>
      <c r="AD9" s="17"/>
      <c r="AE9" s="17"/>
      <c r="AF9" s="17"/>
      <c r="AG9" s="17"/>
      <c r="AH9" s="16">
        <v>-1.4523440000000001</v>
      </c>
      <c r="AI9" s="16">
        <v>-3.0715089999999998</v>
      </c>
      <c r="AJ9" s="16">
        <v>796.73600799999997</v>
      </c>
      <c r="AK9" s="16">
        <v>796.73600799999997</v>
      </c>
      <c r="AM9" s="1" t="str">
        <f t="shared" si="1"/>
        <v>SE_TSC</v>
      </c>
      <c r="AN9" s="1" t="str">
        <f t="shared" si="2"/>
        <v>Ethane</v>
      </c>
      <c r="AO9" s="12">
        <f t="shared" si="3"/>
        <v>861.7336494590254</v>
      </c>
      <c r="AP9" s="12">
        <f t="shared" si="4"/>
        <v>861.7336494590254</v>
      </c>
      <c r="AQ9" s="5">
        <f t="shared" si="5"/>
        <v>0</v>
      </c>
      <c r="AR9" s="12">
        <f t="shared" si="6"/>
        <v>1236.4189045706667</v>
      </c>
      <c r="AS9" s="12">
        <f t="shared" si="7"/>
        <v>1236.4189045706667</v>
      </c>
      <c r="AT9" s="5">
        <f t="shared" si="8"/>
        <v>0</v>
      </c>
      <c r="AU9" s="5">
        <f t="shared" si="9"/>
        <v>0</v>
      </c>
      <c r="AV9" s="1">
        <f t="shared" si="10"/>
        <v>0</v>
      </c>
      <c r="AW9" s="1">
        <f t="shared" si="11"/>
        <v>0</v>
      </c>
      <c r="AX9" s="1">
        <f t="shared" si="12"/>
        <v>414.04082420313915</v>
      </c>
      <c r="AY9" s="1">
        <f t="shared" si="13"/>
        <v>-0.62089450090415343</v>
      </c>
      <c r="AZ9" s="1">
        <f t="shared" si="14"/>
        <v>0</v>
      </c>
      <c r="BA9" s="1">
        <f t="shared" si="15"/>
        <v>236.76830668400294</v>
      </c>
      <c r="BB9" s="1">
        <f t="shared" si="16"/>
        <v>129.58629754527846</v>
      </c>
      <c r="BC9" s="1">
        <f t="shared" si="17"/>
        <v>31.564969297130897</v>
      </c>
      <c r="BD9" s="1">
        <f t="shared" si="18"/>
        <v>0.50437876878389287</v>
      </c>
      <c r="BE9" s="1">
        <f t="shared" si="19"/>
        <v>0</v>
      </c>
      <c r="BF9" s="1">
        <f t="shared" si="20"/>
        <v>50.394146230378183</v>
      </c>
      <c r="BG9" s="1">
        <f t="shared" si="21"/>
        <v>0.50437876878389287</v>
      </c>
      <c r="BH9" s="1">
        <f t="shared" si="22"/>
        <v>0</v>
      </c>
      <c r="BI9" s="1">
        <f t="shared" si="23"/>
        <v>50.394146230378183</v>
      </c>
      <c r="BJ9" s="1">
        <f t="shared" si="24"/>
        <v>4.2544827350411296</v>
      </c>
      <c r="BK9" s="1">
        <f t="shared" si="25"/>
        <v>0</v>
      </c>
      <c r="BL9" s="1">
        <f t="shared" si="26"/>
        <v>425.07940134201942</v>
      </c>
      <c r="BM9" s="1">
        <f t="shared" si="27"/>
        <v>4.2544827350411296</v>
      </c>
      <c r="BN9" s="1">
        <f t="shared" si="28"/>
        <v>0</v>
      </c>
      <c r="BO9" s="1">
        <f t="shared" si="29"/>
        <v>425.07940134201942</v>
      </c>
      <c r="BQ9" s="9">
        <v>3.14</v>
      </c>
      <c r="BR9" s="10">
        <v>0.22181100240000001</v>
      </c>
      <c r="BS9" s="9">
        <v>0.18104824</v>
      </c>
      <c r="BU9" s="10">
        <f t="shared" si="30"/>
        <v>4.1770824382695828</v>
      </c>
      <c r="BV9" s="10">
        <f t="shared" si="31"/>
        <v>7.7400296771546806E-2</v>
      </c>
      <c r="BW9" s="10">
        <f t="shared" si="32"/>
        <v>4.2544827350411296</v>
      </c>
      <c r="BY9" s="10">
        <f t="shared" si="33"/>
        <v>3.14</v>
      </c>
      <c r="BZ9" s="10">
        <f t="shared" si="34"/>
        <v>0</v>
      </c>
      <c r="CA9" s="10">
        <f t="shared" si="35"/>
        <v>0.50437876878389287</v>
      </c>
      <c r="CB9" s="10">
        <f t="shared" si="36"/>
        <v>0</v>
      </c>
      <c r="CC9" s="10">
        <f t="shared" si="37"/>
        <v>0.61010396625723651</v>
      </c>
      <c r="CD9" s="10">
        <f t="shared" si="38"/>
        <v>4.2544827350411296</v>
      </c>
      <c r="CF9" s="1">
        <f t="shared" si="39"/>
        <v>0</v>
      </c>
    </row>
    <row r="10" spans="2:84" x14ac:dyDescent="0.2">
      <c r="B10" s="14" t="s">
        <v>85</v>
      </c>
      <c r="C10" s="13" t="s">
        <v>78</v>
      </c>
      <c r="D10" s="13">
        <v>0</v>
      </c>
      <c r="E10" s="13">
        <v>0</v>
      </c>
      <c r="F10" s="13">
        <v>0</v>
      </c>
      <c r="G10" s="13">
        <v>5.3101897240000001E-2</v>
      </c>
      <c r="H10" s="13">
        <v>2.270169876E-2</v>
      </c>
      <c r="I10" s="13">
        <v>0</v>
      </c>
      <c r="J10" s="13">
        <v>0</v>
      </c>
      <c r="K10" s="13">
        <v>2.6783469550000001E-2</v>
      </c>
      <c r="L10" s="13">
        <v>99124.320160000003</v>
      </c>
      <c r="M10" s="13">
        <v>54251.997770000002</v>
      </c>
      <c r="N10" s="13">
        <v>1.6761597559999999</v>
      </c>
      <c r="O10" s="11">
        <f t="shared" si="0"/>
        <v>0.19808570333027159</v>
      </c>
      <c r="Q10" s="16">
        <v>99.913297999999998</v>
      </c>
      <c r="R10" s="16">
        <v>-15.650257</v>
      </c>
      <c r="S10" s="16">
        <v>63.953341000000002</v>
      </c>
      <c r="T10" s="16">
        <v>39.720461999999998</v>
      </c>
      <c r="U10" s="16">
        <v>40.537579999999998</v>
      </c>
      <c r="V10" s="11">
        <v>21.986353300000001</v>
      </c>
      <c r="W10" s="17"/>
      <c r="X10" s="17"/>
      <c r="Y10" s="16">
        <v>21.699949</v>
      </c>
      <c r="Z10" s="16">
        <v>8.0456090000000007</v>
      </c>
      <c r="AA10" s="16"/>
      <c r="AB10" s="17"/>
      <c r="AC10" s="17"/>
      <c r="AD10" s="17"/>
      <c r="AE10" s="17"/>
      <c r="AF10" s="17"/>
      <c r="AG10" s="17"/>
      <c r="AH10" s="16">
        <v>-0.93022199999999999</v>
      </c>
      <c r="AI10" s="16">
        <v>-2.7812749999999999</v>
      </c>
      <c r="AJ10" s="16">
        <v>796.73600799999997</v>
      </c>
      <c r="AK10" s="16">
        <v>796.73600799999997</v>
      </c>
      <c r="AM10" s="1" t="str">
        <f t="shared" si="1"/>
        <v>MIDAT_TSC</v>
      </c>
      <c r="AN10" s="1" t="str">
        <f t="shared" si="2"/>
        <v>Ethane</v>
      </c>
      <c r="AO10" s="12">
        <f t="shared" si="3"/>
        <v>861.95686288408251</v>
      </c>
      <c r="AP10" s="12">
        <f t="shared" si="4"/>
        <v>861.95686288408251</v>
      </c>
      <c r="AQ10" s="5">
        <f t="shared" si="5"/>
        <v>0</v>
      </c>
      <c r="AR10" s="12">
        <f t="shared" si="6"/>
        <v>1236.6421179957238</v>
      </c>
      <c r="AS10" s="12">
        <f t="shared" si="7"/>
        <v>1236.6421179957238</v>
      </c>
      <c r="AT10" s="5">
        <f t="shared" si="8"/>
        <v>0</v>
      </c>
      <c r="AU10" s="5">
        <f t="shared" si="9"/>
        <v>0</v>
      </c>
      <c r="AV10" s="1">
        <f t="shared" si="10"/>
        <v>0</v>
      </c>
      <c r="AW10" s="1">
        <f t="shared" si="11"/>
        <v>0</v>
      </c>
      <c r="AX10" s="1">
        <f t="shared" si="12"/>
        <v>414.04082420313915</v>
      </c>
      <c r="AY10" s="1">
        <f t="shared" si="13"/>
        <v>-0.39768107584708812</v>
      </c>
      <c r="AZ10" s="1">
        <f t="shared" si="14"/>
        <v>0</v>
      </c>
      <c r="BA10" s="1">
        <f t="shared" si="15"/>
        <v>236.76830668400294</v>
      </c>
      <c r="BB10" s="1">
        <f t="shared" si="16"/>
        <v>129.58629754527846</v>
      </c>
      <c r="BC10" s="1">
        <f t="shared" si="17"/>
        <v>31.564969297130897</v>
      </c>
      <c r="BD10" s="1">
        <f t="shared" si="18"/>
        <v>0.50437876878389287</v>
      </c>
      <c r="BE10" s="1">
        <f t="shared" si="19"/>
        <v>0</v>
      </c>
      <c r="BF10" s="1">
        <f t="shared" si="20"/>
        <v>50.394146230378183</v>
      </c>
      <c r="BG10" s="1">
        <f t="shared" si="21"/>
        <v>0.50437876878389287</v>
      </c>
      <c r="BH10" s="1">
        <f t="shared" si="22"/>
        <v>0</v>
      </c>
      <c r="BI10" s="1">
        <f t="shared" si="23"/>
        <v>50.394146230378183</v>
      </c>
      <c r="BJ10" s="1">
        <f t="shared" si="24"/>
        <v>4.2544827350411296</v>
      </c>
      <c r="BK10" s="1">
        <f t="shared" si="25"/>
        <v>0</v>
      </c>
      <c r="BL10" s="1">
        <f t="shared" si="26"/>
        <v>425.07940134201942</v>
      </c>
      <c r="BM10" s="1">
        <f t="shared" si="27"/>
        <v>4.2544827350411296</v>
      </c>
      <c r="BN10" s="1">
        <f t="shared" si="28"/>
        <v>0</v>
      </c>
      <c r="BO10" s="1">
        <f t="shared" si="29"/>
        <v>425.07940134201942</v>
      </c>
      <c r="BQ10" s="9">
        <v>3.14</v>
      </c>
      <c r="BR10" s="10">
        <v>0.22181100240000001</v>
      </c>
      <c r="BS10" s="9">
        <v>0.18104824</v>
      </c>
      <c r="BU10" s="10">
        <f t="shared" si="30"/>
        <v>4.1770824382695828</v>
      </c>
      <c r="BV10" s="10">
        <f t="shared" si="31"/>
        <v>7.7400296771546806E-2</v>
      </c>
      <c r="BW10" s="10">
        <f t="shared" si="32"/>
        <v>4.2544827350411296</v>
      </c>
      <c r="BY10" s="10">
        <f t="shared" si="33"/>
        <v>3.14</v>
      </c>
      <c r="BZ10" s="10">
        <f t="shared" si="34"/>
        <v>0</v>
      </c>
      <c r="CA10" s="10">
        <f t="shared" si="35"/>
        <v>0.50437876878389287</v>
      </c>
      <c r="CB10" s="10">
        <f t="shared" si="36"/>
        <v>0</v>
      </c>
      <c r="CC10" s="10">
        <f t="shared" si="37"/>
        <v>0.61010396625723651</v>
      </c>
      <c r="CD10" s="10">
        <f t="shared" si="38"/>
        <v>4.2544827350411296</v>
      </c>
      <c r="CF10" s="1">
        <f t="shared" si="39"/>
        <v>0</v>
      </c>
    </row>
    <row r="11" spans="2:84" x14ac:dyDescent="0.2">
      <c r="B11" s="14" t="s">
        <v>86</v>
      </c>
      <c r="C11" s="13" t="s">
        <v>78</v>
      </c>
      <c r="D11" s="13">
        <v>0</v>
      </c>
      <c r="E11" s="13">
        <v>0</v>
      </c>
      <c r="F11" s="13">
        <v>0</v>
      </c>
      <c r="G11" s="13">
        <v>5.3101897240000001E-2</v>
      </c>
      <c r="H11" s="13">
        <v>2.270169876E-2</v>
      </c>
      <c r="I11" s="13">
        <v>0</v>
      </c>
      <c r="J11" s="13">
        <v>0</v>
      </c>
      <c r="K11" s="13">
        <v>2.6783469550000001E-2</v>
      </c>
      <c r="L11" s="13">
        <v>99124.320160000003</v>
      </c>
      <c r="M11" s="13">
        <v>54251.997770000002</v>
      </c>
      <c r="N11" s="13">
        <v>1.6761597559999999</v>
      </c>
      <c r="O11" s="11">
        <f t="shared" si="0"/>
        <v>0.19808570333027159</v>
      </c>
      <c r="Q11" s="16">
        <v>99.913297999999998</v>
      </c>
      <c r="R11" s="16">
        <v>-21.727401</v>
      </c>
      <c r="S11" s="16">
        <v>66.936656999999997</v>
      </c>
      <c r="T11" s="16">
        <v>41.693038999999999</v>
      </c>
      <c r="U11" s="16">
        <v>41.333942999999998</v>
      </c>
      <c r="V11" s="11">
        <v>21.986353300000001</v>
      </c>
      <c r="W11" s="17"/>
      <c r="X11" s="17"/>
      <c r="Y11" s="16">
        <v>20.978031999999999</v>
      </c>
      <c r="Z11" s="16">
        <v>12.546751</v>
      </c>
      <c r="AA11" s="16"/>
      <c r="AB11" s="17"/>
      <c r="AC11" s="17"/>
      <c r="AD11" s="17"/>
      <c r="AE11" s="17"/>
      <c r="AF11" s="17"/>
      <c r="AG11" s="17"/>
      <c r="AH11" s="16">
        <v>5.8887289999999997</v>
      </c>
      <c r="AI11" s="16">
        <v>0</v>
      </c>
      <c r="AJ11" s="16">
        <v>796.73600799999997</v>
      </c>
      <c r="AK11" s="16">
        <v>0</v>
      </c>
      <c r="AM11" s="1" t="str">
        <f t="shared" si="1"/>
        <v>NE_TSC</v>
      </c>
      <c r="AN11" s="1" t="str">
        <f t="shared" si="2"/>
        <v>Ethane</v>
      </c>
      <c r="AO11" s="12">
        <f t="shared" si="3"/>
        <v>864.87204632398038</v>
      </c>
      <c r="AP11" s="12">
        <f t="shared" si="4"/>
        <v>864.87204632398038</v>
      </c>
      <c r="AQ11" s="5">
        <f t="shared" si="5"/>
        <v>0</v>
      </c>
      <c r="AR11" s="12">
        <f t="shared" si="6"/>
        <v>1239.5573014356216</v>
      </c>
      <c r="AS11" s="12">
        <f t="shared" si="7"/>
        <v>1239.5573014356216</v>
      </c>
      <c r="AT11" s="5">
        <f t="shared" si="8"/>
        <v>0</v>
      </c>
      <c r="AU11" s="5">
        <f t="shared" si="9"/>
        <v>0</v>
      </c>
      <c r="AV11" s="1">
        <f t="shared" si="10"/>
        <v>0</v>
      </c>
      <c r="AW11" s="1">
        <f t="shared" si="11"/>
        <v>0</v>
      </c>
      <c r="AX11" s="1">
        <f t="shared" si="12"/>
        <v>414.04082420313915</v>
      </c>
      <c r="AY11" s="1">
        <f t="shared" si="13"/>
        <v>2.5175023640506753</v>
      </c>
      <c r="AZ11" s="1">
        <f t="shared" si="14"/>
        <v>0</v>
      </c>
      <c r="BA11" s="1">
        <f t="shared" si="15"/>
        <v>236.76830668400294</v>
      </c>
      <c r="BB11" s="1">
        <f t="shared" si="16"/>
        <v>129.58629754527846</v>
      </c>
      <c r="BC11" s="1">
        <f t="shared" si="17"/>
        <v>31.564969297130897</v>
      </c>
      <c r="BD11" s="1">
        <f t="shared" si="18"/>
        <v>0.50437876878389287</v>
      </c>
      <c r="BE11" s="1">
        <f t="shared" si="19"/>
        <v>0</v>
      </c>
      <c r="BF11" s="1">
        <f t="shared" si="20"/>
        <v>50.394146230378183</v>
      </c>
      <c r="BG11" s="1">
        <f t="shared" si="21"/>
        <v>0.50437876878389287</v>
      </c>
      <c r="BH11" s="1">
        <f t="shared" si="22"/>
        <v>0</v>
      </c>
      <c r="BI11" s="1">
        <f t="shared" si="23"/>
        <v>50.394146230378183</v>
      </c>
      <c r="BJ11" s="1">
        <f t="shared" si="24"/>
        <v>4.2544827350411296</v>
      </c>
      <c r="BK11" s="1">
        <f t="shared" si="25"/>
        <v>0</v>
      </c>
      <c r="BL11" s="1">
        <f t="shared" si="26"/>
        <v>425.07940134201942</v>
      </c>
      <c r="BM11" s="1">
        <f t="shared" si="27"/>
        <v>4.2544827350411296</v>
      </c>
      <c r="BN11" s="1">
        <f t="shared" si="28"/>
        <v>0</v>
      </c>
      <c r="BO11" s="1">
        <f t="shared" si="29"/>
        <v>425.07940134201942</v>
      </c>
      <c r="BQ11" s="9">
        <v>3.14</v>
      </c>
      <c r="BR11" s="10">
        <v>0.22181100240000001</v>
      </c>
      <c r="BS11" s="9">
        <v>0.18104824</v>
      </c>
      <c r="BU11" s="10">
        <f t="shared" si="30"/>
        <v>4.1770824382695828</v>
      </c>
      <c r="BV11" s="10">
        <f t="shared" si="31"/>
        <v>7.7400296771546806E-2</v>
      </c>
      <c r="BW11" s="10">
        <f t="shared" si="32"/>
        <v>4.2544827350411296</v>
      </c>
      <c r="BY11" s="10">
        <f t="shared" si="33"/>
        <v>3.14</v>
      </c>
      <c r="BZ11" s="10">
        <f t="shared" si="34"/>
        <v>0</v>
      </c>
      <c r="CA11" s="10">
        <f t="shared" si="35"/>
        <v>0.50437876878389287</v>
      </c>
      <c r="CB11" s="10">
        <f t="shared" si="36"/>
        <v>0</v>
      </c>
      <c r="CC11" s="10">
        <f t="shared" si="37"/>
        <v>0.61010396625723651</v>
      </c>
      <c r="CD11" s="10">
        <f t="shared" si="38"/>
        <v>4.2544827350411296</v>
      </c>
      <c r="CF11" s="1">
        <f t="shared" si="39"/>
        <v>0</v>
      </c>
    </row>
    <row r="12" spans="2:84" x14ac:dyDescent="0.2">
      <c r="B12" s="14" t="s">
        <v>87</v>
      </c>
      <c r="C12" s="13" t="s">
        <v>78</v>
      </c>
      <c r="D12" s="13">
        <v>0</v>
      </c>
      <c r="E12" s="13">
        <v>0</v>
      </c>
      <c r="F12" s="13">
        <v>8.0529664380000008E-3</v>
      </c>
      <c r="G12" s="13">
        <v>5.3101897240000001E-2</v>
      </c>
      <c r="H12" s="13">
        <v>2.270169876E-2</v>
      </c>
      <c r="I12" s="13">
        <v>0</v>
      </c>
      <c r="J12" s="13">
        <v>2.4105122600000001E-2</v>
      </c>
      <c r="K12" s="13">
        <v>2.6783469549999999E-3</v>
      </c>
      <c r="L12" s="13">
        <v>106875.1697</v>
      </c>
      <c r="M12" s="13">
        <v>58496.387280000003</v>
      </c>
      <c r="N12" s="13">
        <v>1.8072240850000001</v>
      </c>
      <c r="O12" s="11">
        <f t="shared" si="0"/>
        <v>0.19808570329970068</v>
      </c>
      <c r="Q12" s="16">
        <v>99.913297999999998</v>
      </c>
      <c r="R12" s="16">
        <v>-5.387721</v>
      </c>
      <c r="S12" s="16">
        <v>69.443859000000003</v>
      </c>
      <c r="T12" s="16">
        <v>44.089523</v>
      </c>
      <c r="U12" s="16">
        <v>38.115627000000003</v>
      </c>
      <c r="V12" s="11">
        <v>21.986353300000001</v>
      </c>
      <c r="W12" s="17"/>
      <c r="X12" s="17"/>
      <c r="Y12" s="16">
        <v>19.219857999999999</v>
      </c>
      <c r="Z12" s="16">
        <v>4.6412560000000003</v>
      </c>
      <c r="AA12" s="16"/>
      <c r="AB12" s="17"/>
      <c r="AC12" s="17"/>
      <c r="AD12" s="17"/>
      <c r="AE12" s="17"/>
      <c r="AF12" s="17"/>
      <c r="AG12" s="17"/>
      <c r="AH12" s="16">
        <v>-3.1358760000000001</v>
      </c>
      <c r="AI12" s="16">
        <v>-4.5195569999999998</v>
      </c>
      <c r="AJ12" s="16">
        <v>796.73600799999997</v>
      </c>
      <c r="AK12" s="16">
        <v>0</v>
      </c>
      <c r="AM12" s="1" t="str">
        <f t="shared" si="1"/>
        <v>CA_TSC+CC90</v>
      </c>
      <c r="AN12" s="1" t="str">
        <f t="shared" si="2"/>
        <v>Ethane</v>
      </c>
      <c r="AO12" s="12">
        <f t="shared" si="3"/>
        <v>852.13959832307125</v>
      </c>
      <c r="AP12" s="12">
        <f t="shared" si="4"/>
        <v>852.13959832307125</v>
      </c>
      <c r="AQ12" s="5">
        <f t="shared" si="5"/>
        <v>0</v>
      </c>
      <c r="AR12" s="12">
        <f t="shared" si="6"/>
        <v>1226.8248534253048</v>
      </c>
      <c r="AS12" s="12">
        <f t="shared" si="7"/>
        <v>1226.8248534253048</v>
      </c>
      <c r="AT12" s="5">
        <f t="shared" si="8"/>
        <v>0</v>
      </c>
      <c r="AU12" s="5">
        <f t="shared" si="9"/>
        <v>0</v>
      </c>
      <c r="AV12" s="1">
        <f t="shared" si="10"/>
        <v>0</v>
      </c>
      <c r="AW12" s="1">
        <f t="shared" si="11"/>
        <v>2.9147145292680285</v>
      </c>
      <c r="AX12" s="1">
        <f t="shared" si="12"/>
        <v>414.04082420313915</v>
      </c>
      <c r="AY12" s="1">
        <f t="shared" si="13"/>
        <v>-1.340624648098049</v>
      </c>
      <c r="AZ12" s="1">
        <f t="shared" si="14"/>
        <v>0</v>
      </c>
      <c r="BA12" s="1">
        <f t="shared" si="15"/>
        <v>255.2819824195449</v>
      </c>
      <c r="BB12" s="1">
        <f t="shared" si="16"/>
        <v>139.72444442555911</v>
      </c>
      <c r="BC12" s="1">
        <f t="shared" si="17"/>
        <v>34.033135894034963</v>
      </c>
      <c r="BD12" s="1">
        <f t="shared" si="18"/>
        <v>0.50437876887805144</v>
      </c>
      <c r="BE12" s="1">
        <f t="shared" si="19"/>
        <v>-42.909024740162756</v>
      </c>
      <c r="BF12" s="1">
        <f t="shared" si="20"/>
        <v>50.394146239785876</v>
      </c>
      <c r="BG12" s="1">
        <f t="shared" si="21"/>
        <v>5.0437876878389284E-2</v>
      </c>
      <c r="BH12" s="1">
        <f t="shared" si="22"/>
        <v>2.4457068765853123</v>
      </c>
      <c r="BI12" s="1">
        <f t="shared" si="23"/>
        <v>5.0394146230378185</v>
      </c>
      <c r="BJ12" s="1">
        <f t="shared" si="24"/>
        <v>4.2544827350411296</v>
      </c>
      <c r="BK12" s="1">
        <f t="shared" si="25"/>
        <v>-42.909024740162756</v>
      </c>
      <c r="BL12" s="1">
        <f t="shared" si="26"/>
        <v>425.07940134201942</v>
      </c>
      <c r="BM12" s="1">
        <f t="shared" si="27"/>
        <v>3.8005418430414672</v>
      </c>
      <c r="BN12" s="1">
        <f t="shared" si="28"/>
        <v>2.4457068765853118</v>
      </c>
      <c r="BO12" s="1">
        <f t="shared" si="29"/>
        <v>379.72466972527133</v>
      </c>
      <c r="BQ12" s="9">
        <v>3.14</v>
      </c>
      <c r="BR12" s="10">
        <v>0.22181100240000001</v>
      </c>
      <c r="BS12" s="9">
        <v>0.18104824</v>
      </c>
      <c r="BU12" s="10">
        <f t="shared" si="30"/>
        <v>4.1770824382695828</v>
      </c>
      <c r="BV12" s="10">
        <f t="shared" si="31"/>
        <v>7.7400296771546806E-2</v>
      </c>
      <c r="BW12" s="10">
        <f t="shared" si="32"/>
        <v>4.2544827350411296</v>
      </c>
      <c r="BY12" s="10">
        <f t="shared" si="33"/>
        <v>3.14</v>
      </c>
      <c r="BZ12" s="10">
        <f t="shared" si="34"/>
        <v>0</v>
      </c>
      <c r="CA12" s="10">
        <f t="shared" si="35"/>
        <v>5.0437876878389284E-2</v>
      </c>
      <c r="CB12" s="10">
        <f t="shared" si="36"/>
        <v>0.4539408919996622</v>
      </c>
      <c r="CC12" s="10">
        <f t="shared" si="37"/>
        <v>0.61010396616307805</v>
      </c>
      <c r="CD12" s="10">
        <f t="shared" si="38"/>
        <v>4.2544827350411296</v>
      </c>
      <c r="CF12" s="1">
        <f t="shared" si="39"/>
        <v>0</v>
      </c>
    </row>
    <row r="13" spans="2:84" x14ac:dyDescent="0.2">
      <c r="B13" s="14" t="s">
        <v>88</v>
      </c>
      <c r="C13" s="13" t="s">
        <v>78</v>
      </c>
      <c r="D13" s="13">
        <v>0</v>
      </c>
      <c r="E13" s="13">
        <v>0.15985314340000001</v>
      </c>
      <c r="F13" s="13">
        <v>0</v>
      </c>
      <c r="G13" s="13">
        <v>5.3101897240000001E-2</v>
      </c>
      <c r="H13" s="13">
        <v>0.13183228590000001</v>
      </c>
      <c r="I13" s="13">
        <v>0</v>
      </c>
      <c r="J13" s="13">
        <v>0</v>
      </c>
      <c r="K13" s="13">
        <v>4.6541370280000001E-2</v>
      </c>
      <c r="L13" s="13">
        <v>99124.320160000003</v>
      </c>
      <c r="M13" s="13">
        <v>54251.997770000002</v>
      </c>
      <c r="N13" s="13">
        <v>1.6761597559999999</v>
      </c>
      <c r="O13" s="11">
        <f t="shared" si="0"/>
        <v>0.19808570334166625</v>
      </c>
      <c r="Q13" s="16">
        <v>99.913297999999998</v>
      </c>
      <c r="R13" s="16">
        <v>-5.387721</v>
      </c>
      <c r="S13" s="16">
        <v>69.443859000000003</v>
      </c>
      <c r="T13" s="16">
        <v>44.089523</v>
      </c>
      <c r="U13" s="16">
        <v>38.115627000000003</v>
      </c>
      <c r="V13" s="11">
        <v>21.986353300000001</v>
      </c>
      <c r="W13" s="17"/>
      <c r="X13" s="17"/>
      <c r="Y13" s="16">
        <v>19.219857999999999</v>
      </c>
      <c r="Z13" s="16">
        <v>4.6412560000000003</v>
      </c>
      <c r="AA13" s="16"/>
      <c r="AB13" s="17"/>
      <c r="AC13" s="17"/>
      <c r="AD13" s="17"/>
      <c r="AE13" s="17"/>
      <c r="AF13" s="17"/>
      <c r="AG13" s="17"/>
      <c r="AH13" s="16">
        <v>-3.1358760000000001</v>
      </c>
      <c r="AI13" s="16">
        <v>-4.5195569999999998</v>
      </c>
      <c r="AJ13" s="16">
        <v>796.73600799999997</v>
      </c>
      <c r="AK13" s="16">
        <v>0</v>
      </c>
      <c r="AM13" s="1" t="str">
        <f t="shared" si="1"/>
        <v>CA_TSC:H2</v>
      </c>
      <c r="AN13" s="1" t="str">
        <f t="shared" si="2"/>
        <v>Ethane</v>
      </c>
      <c r="AO13" s="12">
        <f t="shared" si="3"/>
        <v>877.77297538597509</v>
      </c>
      <c r="AP13" s="12">
        <f t="shared" si="4"/>
        <v>877.77297538597509</v>
      </c>
      <c r="AQ13" s="5">
        <f t="shared" si="5"/>
        <v>0</v>
      </c>
      <c r="AR13" s="12">
        <f t="shared" si="6"/>
        <v>1252.4582305011229</v>
      </c>
      <c r="AS13" s="12">
        <f t="shared" si="7"/>
        <v>1252.4582305011229</v>
      </c>
      <c r="AT13" s="5">
        <f t="shared" si="8"/>
        <v>0</v>
      </c>
      <c r="AU13" s="5">
        <f t="shared" si="9"/>
        <v>0</v>
      </c>
      <c r="AV13" s="1">
        <f t="shared" si="10"/>
        <v>-13.97161682511874</v>
      </c>
      <c r="AW13" s="1">
        <f t="shared" si="11"/>
        <v>0</v>
      </c>
      <c r="AX13" s="1">
        <f t="shared" si="12"/>
        <v>414.04082420313915</v>
      </c>
      <c r="AY13" s="1">
        <f t="shared" si="13"/>
        <v>-7.7852152722622474</v>
      </c>
      <c r="AZ13" s="1">
        <f t="shared" si="14"/>
        <v>0</v>
      </c>
      <c r="BA13" s="1">
        <f t="shared" si="15"/>
        <v>236.76830668400294</v>
      </c>
      <c r="BB13" s="1">
        <f t="shared" si="16"/>
        <v>129.58629754527846</v>
      </c>
      <c r="BC13" s="1">
        <f t="shared" si="17"/>
        <v>31.564969297130897</v>
      </c>
      <c r="BD13" s="1">
        <f t="shared" si="18"/>
        <v>0.8764540006857201</v>
      </c>
      <c r="BE13" s="1">
        <f t="shared" si="19"/>
        <v>0</v>
      </c>
      <c r="BF13" s="1">
        <f t="shared" si="20"/>
        <v>87.56940975380455</v>
      </c>
      <c r="BG13" s="1">
        <f t="shared" si="21"/>
        <v>0.8764540006857201</v>
      </c>
      <c r="BH13" s="1">
        <f t="shared" si="22"/>
        <v>0</v>
      </c>
      <c r="BI13" s="1">
        <f t="shared" si="23"/>
        <v>87.56940975380455</v>
      </c>
      <c r="BJ13" s="1">
        <f t="shared" si="24"/>
        <v>4.6265579669780523</v>
      </c>
      <c r="BK13" s="1">
        <f t="shared" si="25"/>
        <v>0</v>
      </c>
      <c r="BL13" s="1">
        <f t="shared" si="26"/>
        <v>462.25466486895232</v>
      </c>
      <c r="BM13" s="1">
        <f t="shared" si="27"/>
        <v>4.6265579669780523</v>
      </c>
      <c r="BN13" s="1">
        <f t="shared" si="28"/>
        <v>0</v>
      </c>
      <c r="BO13" s="1">
        <f t="shared" si="29"/>
        <v>462.25466486895232</v>
      </c>
      <c r="BQ13" s="9">
        <v>3.14</v>
      </c>
      <c r="BR13" s="10">
        <v>0.22181100240000001</v>
      </c>
      <c r="BS13" s="9">
        <v>0.18104824</v>
      </c>
      <c r="BU13" s="10">
        <f t="shared" si="30"/>
        <v>4.1770824382695828</v>
      </c>
      <c r="BV13" s="10">
        <f t="shared" si="31"/>
        <v>0.44947552870846952</v>
      </c>
      <c r="BW13" s="10">
        <f t="shared" si="32"/>
        <v>4.6265579669780523</v>
      </c>
      <c r="BY13" s="10">
        <f t="shared" si="33"/>
        <v>3.14</v>
      </c>
      <c r="BZ13" s="10">
        <f t="shared" si="34"/>
        <v>0</v>
      </c>
      <c r="CA13" s="10">
        <f t="shared" si="35"/>
        <v>0.8764540006857201</v>
      </c>
      <c r="CB13" s="10">
        <f t="shared" si="36"/>
        <v>0</v>
      </c>
      <c r="CC13" s="10">
        <f t="shared" si="37"/>
        <v>0.61010396629233199</v>
      </c>
      <c r="CD13" s="10">
        <f t="shared" si="38"/>
        <v>4.6265579669780523</v>
      </c>
      <c r="CF13" s="1">
        <f t="shared" si="39"/>
        <v>0</v>
      </c>
    </row>
    <row r="14" spans="2:84" x14ac:dyDescent="0.2">
      <c r="B14" s="14" t="s">
        <v>89</v>
      </c>
      <c r="C14" s="13" t="s">
        <v>78</v>
      </c>
      <c r="D14" s="13">
        <v>0</v>
      </c>
      <c r="E14" s="13">
        <v>0.15985314340000001</v>
      </c>
      <c r="F14" s="13">
        <v>9.3887366979999998E-3</v>
      </c>
      <c r="G14" s="13">
        <v>5.3101897240000001E-2</v>
      </c>
      <c r="H14" s="13">
        <v>0.13183228590000001</v>
      </c>
      <c r="I14" s="13">
        <v>0</v>
      </c>
      <c r="J14" s="13">
        <v>4.1887233259999997E-2</v>
      </c>
      <c r="K14" s="13">
        <v>4.6541370279999999E-3</v>
      </c>
      <c r="L14" s="13">
        <v>106900.97410000001</v>
      </c>
      <c r="M14" s="13">
        <v>58510.185810000003</v>
      </c>
      <c r="N14" s="13">
        <v>1.807660423</v>
      </c>
      <c r="O14" s="11">
        <f t="shared" si="0"/>
        <v>0.19808570329275269</v>
      </c>
      <c r="Q14" s="16">
        <v>99.913297999999998</v>
      </c>
      <c r="R14" s="16">
        <v>-5.387721</v>
      </c>
      <c r="S14" s="16">
        <v>69.443859000000003</v>
      </c>
      <c r="T14" s="16">
        <v>44.089523</v>
      </c>
      <c r="U14" s="16">
        <v>38.115627000000003</v>
      </c>
      <c r="V14" s="11">
        <v>21.986353300000001</v>
      </c>
      <c r="W14" s="17"/>
      <c r="X14" s="17"/>
      <c r="Y14" s="16">
        <v>19.219857999999999</v>
      </c>
      <c r="Z14" s="16">
        <v>4.6412560000000003</v>
      </c>
      <c r="AA14" s="16"/>
      <c r="AB14" s="17"/>
      <c r="AC14" s="17"/>
      <c r="AD14" s="17"/>
      <c r="AE14" s="17"/>
      <c r="AF14" s="17"/>
      <c r="AG14" s="17"/>
      <c r="AH14" s="16">
        <v>-3.1358760000000001</v>
      </c>
      <c r="AI14" s="16">
        <v>-4.5195569999999998</v>
      </c>
      <c r="AJ14" s="16">
        <v>796.73600799999997</v>
      </c>
      <c r="AK14" s="16">
        <v>0</v>
      </c>
      <c r="AM14" s="1" t="str">
        <f t="shared" si="1"/>
        <v>CA_TSC+CC90:H2</v>
      </c>
      <c r="AN14" s="1" t="str">
        <f t="shared" si="2"/>
        <v>Ethane</v>
      </c>
      <c r="AO14" s="12">
        <f t="shared" si="3"/>
        <v>837.83137619335605</v>
      </c>
      <c r="AP14" s="12">
        <f t="shared" si="4"/>
        <v>837.83137619335605</v>
      </c>
      <c r="AQ14" s="5">
        <f t="shared" si="5"/>
        <v>0</v>
      </c>
      <c r="AR14" s="12">
        <f t="shared" si="6"/>
        <v>1212.5166312934516</v>
      </c>
      <c r="AS14" s="12">
        <f t="shared" si="7"/>
        <v>1212.5166312934516</v>
      </c>
      <c r="AT14" s="5">
        <f t="shared" si="8"/>
        <v>0</v>
      </c>
      <c r="AU14" s="5">
        <f t="shared" si="9"/>
        <v>0</v>
      </c>
      <c r="AV14" s="1">
        <f t="shared" si="10"/>
        <v>-13.97161682511874</v>
      </c>
      <c r="AW14" s="1">
        <f t="shared" si="11"/>
        <v>3.3981871743561993</v>
      </c>
      <c r="AX14" s="1">
        <f t="shared" si="12"/>
        <v>414.04082420313915</v>
      </c>
      <c r="AY14" s="1">
        <f t="shared" si="13"/>
        <v>-7.7852152722622474</v>
      </c>
      <c r="AZ14" s="1">
        <f t="shared" si="14"/>
        <v>0</v>
      </c>
      <c r="BA14" s="1">
        <f t="shared" si="15"/>
        <v>255.34361879781346</v>
      </c>
      <c r="BB14" s="1">
        <f t="shared" si="16"/>
        <v>139.75740358812948</v>
      </c>
      <c r="BC14" s="1">
        <f t="shared" si="17"/>
        <v>34.041352888580896</v>
      </c>
      <c r="BD14" s="1">
        <f t="shared" si="18"/>
        <v>0.87645400083637381</v>
      </c>
      <c r="BE14" s="1">
        <f t="shared" si="19"/>
        <v>-74.562588130139105</v>
      </c>
      <c r="BF14" s="1">
        <f t="shared" si="20"/>
        <v>87.569409768856858</v>
      </c>
      <c r="BG14" s="1">
        <f t="shared" si="21"/>
        <v>8.7645400068572007E-2</v>
      </c>
      <c r="BH14" s="1">
        <f t="shared" si="22"/>
        <v>4.2498806633373016</v>
      </c>
      <c r="BI14" s="1">
        <f t="shared" si="23"/>
        <v>8.7569409753804557</v>
      </c>
      <c r="BJ14" s="1">
        <f t="shared" si="24"/>
        <v>4.6265579669780523</v>
      </c>
      <c r="BK14" s="1">
        <f t="shared" si="25"/>
        <v>-74.562588130139105</v>
      </c>
      <c r="BL14" s="1">
        <f t="shared" si="26"/>
        <v>462.25466486895232</v>
      </c>
      <c r="BM14" s="1">
        <f t="shared" si="27"/>
        <v>3.8377493662102502</v>
      </c>
      <c r="BN14" s="1">
        <f t="shared" si="28"/>
        <v>4.2498806633373016</v>
      </c>
      <c r="BO14" s="1">
        <f t="shared" si="29"/>
        <v>383.44219607547586</v>
      </c>
      <c r="BQ14" s="9">
        <v>3.14</v>
      </c>
      <c r="BR14" s="10">
        <v>0.22181100240000001</v>
      </c>
      <c r="BS14" s="9">
        <v>0.18104824</v>
      </c>
      <c r="BU14" s="10">
        <f t="shared" si="30"/>
        <v>4.1770824382695828</v>
      </c>
      <c r="BV14" s="10">
        <f t="shared" si="31"/>
        <v>0.44947552870846952</v>
      </c>
      <c r="BW14" s="10">
        <f t="shared" si="32"/>
        <v>4.6265579669780523</v>
      </c>
      <c r="BY14" s="10">
        <f t="shared" si="33"/>
        <v>3.14</v>
      </c>
      <c r="BZ14" s="10">
        <f t="shared" si="34"/>
        <v>0</v>
      </c>
      <c r="CA14" s="10">
        <f t="shared" si="35"/>
        <v>8.7645400068572007E-2</v>
      </c>
      <c r="CB14" s="10">
        <f t="shared" si="36"/>
        <v>0.78880860076780179</v>
      </c>
      <c r="CC14" s="10">
        <f t="shared" si="37"/>
        <v>0.61010396614167828</v>
      </c>
      <c r="CD14" s="10">
        <f t="shared" si="38"/>
        <v>4.6265579669780523</v>
      </c>
      <c r="CF14" s="1">
        <f t="shared" si="39"/>
        <v>0</v>
      </c>
    </row>
    <row r="15" spans="2:84" x14ac:dyDescent="0.2">
      <c r="B15" s="14" t="s">
        <v>90</v>
      </c>
      <c r="C15" s="13" t="s">
        <v>78</v>
      </c>
      <c r="D15" s="13">
        <v>2.226644157E-2</v>
      </c>
      <c r="E15" s="13">
        <v>0</v>
      </c>
      <c r="F15" s="13">
        <v>0</v>
      </c>
      <c r="G15" s="13">
        <v>5.3101897240000001E-2</v>
      </c>
      <c r="H15" s="13">
        <v>0</v>
      </c>
      <c r="I15" s="13">
        <v>0</v>
      </c>
      <c r="J15" s="13">
        <v>0</v>
      </c>
      <c r="K15" s="13">
        <v>2.2673366949999999E-2</v>
      </c>
      <c r="L15" s="13">
        <v>99124.320160000003</v>
      </c>
      <c r="M15" s="13">
        <v>54251.997770000002</v>
      </c>
      <c r="N15" s="13">
        <v>1.6761597559999999</v>
      </c>
      <c r="O15" s="11">
        <f t="shared" si="0"/>
        <v>0.19808570329659347</v>
      </c>
      <c r="Q15" s="16">
        <v>99.913297999999998</v>
      </c>
      <c r="R15" s="16">
        <v>-5.387721</v>
      </c>
      <c r="S15" s="16">
        <v>69.443859000000003</v>
      </c>
      <c r="T15" s="16">
        <v>44.089523</v>
      </c>
      <c r="U15" s="16">
        <v>38.115627000000003</v>
      </c>
      <c r="V15" s="11">
        <v>21.986353300000001</v>
      </c>
      <c r="W15" s="17"/>
      <c r="X15" s="17"/>
      <c r="Y15" s="16">
        <v>19.219857999999999</v>
      </c>
      <c r="Z15" s="16">
        <v>4.6412560000000003</v>
      </c>
      <c r="AA15" s="16"/>
      <c r="AB15" s="17"/>
      <c r="AC15" s="17"/>
      <c r="AD15" s="17"/>
      <c r="AE15" s="17"/>
      <c r="AF15" s="17"/>
      <c r="AG15" s="17"/>
      <c r="AH15" s="16">
        <v>-3.1358760000000001</v>
      </c>
      <c r="AI15" s="16">
        <v>-4.5195569999999998</v>
      </c>
      <c r="AJ15" s="16">
        <v>796.73600799999997</v>
      </c>
      <c r="AK15" s="16">
        <v>0</v>
      </c>
      <c r="AM15" s="1" t="str">
        <f t="shared" si="1"/>
        <v>CA_TSC+H2in</v>
      </c>
      <c r="AN15" s="1" t="str">
        <f t="shared" si="2"/>
        <v>Ethane</v>
      </c>
      <c r="AO15" s="12">
        <f t="shared" si="3"/>
        <v>856.56737502018268</v>
      </c>
      <c r="AP15" s="12">
        <f t="shared" si="4"/>
        <v>856.56737502018268</v>
      </c>
      <c r="AQ15" s="5">
        <f t="shared" si="5"/>
        <v>0</v>
      </c>
      <c r="AR15" s="12">
        <f t="shared" si="6"/>
        <v>1231.25263012146</v>
      </c>
      <c r="AS15" s="12">
        <f t="shared" si="7"/>
        <v>1231.25263012146</v>
      </c>
      <c r="AT15" s="5">
        <f t="shared" si="8"/>
        <v>0</v>
      </c>
      <c r="AU15" s="5">
        <f t="shared" si="9"/>
        <v>1.9461499665131725</v>
      </c>
      <c r="AV15" s="1">
        <f t="shared" si="10"/>
        <v>0</v>
      </c>
      <c r="AW15" s="1">
        <f t="shared" si="11"/>
        <v>0</v>
      </c>
      <c r="AX15" s="1">
        <f t="shared" si="12"/>
        <v>414.04082420313915</v>
      </c>
      <c r="AY15" s="1">
        <f t="shared" si="13"/>
        <v>0</v>
      </c>
      <c r="AZ15" s="1">
        <f t="shared" si="14"/>
        <v>0</v>
      </c>
      <c r="BA15" s="1">
        <f t="shared" si="15"/>
        <v>236.76830668400294</v>
      </c>
      <c r="BB15" s="1">
        <f t="shared" si="16"/>
        <v>129.58629754527846</v>
      </c>
      <c r="BC15" s="1">
        <f t="shared" si="17"/>
        <v>31.564969297130897</v>
      </c>
      <c r="BD15" s="1">
        <f t="shared" si="18"/>
        <v>0.42697847211607459</v>
      </c>
      <c r="BE15" s="1">
        <f t="shared" si="19"/>
        <v>0</v>
      </c>
      <c r="BF15" s="1">
        <f t="shared" si="20"/>
        <v>42.660827324118053</v>
      </c>
      <c r="BG15" s="1">
        <f t="shared" si="21"/>
        <v>0.42697847211607459</v>
      </c>
      <c r="BH15" s="1">
        <f t="shared" si="22"/>
        <v>0</v>
      </c>
      <c r="BI15" s="1">
        <f t="shared" si="23"/>
        <v>42.660827324118053</v>
      </c>
      <c r="BJ15" s="1">
        <f t="shared" si="24"/>
        <v>4.1770824382695828</v>
      </c>
      <c r="BK15" s="1">
        <f t="shared" si="25"/>
        <v>0</v>
      </c>
      <c r="BL15" s="1">
        <f t="shared" si="26"/>
        <v>417.34608242539542</v>
      </c>
      <c r="BM15" s="1">
        <f t="shared" si="27"/>
        <v>4.1770824382695828</v>
      </c>
      <c r="BN15" s="1">
        <f t="shared" si="28"/>
        <v>0</v>
      </c>
      <c r="BO15" s="1">
        <f t="shared" si="29"/>
        <v>417.34608242539542</v>
      </c>
      <c r="BQ15" s="9">
        <v>3.14</v>
      </c>
      <c r="BR15" s="10">
        <v>0.22181100240000001</v>
      </c>
      <c r="BS15" s="9">
        <v>0.18104824</v>
      </c>
      <c r="BU15" s="10">
        <f t="shared" si="30"/>
        <v>4.1770824382695828</v>
      </c>
      <c r="BV15" s="10">
        <f t="shared" si="31"/>
        <v>0</v>
      </c>
      <c r="BW15" s="10">
        <f t="shared" si="32"/>
        <v>4.1770824382695828</v>
      </c>
      <c r="BY15" s="10">
        <f t="shared" si="33"/>
        <v>3.14</v>
      </c>
      <c r="BZ15" s="10">
        <f t="shared" si="34"/>
        <v>0</v>
      </c>
      <c r="CA15" s="10">
        <f t="shared" si="35"/>
        <v>0.42697847211607459</v>
      </c>
      <c r="CB15" s="10">
        <f t="shared" si="36"/>
        <v>0</v>
      </c>
      <c r="CC15" s="10">
        <f t="shared" si="37"/>
        <v>0.61010396615350793</v>
      </c>
      <c r="CD15" s="10">
        <f t="shared" si="38"/>
        <v>4.1770824382695828</v>
      </c>
      <c r="CF15" s="1">
        <f t="shared" si="39"/>
        <v>0</v>
      </c>
    </row>
    <row r="16" spans="2:84" x14ac:dyDescent="0.2">
      <c r="B16" s="14" t="s">
        <v>91</v>
      </c>
      <c r="C16" s="13" t="s">
        <v>78</v>
      </c>
      <c r="D16" s="13">
        <v>0.1375867019</v>
      </c>
      <c r="E16" s="13">
        <v>0</v>
      </c>
      <c r="F16" s="13">
        <v>0</v>
      </c>
      <c r="G16" s="13">
        <v>5.3101897240000001E-2</v>
      </c>
      <c r="H16" s="13">
        <v>0</v>
      </c>
      <c r="I16" s="13">
        <v>0.11814249659999999</v>
      </c>
      <c r="J16" s="13">
        <v>0</v>
      </c>
      <c r="K16" s="13">
        <v>1.283875878E-3</v>
      </c>
      <c r="L16" s="13">
        <v>99124.320160000003</v>
      </c>
      <c r="M16" s="13">
        <v>54251.997770000002</v>
      </c>
      <c r="N16" s="13">
        <v>1.6761597559999999</v>
      </c>
      <c r="O16" s="11">
        <f t="shared" si="0"/>
        <v>0.19808570325601987</v>
      </c>
      <c r="Q16" s="16">
        <v>99.913297999999998</v>
      </c>
      <c r="R16" s="16">
        <v>-5.387721</v>
      </c>
      <c r="S16" s="16">
        <v>69.443859000000003</v>
      </c>
      <c r="T16" s="16">
        <v>44.089523</v>
      </c>
      <c r="U16" s="16">
        <v>38.115627000000003</v>
      </c>
      <c r="V16" s="11">
        <v>21.986353300000001</v>
      </c>
      <c r="W16" s="17"/>
      <c r="X16" s="17"/>
      <c r="Y16" s="16">
        <v>19.219857999999999</v>
      </c>
      <c r="Z16" s="16">
        <v>4.6412560000000003</v>
      </c>
      <c r="AA16" s="16"/>
      <c r="AB16" s="17"/>
      <c r="AC16" s="17"/>
      <c r="AD16" s="17"/>
      <c r="AE16" s="17"/>
      <c r="AF16" s="17"/>
      <c r="AG16" s="17"/>
      <c r="AH16" s="16">
        <v>-3.1358760000000001</v>
      </c>
      <c r="AI16" s="16">
        <v>-4.5195569999999998</v>
      </c>
      <c r="AJ16" s="16">
        <v>796.73600799999997</v>
      </c>
      <c r="AK16" s="16">
        <v>0</v>
      </c>
      <c r="AM16" s="1" t="str">
        <f t="shared" si="1"/>
        <v>CA_TSC+H2in:CH4</v>
      </c>
      <c r="AN16" s="1" t="str">
        <f t="shared" si="2"/>
        <v>Ethane</v>
      </c>
      <c r="AO16" s="12">
        <f t="shared" si="3"/>
        <v>873.62347127255873</v>
      </c>
      <c r="AP16" s="12">
        <f t="shared" si="4"/>
        <v>873.62347127255873</v>
      </c>
      <c r="AQ16" s="5">
        <f t="shared" si="5"/>
        <v>0</v>
      </c>
      <c r="AR16" s="12">
        <f t="shared" si="6"/>
        <v>1248.3087263613502</v>
      </c>
      <c r="AS16" s="12">
        <f t="shared" si="7"/>
        <v>1248.3087263613502</v>
      </c>
      <c r="AT16" s="5">
        <f t="shared" si="8"/>
        <v>0</v>
      </c>
      <c r="AU16" s="5">
        <f t="shared" si="9"/>
        <v>12.025466864723766</v>
      </c>
      <c r="AV16" s="1">
        <f t="shared" si="10"/>
        <v>0</v>
      </c>
      <c r="AW16" s="1">
        <f t="shared" si="11"/>
        <v>0</v>
      </c>
      <c r="AX16" s="1">
        <f t="shared" si="12"/>
        <v>414.04082420313915</v>
      </c>
      <c r="AY16" s="1">
        <f t="shared" si="13"/>
        <v>0</v>
      </c>
      <c r="AZ16" s="1">
        <f t="shared" si="14"/>
        <v>6.9767793416795367</v>
      </c>
      <c r="BA16" s="1">
        <f t="shared" si="15"/>
        <v>236.76830668400294</v>
      </c>
      <c r="BB16" s="1">
        <f t="shared" si="16"/>
        <v>129.58629754527846</v>
      </c>
      <c r="BC16" s="1">
        <f t="shared" si="17"/>
        <v>31.564969297130897</v>
      </c>
      <c r="BD16" s="1">
        <f t="shared" si="18"/>
        <v>0.42697847224104163</v>
      </c>
      <c r="BE16" s="1">
        <f t="shared" si="19"/>
        <v>0</v>
      </c>
      <c r="BF16" s="1">
        <f t="shared" si="20"/>
        <v>42.660827336603916</v>
      </c>
      <c r="BG16" s="1">
        <f t="shared" si="21"/>
        <v>0.42697847224104163</v>
      </c>
      <c r="BH16" s="1">
        <f t="shared" si="22"/>
        <v>0</v>
      </c>
      <c r="BI16" s="1">
        <f t="shared" si="23"/>
        <v>42.660827336603916</v>
      </c>
      <c r="BJ16" s="1">
        <f t="shared" si="24"/>
        <v>4.1770824382695828</v>
      </c>
      <c r="BK16" s="1">
        <f t="shared" si="25"/>
        <v>0</v>
      </c>
      <c r="BL16" s="1">
        <f t="shared" si="26"/>
        <v>417.34608242539542</v>
      </c>
      <c r="BM16" s="1">
        <f t="shared" si="27"/>
        <v>4.1770824382695828</v>
      </c>
      <c r="BN16" s="1">
        <f t="shared" si="28"/>
        <v>0</v>
      </c>
      <c r="BO16" s="1">
        <f t="shared" si="29"/>
        <v>417.34608242539542</v>
      </c>
      <c r="BQ16" s="9">
        <v>3.14</v>
      </c>
      <c r="BR16" s="10">
        <v>0.22181100240000001</v>
      </c>
      <c r="BS16" s="9">
        <v>0.18104824</v>
      </c>
      <c r="BU16" s="10">
        <f t="shared" si="30"/>
        <v>4.1770824382695828</v>
      </c>
      <c r="BV16" s="10">
        <f t="shared" si="31"/>
        <v>0</v>
      </c>
      <c r="BW16" s="10">
        <f t="shared" si="32"/>
        <v>4.1770824382695828</v>
      </c>
      <c r="BY16" s="10">
        <f t="shared" si="33"/>
        <v>3.14</v>
      </c>
      <c r="BZ16" s="10">
        <f t="shared" si="34"/>
        <v>0.40280088264951763</v>
      </c>
      <c r="CA16" s="10">
        <f t="shared" si="35"/>
        <v>2.4177589591523982E-2</v>
      </c>
      <c r="CB16" s="10">
        <f t="shared" si="36"/>
        <v>0</v>
      </c>
      <c r="CC16" s="10">
        <f t="shared" si="37"/>
        <v>0.61010396602854122</v>
      </c>
      <c r="CD16" s="10">
        <f t="shared" si="38"/>
        <v>4.1770824382695828</v>
      </c>
      <c r="CF16" s="1">
        <f t="shared" si="39"/>
        <v>0</v>
      </c>
    </row>
    <row r="17" spans="2:84" x14ac:dyDescent="0.2">
      <c r="B17" s="14" t="s">
        <v>92</v>
      </c>
      <c r="C17" s="13" t="s">
        <v>78</v>
      </c>
      <c r="D17" s="13">
        <v>0</v>
      </c>
      <c r="E17" s="13">
        <v>0</v>
      </c>
      <c r="F17" s="13">
        <v>8.0529664380000008E-3</v>
      </c>
      <c r="G17" s="13">
        <v>5.3101897240000001E-2</v>
      </c>
      <c r="H17" s="13">
        <v>2.270169876E-2</v>
      </c>
      <c r="I17" s="13">
        <v>0</v>
      </c>
      <c r="J17" s="13">
        <v>2.4105122600000001E-2</v>
      </c>
      <c r="K17" s="13">
        <v>2.6783469549999999E-3</v>
      </c>
      <c r="L17" s="13">
        <v>106875.1697</v>
      </c>
      <c r="M17" s="13">
        <v>58496.387280000003</v>
      </c>
      <c r="N17" s="13">
        <v>1.8072240850000001</v>
      </c>
      <c r="O17" s="11">
        <f t="shared" si="0"/>
        <v>0.19808570329970068</v>
      </c>
      <c r="Q17" s="16">
        <v>99.913297999999998</v>
      </c>
      <c r="R17" s="16">
        <v>-5.3212060000000001</v>
      </c>
      <c r="S17" s="16">
        <v>65.718463999999997</v>
      </c>
      <c r="T17" s="16">
        <v>44.094475000000003</v>
      </c>
      <c r="U17" s="16">
        <v>41.170529999999999</v>
      </c>
      <c r="V17" s="11">
        <v>21.986353300000001</v>
      </c>
      <c r="W17" s="17"/>
      <c r="X17" s="17"/>
      <c r="Y17" s="16">
        <v>20.088657000000001</v>
      </c>
      <c r="Z17" s="16">
        <v>6.2383220000000001</v>
      </c>
      <c r="AA17" s="16"/>
      <c r="AB17" s="17"/>
      <c r="AC17" s="17"/>
      <c r="AD17" s="17"/>
      <c r="AE17" s="17"/>
      <c r="AF17" s="17"/>
      <c r="AG17" s="17"/>
      <c r="AH17" s="16">
        <v>-1.2778670000000001</v>
      </c>
      <c r="AI17" s="16">
        <v>-3.0209890000000001</v>
      </c>
      <c r="AJ17" s="16">
        <v>796.73600799999997</v>
      </c>
      <c r="AK17" s="16">
        <v>0</v>
      </c>
      <c r="AM17" s="1" t="str">
        <f t="shared" si="1"/>
        <v>SW_TSC+CC90</v>
      </c>
      <c r="AN17" s="1" t="str">
        <f t="shared" si="2"/>
        <v>Ethane</v>
      </c>
      <c r="AO17" s="12">
        <f t="shared" si="3"/>
        <v>853.03548001548961</v>
      </c>
      <c r="AP17" s="12">
        <f t="shared" si="4"/>
        <v>853.03548001548972</v>
      </c>
      <c r="AQ17" s="5">
        <f t="shared" si="5"/>
        <v>0</v>
      </c>
      <c r="AR17" s="12">
        <f t="shared" si="6"/>
        <v>1227.7207351177231</v>
      </c>
      <c r="AS17" s="12">
        <f t="shared" si="7"/>
        <v>1227.7207351177233</v>
      </c>
      <c r="AT17" s="5">
        <f t="shared" si="8"/>
        <v>0</v>
      </c>
      <c r="AU17" s="5">
        <f t="shared" si="9"/>
        <v>0</v>
      </c>
      <c r="AV17" s="1">
        <f t="shared" si="10"/>
        <v>0</v>
      </c>
      <c r="AW17" s="1">
        <f t="shared" si="11"/>
        <v>3.0464689401650049</v>
      </c>
      <c r="AX17" s="1">
        <f t="shared" si="12"/>
        <v>414.04082420313915</v>
      </c>
      <c r="AY17" s="1">
        <f t="shared" si="13"/>
        <v>-0.54630348814529328</v>
      </c>
      <c r="AZ17" s="1">
        <f t="shared" si="14"/>
        <v>0</v>
      </c>
      <c r="BA17" s="1">
        <f t="shared" si="15"/>
        <v>255.2819824195449</v>
      </c>
      <c r="BB17" s="1">
        <f t="shared" si="16"/>
        <v>139.72444442555911</v>
      </c>
      <c r="BC17" s="1">
        <f t="shared" si="17"/>
        <v>34.033135894034963</v>
      </c>
      <c r="BD17" s="1">
        <f t="shared" si="18"/>
        <v>0.50437876887805144</v>
      </c>
      <c r="BE17" s="1">
        <f t="shared" si="19"/>
        <v>-42.939218618594111</v>
      </c>
      <c r="BF17" s="1">
        <f t="shared" si="20"/>
        <v>50.394146239785876</v>
      </c>
      <c r="BG17" s="1">
        <f t="shared" si="21"/>
        <v>5.0437876878389284E-2</v>
      </c>
      <c r="BH17" s="1">
        <f t="shared" si="22"/>
        <v>2.4155129981539547</v>
      </c>
      <c r="BI17" s="1">
        <f t="shared" si="23"/>
        <v>5.0394146230378185</v>
      </c>
      <c r="BJ17" s="1">
        <f t="shared" si="24"/>
        <v>4.2544827350411296</v>
      </c>
      <c r="BK17" s="1">
        <f t="shared" si="25"/>
        <v>-42.939218618594111</v>
      </c>
      <c r="BL17" s="1">
        <f t="shared" si="26"/>
        <v>425.07940134201942</v>
      </c>
      <c r="BM17" s="1">
        <f t="shared" si="27"/>
        <v>3.8005418430414672</v>
      </c>
      <c r="BN17" s="1">
        <f t="shared" si="28"/>
        <v>2.4155129981539547</v>
      </c>
      <c r="BO17" s="1">
        <f t="shared" si="29"/>
        <v>379.72466972527133</v>
      </c>
      <c r="BQ17" s="9">
        <v>3.14</v>
      </c>
      <c r="BR17" s="10">
        <v>0.22181100240000001</v>
      </c>
      <c r="BS17" s="9">
        <v>0.18104824</v>
      </c>
      <c r="BU17" s="10">
        <f t="shared" si="30"/>
        <v>4.1770824382695828</v>
      </c>
      <c r="BV17" s="10">
        <f t="shared" si="31"/>
        <v>7.7400296771546806E-2</v>
      </c>
      <c r="BW17" s="10">
        <f t="shared" si="32"/>
        <v>4.2544827350411296</v>
      </c>
      <c r="BY17" s="10">
        <f t="shared" si="33"/>
        <v>3.14</v>
      </c>
      <c r="BZ17" s="10">
        <f t="shared" si="34"/>
        <v>0</v>
      </c>
      <c r="CA17" s="10">
        <f t="shared" si="35"/>
        <v>5.0437876878389284E-2</v>
      </c>
      <c r="CB17" s="10">
        <f t="shared" si="36"/>
        <v>0.4539408919996622</v>
      </c>
      <c r="CC17" s="10">
        <f t="shared" si="37"/>
        <v>0.61010396616307805</v>
      </c>
      <c r="CD17" s="10">
        <f t="shared" si="38"/>
        <v>4.2544827350411296</v>
      </c>
      <c r="CF17" s="1">
        <f t="shared" si="39"/>
        <v>0</v>
      </c>
    </row>
    <row r="18" spans="2:84" x14ac:dyDescent="0.2">
      <c r="B18" s="14" t="s">
        <v>93</v>
      </c>
      <c r="C18" s="13" t="s">
        <v>78</v>
      </c>
      <c r="D18" s="13">
        <v>0</v>
      </c>
      <c r="E18" s="13">
        <v>0.15985314340000001</v>
      </c>
      <c r="F18" s="13">
        <v>0</v>
      </c>
      <c r="G18" s="13">
        <v>5.3101897240000001E-2</v>
      </c>
      <c r="H18" s="13">
        <v>0.13183228590000001</v>
      </c>
      <c r="I18" s="13">
        <v>0</v>
      </c>
      <c r="J18" s="13">
        <v>0</v>
      </c>
      <c r="K18" s="13">
        <v>4.6541370280000001E-2</v>
      </c>
      <c r="L18" s="13">
        <v>99124.320160000003</v>
      </c>
      <c r="M18" s="13">
        <v>54251.997770000002</v>
      </c>
      <c r="N18" s="13">
        <v>1.6761597559999999</v>
      </c>
      <c r="O18" s="11">
        <f t="shared" si="0"/>
        <v>0.19808570334166625</v>
      </c>
      <c r="Q18" s="16">
        <v>99.913297999999998</v>
      </c>
      <c r="R18" s="16">
        <v>-5.3212060000000001</v>
      </c>
      <c r="S18" s="16">
        <v>65.718463999999997</v>
      </c>
      <c r="T18" s="16">
        <v>44.094475000000003</v>
      </c>
      <c r="U18" s="16">
        <v>41.170529999999999</v>
      </c>
      <c r="V18" s="11">
        <v>21.986353300000001</v>
      </c>
      <c r="W18" s="17"/>
      <c r="X18" s="17"/>
      <c r="Y18" s="16">
        <v>20.088657000000001</v>
      </c>
      <c r="Z18" s="16">
        <v>6.2383220000000001</v>
      </c>
      <c r="AA18" s="16"/>
      <c r="AB18" s="17"/>
      <c r="AC18" s="17"/>
      <c r="AD18" s="17"/>
      <c r="AE18" s="17"/>
      <c r="AF18" s="17"/>
      <c r="AG18" s="17"/>
      <c r="AH18" s="16">
        <v>-1.2778670000000001</v>
      </c>
      <c r="AI18" s="16">
        <v>-3.0209890000000001</v>
      </c>
      <c r="AJ18" s="16">
        <v>796.73600799999997</v>
      </c>
      <c r="AK18" s="16">
        <v>0</v>
      </c>
      <c r="AM18" s="1" t="str">
        <f t="shared" si="1"/>
        <v>SW_TSC:H2</v>
      </c>
      <c r="AN18" s="1" t="str">
        <f t="shared" si="2"/>
        <v>Ethane</v>
      </c>
      <c r="AO18" s="12">
        <f t="shared" si="3"/>
        <v>877.57805868501964</v>
      </c>
      <c r="AP18" s="12">
        <f t="shared" si="4"/>
        <v>877.57805868501964</v>
      </c>
      <c r="AQ18" s="5">
        <f t="shared" si="5"/>
        <v>0</v>
      </c>
      <c r="AR18" s="12">
        <f t="shared" si="6"/>
        <v>1252.2633138001675</v>
      </c>
      <c r="AS18" s="12">
        <f t="shared" si="7"/>
        <v>1252.2633138001675</v>
      </c>
      <c r="AT18" s="5">
        <f t="shared" si="8"/>
        <v>0</v>
      </c>
      <c r="AU18" s="5">
        <f t="shared" si="9"/>
        <v>0</v>
      </c>
      <c r="AV18" s="1">
        <f t="shared" si="10"/>
        <v>-18.779279706981988</v>
      </c>
      <c r="AW18" s="1">
        <f t="shared" si="11"/>
        <v>0</v>
      </c>
      <c r="AX18" s="1">
        <f t="shared" si="12"/>
        <v>414.04082420313915</v>
      </c>
      <c r="AY18" s="1">
        <f t="shared" si="13"/>
        <v>-3.1724690913543587</v>
      </c>
      <c r="AZ18" s="1">
        <f t="shared" si="14"/>
        <v>0</v>
      </c>
      <c r="BA18" s="1">
        <f t="shared" si="15"/>
        <v>236.76830668400294</v>
      </c>
      <c r="BB18" s="1">
        <f t="shared" si="16"/>
        <v>129.58629754527846</v>
      </c>
      <c r="BC18" s="1">
        <f t="shared" si="17"/>
        <v>31.564969297130897</v>
      </c>
      <c r="BD18" s="1">
        <f t="shared" si="18"/>
        <v>0.8764540006857201</v>
      </c>
      <c r="BE18" s="1">
        <f t="shared" si="19"/>
        <v>0</v>
      </c>
      <c r="BF18" s="1">
        <f t="shared" si="20"/>
        <v>87.56940975380455</v>
      </c>
      <c r="BG18" s="1">
        <f t="shared" si="21"/>
        <v>0.8764540006857201</v>
      </c>
      <c r="BH18" s="1">
        <f t="shared" si="22"/>
        <v>0</v>
      </c>
      <c r="BI18" s="1">
        <f t="shared" si="23"/>
        <v>87.56940975380455</v>
      </c>
      <c r="BJ18" s="1">
        <f t="shared" si="24"/>
        <v>4.6265579669780523</v>
      </c>
      <c r="BK18" s="1">
        <f t="shared" si="25"/>
        <v>0</v>
      </c>
      <c r="BL18" s="1">
        <f t="shared" si="26"/>
        <v>462.25466486895232</v>
      </c>
      <c r="BM18" s="1">
        <f t="shared" si="27"/>
        <v>4.6265579669780523</v>
      </c>
      <c r="BN18" s="1">
        <f t="shared" si="28"/>
        <v>0</v>
      </c>
      <c r="BO18" s="1">
        <f t="shared" si="29"/>
        <v>462.25466486895232</v>
      </c>
      <c r="BQ18" s="9">
        <v>3.14</v>
      </c>
      <c r="BR18" s="10">
        <v>0.22181100240000001</v>
      </c>
      <c r="BS18" s="9">
        <v>0.18104824</v>
      </c>
      <c r="BU18" s="10">
        <f t="shared" si="30"/>
        <v>4.1770824382695828</v>
      </c>
      <c r="BV18" s="10">
        <f t="shared" si="31"/>
        <v>0.44947552870846952</v>
      </c>
      <c r="BW18" s="10">
        <f t="shared" si="32"/>
        <v>4.6265579669780523</v>
      </c>
      <c r="BY18" s="10">
        <f t="shared" si="33"/>
        <v>3.14</v>
      </c>
      <c r="BZ18" s="10">
        <f t="shared" si="34"/>
        <v>0</v>
      </c>
      <c r="CA18" s="10">
        <f t="shared" si="35"/>
        <v>0.8764540006857201</v>
      </c>
      <c r="CB18" s="10">
        <f t="shared" si="36"/>
        <v>0</v>
      </c>
      <c r="CC18" s="10">
        <f t="shared" si="37"/>
        <v>0.61010396629233199</v>
      </c>
      <c r="CD18" s="10">
        <f t="shared" si="38"/>
        <v>4.6265579669780523</v>
      </c>
      <c r="CF18" s="1">
        <f t="shared" si="39"/>
        <v>0</v>
      </c>
    </row>
    <row r="19" spans="2:84" x14ac:dyDescent="0.2">
      <c r="B19" s="14" t="s">
        <v>94</v>
      </c>
      <c r="C19" s="13" t="s">
        <v>78</v>
      </c>
      <c r="D19" s="13">
        <v>0</v>
      </c>
      <c r="E19" s="13">
        <v>0.15985314340000001</v>
      </c>
      <c r="F19" s="13">
        <v>9.3887366979999998E-3</v>
      </c>
      <c r="G19" s="13">
        <v>5.3101897240000001E-2</v>
      </c>
      <c r="H19" s="13">
        <v>0.13183228590000001</v>
      </c>
      <c r="I19" s="13">
        <v>0</v>
      </c>
      <c r="J19" s="13">
        <v>4.1887233259999997E-2</v>
      </c>
      <c r="K19" s="13">
        <v>4.6541370279999999E-3</v>
      </c>
      <c r="L19" s="13">
        <v>106900.97410000001</v>
      </c>
      <c r="M19" s="13">
        <v>58510.185810000003</v>
      </c>
      <c r="N19" s="13">
        <v>1.807660423</v>
      </c>
      <c r="O19" s="11">
        <f t="shared" si="0"/>
        <v>0.19808570329275269</v>
      </c>
      <c r="Q19" s="16">
        <v>99.913297999999998</v>
      </c>
      <c r="R19" s="16">
        <v>-5.3212060000000001</v>
      </c>
      <c r="S19" s="16">
        <v>65.718463999999997</v>
      </c>
      <c r="T19" s="16">
        <v>44.094475000000003</v>
      </c>
      <c r="U19" s="16">
        <v>41.170529999999999</v>
      </c>
      <c r="V19" s="11">
        <v>21.986353300000001</v>
      </c>
      <c r="W19" s="17"/>
      <c r="X19" s="17"/>
      <c r="Y19" s="16">
        <v>20.088657000000001</v>
      </c>
      <c r="Z19" s="16">
        <v>6.2383220000000001</v>
      </c>
      <c r="AA19" s="16"/>
      <c r="AB19" s="17"/>
      <c r="AC19" s="17"/>
      <c r="AD19" s="17"/>
      <c r="AE19" s="17"/>
      <c r="AF19" s="17"/>
      <c r="AG19" s="17"/>
      <c r="AH19" s="16">
        <v>-1.2778670000000001</v>
      </c>
      <c r="AI19" s="16">
        <v>-3.0209890000000001</v>
      </c>
      <c r="AJ19" s="16">
        <v>796.73600799999997</v>
      </c>
      <c r="AK19" s="16">
        <v>0</v>
      </c>
      <c r="AM19" s="1" t="str">
        <f t="shared" si="1"/>
        <v>SW_TSC+CC90:H2</v>
      </c>
      <c r="AN19" s="1" t="str">
        <f t="shared" si="2"/>
        <v>Ethane</v>
      </c>
      <c r="AO19" s="12">
        <f t="shared" si="3"/>
        <v>837.73760080774616</v>
      </c>
      <c r="AP19" s="12">
        <f t="shared" si="4"/>
        <v>837.73760080774605</v>
      </c>
      <c r="AQ19" s="5">
        <f t="shared" si="5"/>
        <v>0</v>
      </c>
      <c r="AR19" s="12">
        <f t="shared" si="6"/>
        <v>1212.4228559078415</v>
      </c>
      <c r="AS19" s="12">
        <f t="shared" si="7"/>
        <v>1212.4228559078415</v>
      </c>
      <c r="AT19" s="5">
        <f t="shared" si="8"/>
        <v>0</v>
      </c>
      <c r="AU19" s="5">
        <f t="shared" si="9"/>
        <v>0</v>
      </c>
      <c r="AV19" s="1">
        <f t="shared" si="10"/>
        <v>-18.779279706981988</v>
      </c>
      <c r="AW19" s="1">
        <f t="shared" si="11"/>
        <v>3.5517960937818009</v>
      </c>
      <c r="AX19" s="1">
        <f t="shared" si="12"/>
        <v>414.04082420313915</v>
      </c>
      <c r="AY19" s="1">
        <f t="shared" si="13"/>
        <v>-3.1724690913543587</v>
      </c>
      <c r="AZ19" s="1">
        <f t="shared" si="14"/>
        <v>0</v>
      </c>
      <c r="BA19" s="1">
        <f t="shared" si="15"/>
        <v>255.34361879781346</v>
      </c>
      <c r="BB19" s="1">
        <f t="shared" si="16"/>
        <v>139.75740358812948</v>
      </c>
      <c r="BC19" s="1">
        <f t="shared" si="17"/>
        <v>34.041352888580896</v>
      </c>
      <c r="BD19" s="1">
        <f t="shared" si="18"/>
        <v>0.87645400083637381</v>
      </c>
      <c r="BE19" s="1">
        <f t="shared" si="19"/>
        <v>-74.615055734219169</v>
      </c>
      <c r="BF19" s="1">
        <f t="shared" si="20"/>
        <v>87.569409768856858</v>
      </c>
      <c r="BG19" s="1">
        <f t="shared" si="21"/>
        <v>8.7645400068572007E-2</v>
      </c>
      <c r="BH19" s="1">
        <f t="shared" si="22"/>
        <v>4.1974130592572321</v>
      </c>
      <c r="BI19" s="1">
        <f t="shared" si="23"/>
        <v>8.7569409753804557</v>
      </c>
      <c r="BJ19" s="1">
        <f t="shared" si="24"/>
        <v>4.6265579669780523</v>
      </c>
      <c r="BK19" s="1">
        <f t="shared" si="25"/>
        <v>-74.615055734219169</v>
      </c>
      <c r="BL19" s="1">
        <f t="shared" si="26"/>
        <v>462.25466486895232</v>
      </c>
      <c r="BM19" s="1">
        <f t="shared" si="27"/>
        <v>3.8377493662102502</v>
      </c>
      <c r="BN19" s="1">
        <f t="shared" si="28"/>
        <v>4.1974130592572312</v>
      </c>
      <c r="BO19" s="1">
        <f t="shared" si="29"/>
        <v>383.44219607547586</v>
      </c>
      <c r="BQ19" s="9">
        <v>3.14</v>
      </c>
      <c r="BR19" s="10">
        <v>0.22181100240000001</v>
      </c>
      <c r="BS19" s="9">
        <v>0.18104824</v>
      </c>
      <c r="BU19" s="10">
        <f t="shared" si="30"/>
        <v>4.1770824382695828</v>
      </c>
      <c r="BV19" s="10">
        <f t="shared" si="31"/>
        <v>0.44947552870846952</v>
      </c>
      <c r="BW19" s="10">
        <f t="shared" si="32"/>
        <v>4.6265579669780523</v>
      </c>
      <c r="BY19" s="10">
        <f t="shared" si="33"/>
        <v>3.14</v>
      </c>
      <c r="BZ19" s="10">
        <f t="shared" si="34"/>
        <v>0</v>
      </c>
      <c r="CA19" s="10">
        <f t="shared" si="35"/>
        <v>8.7645400068572007E-2</v>
      </c>
      <c r="CB19" s="10">
        <f t="shared" si="36"/>
        <v>0.78880860076780179</v>
      </c>
      <c r="CC19" s="10">
        <f t="shared" si="37"/>
        <v>0.61010396614167828</v>
      </c>
      <c r="CD19" s="10">
        <f t="shared" si="38"/>
        <v>4.6265579669780523</v>
      </c>
      <c r="CF19" s="1">
        <f t="shared" si="39"/>
        <v>0</v>
      </c>
    </row>
    <row r="20" spans="2:84" x14ac:dyDescent="0.2">
      <c r="B20" s="14" t="s">
        <v>95</v>
      </c>
      <c r="C20" s="13" t="s">
        <v>78</v>
      </c>
      <c r="D20" s="13">
        <v>2.226644157E-2</v>
      </c>
      <c r="E20" s="13">
        <v>0</v>
      </c>
      <c r="F20" s="13">
        <v>0</v>
      </c>
      <c r="G20" s="13">
        <v>5.3101897240000001E-2</v>
      </c>
      <c r="H20" s="13">
        <v>0</v>
      </c>
      <c r="I20" s="13">
        <v>0</v>
      </c>
      <c r="J20" s="13">
        <v>0</v>
      </c>
      <c r="K20" s="13">
        <v>2.2673366949999999E-2</v>
      </c>
      <c r="L20" s="13">
        <v>99124.320160000003</v>
      </c>
      <c r="M20" s="13">
        <v>54251.997770000002</v>
      </c>
      <c r="N20" s="13">
        <v>1.6761597559999999</v>
      </c>
      <c r="O20" s="11">
        <f t="shared" si="0"/>
        <v>0.19808570329659347</v>
      </c>
      <c r="Q20" s="16">
        <v>99.913297999999998</v>
      </c>
      <c r="R20" s="16">
        <v>-5.3212060000000001</v>
      </c>
      <c r="S20" s="16">
        <v>65.718463999999997</v>
      </c>
      <c r="T20" s="16">
        <v>44.094475000000003</v>
      </c>
      <c r="U20" s="16">
        <v>41.170529999999999</v>
      </c>
      <c r="V20" s="11">
        <v>21.986353300000001</v>
      </c>
      <c r="W20" s="17"/>
      <c r="X20" s="17"/>
      <c r="Y20" s="16">
        <v>20.088657000000001</v>
      </c>
      <c r="Z20" s="16">
        <v>6.2383220000000001</v>
      </c>
      <c r="AA20" s="16"/>
      <c r="AB20" s="17"/>
      <c r="AC20" s="17"/>
      <c r="AD20" s="17"/>
      <c r="AE20" s="17"/>
      <c r="AF20" s="17"/>
      <c r="AG20" s="17"/>
      <c r="AH20" s="16">
        <v>-1.2778670000000001</v>
      </c>
      <c r="AI20" s="16">
        <v>-3.0209890000000001</v>
      </c>
      <c r="AJ20" s="16">
        <v>796.73600799999997</v>
      </c>
      <c r="AK20" s="16">
        <v>0</v>
      </c>
      <c r="AM20" s="1" t="str">
        <f t="shared" si="1"/>
        <v>SW_TSC+H2in</v>
      </c>
      <c r="AN20" s="1" t="str">
        <f t="shared" si="2"/>
        <v>Ethane</v>
      </c>
      <c r="AO20" s="12">
        <f t="shared" si="3"/>
        <v>857.23704933731142</v>
      </c>
      <c r="AP20" s="12">
        <f t="shared" si="4"/>
        <v>857.23704933731142</v>
      </c>
      <c r="AQ20" s="5">
        <f t="shared" si="5"/>
        <v>0</v>
      </c>
      <c r="AR20" s="12">
        <f t="shared" si="6"/>
        <v>1231.9223044385888</v>
      </c>
      <c r="AS20" s="12">
        <f t="shared" si="7"/>
        <v>1231.9223044385888</v>
      </c>
      <c r="AT20" s="5">
        <f t="shared" si="8"/>
        <v>0</v>
      </c>
      <c r="AU20" s="5">
        <f t="shared" si="9"/>
        <v>2.6158242836418388</v>
      </c>
      <c r="AV20" s="1">
        <f t="shared" si="10"/>
        <v>0</v>
      </c>
      <c r="AW20" s="1">
        <f t="shared" si="11"/>
        <v>0</v>
      </c>
      <c r="AX20" s="1">
        <f t="shared" si="12"/>
        <v>414.04082420313915</v>
      </c>
      <c r="AY20" s="1">
        <f t="shared" si="13"/>
        <v>0</v>
      </c>
      <c r="AZ20" s="1">
        <f t="shared" si="14"/>
        <v>0</v>
      </c>
      <c r="BA20" s="1">
        <f t="shared" si="15"/>
        <v>236.76830668400294</v>
      </c>
      <c r="BB20" s="1">
        <f t="shared" si="16"/>
        <v>129.58629754527846</v>
      </c>
      <c r="BC20" s="1">
        <f t="shared" si="17"/>
        <v>31.564969297130897</v>
      </c>
      <c r="BD20" s="1">
        <f t="shared" si="18"/>
        <v>0.42697847211607459</v>
      </c>
      <c r="BE20" s="1">
        <f t="shared" si="19"/>
        <v>0</v>
      </c>
      <c r="BF20" s="1">
        <f t="shared" si="20"/>
        <v>42.660827324118053</v>
      </c>
      <c r="BG20" s="1">
        <f t="shared" si="21"/>
        <v>0.42697847211607459</v>
      </c>
      <c r="BH20" s="1">
        <f t="shared" si="22"/>
        <v>0</v>
      </c>
      <c r="BI20" s="1">
        <f t="shared" si="23"/>
        <v>42.660827324118053</v>
      </c>
      <c r="BJ20" s="1">
        <f t="shared" si="24"/>
        <v>4.1770824382695828</v>
      </c>
      <c r="BK20" s="1">
        <f t="shared" si="25"/>
        <v>0</v>
      </c>
      <c r="BL20" s="1">
        <f t="shared" si="26"/>
        <v>417.34608242539542</v>
      </c>
      <c r="BM20" s="1">
        <f t="shared" si="27"/>
        <v>4.1770824382695828</v>
      </c>
      <c r="BN20" s="1">
        <f t="shared" si="28"/>
        <v>0</v>
      </c>
      <c r="BO20" s="1">
        <f t="shared" si="29"/>
        <v>417.34608242539542</v>
      </c>
      <c r="BQ20" s="9">
        <v>3.14</v>
      </c>
      <c r="BR20" s="10">
        <v>0.22181100240000001</v>
      </c>
      <c r="BS20" s="9">
        <v>0.18104824</v>
      </c>
      <c r="BU20" s="10">
        <f t="shared" si="30"/>
        <v>4.1770824382695828</v>
      </c>
      <c r="BV20" s="10">
        <f t="shared" si="31"/>
        <v>0</v>
      </c>
      <c r="BW20" s="10">
        <f t="shared" si="32"/>
        <v>4.1770824382695828</v>
      </c>
      <c r="BY20" s="10">
        <f t="shared" si="33"/>
        <v>3.14</v>
      </c>
      <c r="BZ20" s="10">
        <f t="shared" si="34"/>
        <v>0</v>
      </c>
      <c r="CA20" s="10">
        <f t="shared" si="35"/>
        <v>0.42697847211607459</v>
      </c>
      <c r="CB20" s="10">
        <f t="shared" si="36"/>
        <v>0</v>
      </c>
      <c r="CC20" s="10">
        <f t="shared" si="37"/>
        <v>0.61010396615350793</v>
      </c>
      <c r="CD20" s="10">
        <f t="shared" si="38"/>
        <v>4.1770824382695828</v>
      </c>
      <c r="CF20" s="1">
        <f t="shared" si="39"/>
        <v>0</v>
      </c>
    </row>
    <row r="21" spans="2:84" x14ac:dyDescent="0.2">
      <c r="B21" s="14" t="s">
        <v>96</v>
      </c>
      <c r="C21" s="13" t="s">
        <v>78</v>
      </c>
      <c r="D21" s="13">
        <v>0.1375867019</v>
      </c>
      <c r="E21" s="13">
        <v>0</v>
      </c>
      <c r="F21" s="13">
        <v>0</v>
      </c>
      <c r="G21" s="13">
        <v>5.3101897240000001E-2</v>
      </c>
      <c r="H21" s="13">
        <v>0</v>
      </c>
      <c r="I21" s="13">
        <v>0.11814249659999999</v>
      </c>
      <c r="J21" s="13">
        <v>0</v>
      </c>
      <c r="K21" s="13">
        <v>1.283875878E-3</v>
      </c>
      <c r="L21" s="13">
        <v>99124.320160000003</v>
      </c>
      <c r="M21" s="13">
        <v>54251.997770000002</v>
      </c>
      <c r="N21" s="13">
        <v>1.6761597559999999</v>
      </c>
      <c r="O21" s="11">
        <f t="shared" si="0"/>
        <v>0.19808570325601987</v>
      </c>
      <c r="Q21" s="16">
        <v>99.913297999999998</v>
      </c>
      <c r="R21" s="16">
        <v>-5.3212060000000001</v>
      </c>
      <c r="S21" s="16">
        <v>65.718463999999997</v>
      </c>
      <c r="T21" s="16">
        <v>44.094475000000003</v>
      </c>
      <c r="U21" s="16">
        <v>41.170529999999999</v>
      </c>
      <c r="V21" s="11">
        <v>21.986353300000001</v>
      </c>
      <c r="W21" s="17"/>
      <c r="X21" s="17"/>
      <c r="Y21" s="16">
        <v>20.088657000000001</v>
      </c>
      <c r="Z21" s="16">
        <v>6.2383220000000001</v>
      </c>
      <c r="AA21" s="16"/>
      <c r="AB21" s="17"/>
      <c r="AC21" s="17"/>
      <c r="AD21" s="17"/>
      <c r="AE21" s="17"/>
      <c r="AF21" s="17"/>
      <c r="AG21" s="17"/>
      <c r="AH21" s="16">
        <v>-1.2778670000000001</v>
      </c>
      <c r="AI21" s="16">
        <v>-3.0209890000000001</v>
      </c>
      <c r="AJ21" s="16">
        <v>796.73600799999997</v>
      </c>
      <c r="AK21" s="16">
        <v>0</v>
      </c>
      <c r="AM21" s="1" t="str">
        <f t="shared" si="1"/>
        <v>SW_TSC+H2in:CH4</v>
      </c>
      <c r="AN21" s="1" t="str">
        <f t="shared" si="2"/>
        <v>Ethane</v>
      </c>
      <c r="AO21" s="12">
        <f t="shared" si="3"/>
        <v>873.62771258413261</v>
      </c>
      <c r="AP21" s="12">
        <f t="shared" si="4"/>
        <v>873.62771258413261</v>
      </c>
      <c r="AQ21" s="5">
        <f t="shared" si="5"/>
        <v>0</v>
      </c>
      <c r="AR21" s="12">
        <f t="shared" si="6"/>
        <v>1248.3129676729241</v>
      </c>
      <c r="AS21" s="12">
        <f t="shared" si="7"/>
        <v>1248.3129676729241</v>
      </c>
      <c r="AT21" s="5">
        <f t="shared" si="8"/>
        <v>0</v>
      </c>
      <c r="AU21" s="5">
        <f t="shared" si="9"/>
        <v>16.16345543156363</v>
      </c>
      <c r="AV21" s="1">
        <f t="shared" si="10"/>
        <v>0</v>
      </c>
      <c r="AW21" s="1">
        <f t="shared" si="11"/>
        <v>0</v>
      </c>
      <c r="AX21" s="1">
        <f t="shared" si="12"/>
        <v>414.04082420313915</v>
      </c>
      <c r="AY21" s="1">
        <f t="shared" si="13"/>
        <v>0</v>
      </c>
      <c r="AZ21" s="1">
        <f t="shared" si="14"/>
        <v>2.843032086413495</v>
      </c>
      <c r="BA21" s="1">
        <f t="shared" si="15"/>
        <v>236.76830668400294</v>
      </c>
      <c r="BB21" s="1">
        <f t="shared" si="16"/>
        <v>129.58629754527846</v>
      </c>
      <c r="BC21" s="1">
        <f t="shared" si="17"/>
        <v>31.564969297130897</v>
      </c>
      <c r="BD21" s="1">
        <f t="shared" si="18"/>
        <v>0.42697847224104163</v>
      </c>
      <c r="BE21" s="1">
        <f t="shared" si="19"/>
        <v>0</v>
      </c>
      <c r="BF21" s="1">
        <f t="shared" si="20"/>
        <v>42.660827336603916</v>
      </c>
      <c r="BG21" s="1">
        <f t="shared" si="21"/>
        <v>0.42697847224104163</v>
      </c>
      <c r="BH21" s="1">
        <f t="shared" si="22"/>
        <v>0</v>
      </c>
      <c r="BI21" s="1">
        <f t="shared" si="23"/>
        <v>42.660827336603916</v>
      </c>
      <c r="BJ21" s="1">
        <f t="shared" si="24"/>
        <v>4.1770824382695828</v>
      </c>
      <c r="BK21" s="1">
        <f t="shared" si="25"/>
        <v>0</v>
      </c>
      <c r="BL21" s="1">
        <f t="shared" si="26"/>
        <v>417.34608242539542</v>
      </c>
      <c r="BM21" s="1">
        <f t="shared" si="27"/>
        <v>4.1770824382695828</v>
      </c>
      <c r="BN21" s="1">
        <f t="shared" si="28"/>
        <v>0</v>
      </c>
      <c r="BO21" s="1">
        <f t="shared" si="29"/>
        <v>417.34608242539542</v>
      </c>
      <c r="BQ21" s="9">
        <v>3.14</v>
      </c>
      <c r="BR21" s="10">
        <v>0.22181100240000001</v>
      </c>
      <c r="BS21" s="9">
        <v>0.18104824</v>
      </c>
      <c r="BU21" s="10">
        <f t="shared" si="30"/>
        <v>4.1770824382695828</v>
      </c>
      <c r="BV21" s="10">
        <f t="shared" si="31"/>
        <v>0</v>
      </c>
      <c r="BW21" s="10">
        <f t="shared" si="32"/>
        <v>4.1770824382695828</v>
      </c>
      <c r="BY21" s="10">
        <f t="shared" si="33"/>
        <v>3.14</v>
      </c>
      <c r="BZ21" s="10">
        <f t="shared" si="34"/>
        <v>0.40280088264951763</v>
      </c>
      <c r="CA21" s="10">
        <f t="shared" si="35"/>
        <v>2.4177589591523982E-2</v>
      </c>
      <c r="CB21" s="10">
        <f t="shared" si="36"/>
        <v>0</v>
      </c>
      <c r="CC21" s="10">
        <f t="shared" si="37"/>
        <v>0.61010396602854122</v>
      </c>
      <c r="CD21" s="10">
        <f t="shared" si="38"/>
        <v>4.1770824382695828</v>
      </c>
      <c r="CF21" s="1">
        <f t="shared" si="39"/>
        <v>0</v>
      </c>
    </row>
    <row r="22" spans="2:84" x14ac:dyDescent="0.2">
      <c r="B22" s="14" t="s">
        <v>97</v>
      </c>
      <c r="C22" s="13" t="s">
        <v>78</v>
      </c>
      <c r="D22" s="13">
        <v>0</v>
      </c>
      <c r="E22" s="13">
        <v>0</v>
      </c>
      <c r="F22" s="13">
        <v>8.0529664380000008E-3</v>
      </c>
      <c r="G22" s="13">
        <v>5.3101897240000001E-2</v>
      </c>
      <c r="H22" s="13">
        <v>2.270169876E-2</v>
      </c>
      <c r="I22" s="13">
        <v>0</v>
      </c>
      <c r="J22" s="13">
        <v>2.4105122600000001E-2</v>
      </c>
      <c r="K22" s="13">
        <v>2.6783469549999999E-3</v>
      </c>
      <c r="L22" s="13">
        <v>106875.1697</v>
      </c>
      <c r="M22" s="13">
        <v>58496.387280000003</v>
      </c>
      <c r="N22" s="13">
        <v>1.8072240850000001</v>
      </c>
      <c r="O22" s="11">
        <f t="shared" si="0"/>
        <v>0.19808570329970068</v>
      </c>
      <c r="Q22" s="16">
        <v>99.913297999999998</v>
      </c>
      <c r="R22" s="16">
        <v>-5.2801289999999996</v>
      </c>
      <c r="S22" s="16">
        <v>67.915679999999995</v>
      </c>
      <c r="T22" s="16">
        <v>44.074162000000001</v>
      </c>
      <c r="U22" s="16">
        <v>42.063156999999997</v>
      </c>
      <c r="V22" s="11">
        <v>21.986353300000001</v>
      </c>
      <c r="W22" s="17"/>
      <c r="X22" s="17"/>
      <c r="Y22" s="16">
        <v>19.074368</v>
      </c>
      <c r="Z22" s="16">
        <v>5.2387449999999998</v>
      </c>
      <c r="AA22" s="16"/>
      <c r="AB22" s="17"/>
      <c r="AC22" s="17"/>
      <c r="AD22" s="17"/>
      <c r="AE22" s="17"/>
      <c r="AF22" s="17"/>
      <c r="AG22" s="17"/>
      <c r="AH22" s="16">
        <v>-2.438704</v>
      </c>
      <c r="AI22" s="16">
        <v>-3.9563220000000001</v>
      </c>
      <c r="AJ22" s="16">
        <v>796.73600799999997</v>
      </c>
      <c r="AK22" s="16">
        <v>0</v>
      </c>
      <c r="AM22" s="1" t="str">
        <f t="shared" si="1"/>
        <v>NW_TSC+CC90</v>
      </c>
      <c r="AN22" s="1" t="str">
        <f t="shared" si="2"/>
        <v>Ethane</v>
      </c>
      <c r="AO22" s="12">
        <f t="shared" si="3"/>
        <v>852.36674358373011</v>
      </c>
      <c r="AP22" s="12">
        <f t="shared" si="4"/>
        <v>852.36674358373023</v>
      </c>
      <c r="AQ22" s="5">
        <f t="shared" si="5"/>
        <v>0</v>
      </c>
      <c r="AR22" s="12">
        <f t="shared" si="6"/>
        <v>1227.0519986859636</v>
      </c>
      <c r="AS22" s="12">
        <f t="shared" si="7"/>
        <v>1227.0519986859638</v>
      </c>
      <c r="AT22" s="5">
        <f t="shared" si="8"/>
        <v>0</v>
      </c>
      <c r="AU22" s="5">
        <f t="shared" si="9"/>
        <v>0</v>
      </c>
      <c r="AV22" s="1">
        <f t="shared" si="10"/>
        <v>0</v>
      </c>
      <c r="AW22" s="1">
        <f t="shared" si="11"/>
        <v>2.8926507961820085</v>
      </c>
      <c r="AX22" s="1">
        <f t="shared" si="12"/>
        <v>414.04082420313915</v>
      </c>
      <c r="AY22" s="1">
        <f t="shared" si="13"/>
        <v>-1.0425752459010831</v>
      </c>
      <c r="AZ22" s="1">
        <f t="shared" si="14"/>
        <v>0</v>
      </c>
      <c r="BA22" s="1">
        <f t="shared" si="15"/>
        <v>255.2819824195449</v>
      </c>
      <c r="BB22" s="1">
        <f t="shared" si="16"/>
        <v>139.72444442555911</v>
      </c>
      <c r="BC22" s="1">
        <f t="shared" si="17"/>
        <v>34.033135894034963</v>
      </c>
      <c r="BD22" s="1">
        <f t="shared" si="18"/>
        <v>0.50437876887805144</v>
      </c>
      <c r="BE22" s="1">
        <f t="shared" si="19"/>
        <v>-42.957865148614772</v>
      </c>
      <c r="BF22" s="1">
        <f t="shared" si="20"/>
        <v>50.394146239785876</v>
      </c>
      <c r="BG22" s="1">
        <f t="shared" si="21"/>
        <v>5.0437876878389284E-2</v>
      </c>
      <c r="BH22" s="1">
        <f t="shared" si="22"/>
        <v>2.3968664681332839</v>
      </c>
      <c r="BI22" s="1">
        <f t="shared" si="23"/>
        <v>5.0394146230378185</v>
      </c>
      <c r="BJ22" s="1">
        <f t="shared" si="24"/>
        <v>4.2544827350411296</v>
      </c>
      <c r="BK22" s="1">
        <f t="shared" si="25"/>
        <v>-42.957865148614772</v>
      </c>
      <c r="BL22" s="1">
        <f t="shared" si="26"/>
        <v>425.07940134201942</v>
      </c>
      <c r="BM22" s="1">
        <f t="shared" si="27"/>
        <v>3.8005418430414672</v>
      </c>
      <c r="BN22" s="1">
        <f t="shared" si="28"/>
        <v>2.3968664681332843</v>
      </c>
      <c r="BO22" s="1">
        <f t="shared" si="29"/>
        <v>379.72466972527133</v>
      </c>
      <c r="BQ22" s="9">
        <v>3.14</v>
      </c>
      <c r="BR22" s="10">
        <v>0.22181100240000001</v>
      </c>
      <c r="BS22" s="9">
        <v>0.18104824</v>
      </c>
      <c r="BU22" s="10">
        <f t="shared" si="30"/>
        <v>4.1770824382695828</v>
      </c>
      <c r="BV22" s="10">
        <f t="shared" si="31"/>
        <v>7.7400296771546806E-2</v>
      </c>
      <c r="BW22" s="10">
        <f t="shared" si="32"/>
        <v>4.2544827350411296</v>
      </c>
      <c r="BY22" s="10">
        <f t="shared" si="33"/>
        <v>3.14</v>
      </c>
      <c r="BZ22" s="10">
        <f t="shared" si="34"/>
        <v>0</v>
      </c>
      <c r="CA22" s="10">
        <f t="shared" si="35"/>
        <v>5.0437876878389284E-2</v>
      </c>
      <c r="CB22" s="10">
        <f t="shared" si="36"/>
        <v>0.4539408919996622</v>
      </c>
      <c r="CC22" s="10">
        <f t="shared" si="37"/>
        <v>0.61010396616307805</v>
      </c>
      <c r="CD22" s="10">
        <f t="shared" si="38"/>
        <v>4.2544827350411296</v>
      </c>
      <c r="CF22" s="1">
        <f t="shared" si="39"/>
        <v>0</v>
      </c>
    </row>
    <row r="23" spans="2:84" x14ac:dyDescent="0.2">
      <c r="B23" s="14" t="s">
        <v>98</v>
      </c>
      <c r="C23" s="13" t="s">
        <v>78</v>
      </c>
      <c r="D23" s="13">
        <v>0</v>
      </c>
      <c r="E23" s="13">
        <v>0.15985314340000001</v>
      </c>
      <c r="F23" s="13">
        <v>0</v>
      </c>
      <c r="G23" s="13">
        <v>5.3101897240000001E-2</v>
      </c>
      <c r="H23" s="13">
        <v>0.13183228590000001</v>
      </c>
      <c r="I23" s="13">
        <v>0</v>
      </c>
      <c r="J23" s="13">
        <v>0</v>
      </c>
      <c r="K23" s="13">
        <v>4.6541370280000001E-2</v>
      </c>
      <c r="L23" s="13">
        <v>99124.320160000003</v>
      </c>
      <c r="M23" s="13">
        <v>54251.997770000002</v>
      </c>
      <c r="N23" s="13">
        <v>1.6761597559999999</v>
      </c>
      <c r="O23" s="11">
        <f t="shared" si="0"/>
        <v>0.19808570334166625</v>
      </c>
      <c r="Q23" s="16">
        <v>99.913297999999998</v>
      </c>
      <c r="R23" s="16">
        <v>-5.2801289999999996</v>
      </c>
      <c r="S23" s="16">
        <v>67.915679999999995</v>
      </c>
      <c r="T23" s="16">
        <v>44.074162000000001</v>
      </c>
      <c r="U23" s="16">
        <v>42.063156999999997</v>
      </c>
      <c r="V23" s="11">
        <v>21.986353300000001</v>
      </c>
      <c r="W23" s="17"/>
      <c r="X23" s="17"/>
      <c r="Y23" s="16">
        <v>19.074368</v>
      </c>
      <c r="Z23" s="16">
        <v>5.2387449999999998</v>
      </c>
      <c r="AA23" s="16"/>
      <c r="AB23" s="17"/>
      <c r="AC23" s="17"/>
      <c r="AD23" s="17"/>
      <c r="AE23" s="17"/>
      <c r="AF23" s="17"/>
      <c r="AG23" s="17"/>
      <c r="AH23" s="16">
        <v>-2.438704</v>
      </c>
      <c r="AI23" s="16">
        <v>-3.9563220000000001</v>
      </c>
      <c r="AJ23" s="16">
        <v>796.73600799999997</v>
      </c>
      <c r="AK23" s="16">
        <v>0</v>
      </c>
      <c r="AM23" s="1" t="str">
        <f t="shared" si="1"/>
        <v>NW_TSC:H2</v>
      </c>
      <c r="AN23" s="1" t="str">
        <f t="shared" si="2"/>
        <v>Ethane</v>
      </c>
      <c r="AO23" s="12">
        <f t="shared" si="3"/>
        <v>877.70516770755671</v>
      </c>
      <c r="AP23" s="12">
        <f t="shared" si="4"/>
        <v>877.70516770755671</v>
      </c>
      <c r="AQ23" s="5">
        <f t="shared" si="5"/>
        <v>0</v>
      </c>
      <c r="AR23" s="12">
        <f t="shared" si="6"/>
        <v>1252.3904228227045</v>
      </c>
      <c r="AS23" s="12">
        <f t="shared" si="7"/>
        <v>1252.3904228227045</v>
      </c>
      <c r="AT23" s="5">
        <f t="shared" si="8"/>
        <v>0</v>
      </c>
      <c r="AU23" s="5">
        <f t="shared" si="9"/>
        <v>0</v>
      </c>
      <c r="AV23" s="1">
        <f t="shared" si="10"/>
        <v>-15.770243611752223</v>
      </c>
      <c r="AW23" s="1">
        <f t="shared" si="11"/>
        <v>0</v>
      </c>
      <c r="AX23" s="1">
        <f t="shared" si="12"/>
        <v>414.04082420313915</v>
      </c>
      <c r="AY23" s="1">
        <f t="shared" si="13"/>
        <v>-6.0543961640469934</v>
      </c>
      <c r="AZ23" s="1">
        <f t="shared" si="14"/>
        <v>0</v>
      </c>
      <c r="BA23" s="1">
        <f t="shared" si="15"/>
        <v>236.76830668400294</v>
      </c>
      <c r="BB23" s="1">
        <f t="shared" si="16"/>
        <v>129.58629754527846</v>
      </c>
      <c r="BC23" s="1">
        <f t="shared" si="17"/>
        <v>31.564969297130897</v>
      </c>
      <c r="BD23" s="1">
        <f t="shared" si="18"/>
        <v>0.8764540006857201</v>
      </c>
      <c r="BE23" s="1">
        <f t="shared" si="19"/>
        <v>0</v>
      </c>
      <c r="BF23" s="1">
        <f t="shared" si="20"/>
        <v>87.56940975380455</v>
      </c>
      <c r="BG23" s="1">
        <f t="shared" si="21"/>
        <v>0.8764540006857201</v>
      </c>
      <c r="BH23" s="1">
        <f t="shared" si="22"/>
        <v>0</v>
      </c>
      <c r="BI23" s="1">
        <f t="shared" si="23"/>
        <v>87.56940975380455</v>
      </c>
      <c r="BJ23" s="1">
        <f t="shared" si="24"/>
        <v>4.6265579669780523</v>
      </c>
      <c r="BK23" s="1">
        <f t="shared" si="25"/>
        <v>0</v>
      </c>
      <c r="BL23" s="1">
        <f t="shared" si="26"/>
        <v>462.25466486895232</v>
      </c>
      <c r="BM23" s="1">
        <f t="shared" si="27"/>
        <v>4.6265579669780523</v>
      </c>
      <c r="BN23" s="1">
        <f t="shared" si="28"/>
        <v>0</v>
      </c>
      <c r="BO23" s="1">
        <f t="shared" si="29"/>
        <v>462.25466486895232</v>
      </c>
      <c r="BQ23" s="9">
        <v>3.14</v>
      </c>
      <c r="BR23" s="10">
        <v>0.22181100240000001</v>
      </c>
      <c r="BS23" s="9">
        <v>0.18104824</v>
      </c>
      <c r="BU23" s="10">
        <f t="shared" si="30"/>
        <v>4.1770824382695828</v>
      </c>
      <c r="BV23" s="10">
        <f t="shared" si="31"/>
        <v>0.44947552870846952</v>
      </c>
      <c r="BW23" s="10">
        <f t="shared" si="32"/>
        <v>4.6265579669780523</v>
      </c>
      <c r="BY23" s="10">
        <f t="shared" si="33"/>
        <v>3.14</v>
      </c>
      <c r="BZ23" s="10">
        <f t="shared" si="34"/>
        <v>0</v>
      </c>
      <c r="CA23" s="10">
        <f t="shared" si="35"/>
        <v>0.8764540006857201</v>
      </c>
      <c r="CB23" s="10">
        <f t="shared" si="36"/>
        <v>0</v>
      </c>
      <c r="CC23" s="10">
        <f t="shared" si="37"/>
        <v>0.61010396629233199</v>
      </c>
      <c r="CD23" s="10">
        <f t="shared" si="38"/>
        <v>4.6265579669780523</v>
      </c>
      <c r="CF23" s="1">
        <f t="shared" si="39"/>
        <v>0</v>
      </c>
    </row>
    <row r="24" spans="2:84" x14ac:dyDescent="0.2">
      <c r="B24" s="14" t="s">
        <v>99</v>
      </c>
      <c r="C24" s="13" t="s">
        <v>78</v>
      </c>
      <c r="D24" s="13">
        <v>0</v>
      </c>
      <c r="E24" s="13">
        <v>0.15985314340000001</v>
      </c>
      <c r="F24" s="13">
        <v>9.3887366979999998E-3</v>
      </c>
      <c r="G24" s="13">
        <v>5.3101897240000001E-2</v>
      </c>
      <c r="H24" s="13">
        <v>0.13183228590000001</v>
      </c>
      <c r="I24" s="13">
        <v>0</v>
      </c>
      <c r="J24" s="13">
        <v>4.1887233259999997E-2</v>
      </c>
      <c r="K24" s="13">
        <v>4.6541370279999999E-3</v>
      </c>
      <c r="L24" s="13">
        <v>106900.97410000001</v>
      </c>
      <c r="M24" s="13">
        <v>58510.185810000003</v>
      </c>
      <c r="N24" s="13">
        <v>1.807660423</v>
      </c>
      <c r="O24" s="11">
        <f t="shared" si="0"/>
        <v>0.19808570329275269</v>
      </c>
      <c r="Q24" s="16">
        <v>99.913297999999998</v>
      </c>
      <c r="R24" s="16">
        <v>-5.2801289999999996</v>
      </c>
      <c r="S24" s="16">
        <v>67.915679999999995</v>
      </c>
      <c r="T24" s="16">
        <v>44.074162000000001</v>
      </c>
      <c r="U24" s="16">
        <v>42.063156999999997</v>
      </c>
      <c r="V24" s="11">
        <v>21.986353300000001</v>
      </c>
      <c r="W24" s="17"/>
      <c r="X24" s="17"/>
      <c r="Y24" s="16">
        <v>19.074368</v>
      </c>
      <c r="Z24" s="16">
        <v>5.2387449999999998</v>
      </c>
      <c r="AA24" s="16"/>
      <c r="AB24" s="17"/>
      <c r="AC24" s="17"/>
      <c r="AD24" s="17"/>
      <c r="AE24" s="17"/>
      <c r="AF24" s="17"/>
      <c r="AG24" s="17"/>
      <c r="AH24" s="16">
        <v>-2.438704</v>
      </c>
      <c r="AI24" s="16">
        <v>-3.9563220000000001</v>
      </c>
      <c r="AJ24" s="16">
        <v>796.73600799999997</v>
      </c>
      <c r="AK24" s="16">
        <v>0</v>
      </c>
      <c r="AM24" s="1" t="str">
        <f t="shared" si="1"/>
        <v>NW_TSC+CC90:H2</v>
      </c>
      <c r="AN24" s="1" t="str">
        <f t="shared" si="2"/>
        <v>Ethane</v>
      </c>
      <c r="AO24" s="12">
        <f t="shared" si="3"/>
        <v>837.65297550775085</v>
      </c>
      <c r="AP24" s="12">
        <f t="shared" si="4"/>
        <v>837.65297550775074</v>
      </c>
      <c r="AQ24" s="5">
        <f t="shared" si="5"/>
        <v>0</v>
      </c>
      <c r="AR24" s="12">
        <f t="shared" si="6"/>
        <v>1212.3382306078463</v>
      </c>
      <c r="AS24" s="12">
        <f t="shared" si="7"/>
        <v>1212.3382306078461</v>
      </c>
      <c r="AT24" s="5">
        <f t="shared" si="8"/>
        <v>0</v>
      </c>
      <c r="AU24" s="5">
        <f t="shared" si="9"/>
        <v>0</v>
      </c>
      <c r="AV24" s="1">
        <f t="shared" si="10"/>
        <v>-15.770243611752223</v>
      </c>
      <c r="AW24" s="1">
        <f t="shared" si="11"/>
        <v>3.3724636621430975</v>
      </c>
      <c r="AX24" s="1">
        <f t="shared" si="12"/>
        <v>414.04082420313915</v>
      </c>
      <c r="AY24" s="1">
        <f t="shared" si="13"/>
        <v>-6.0543961640469934</v>
      </c>
      <c r="AZ24" s="1">
        <f t="shared" si="14"/>
        <v>0</v>
      </c>
      <c r="BA24" s="1">
        <f t="shared" si="15"/>
        <v>255.34361879781346</v>
      </c>
      <c r="BB24" s="1">
        <f t="shared" si="16"/>
        <v>139.75740358812948</v>
      </c>
      <c r="BC24" s="1">
        <f t="shared" si="17"/>
        <v>34.041352888580896</v>
      </c>
      <c r="BD24" s="1">
        <f t="shared" si="18"/>
        <v>0.87645400083637381</v>
      </c>
      <c r="BE24" s="1">
        <f t="shared" si="19"/>
        <v>-74.647457625112906</v>
      </c>
      <c r="BF24" s="1">
        <f t="shared" si="20"/>
        <v>87.569409768856858</v>
      </c>
      <c r="BG24" s="1">
        <f t="shared" si="21"/>
        <v>8.7645400068572007E-2</v>
      </c>
      <c r="BH24" s="1">
        <f t="shared" si="22"/>
        <v>4.1650111683634918</v>
      </c>
      <c r="BI24" s="1">
        <f t="shared" si="23"/>
        <v>8.7569409753804557</v>
      </c>
      <c r="BJ24" s="1">
        <f t="shared" si="24"/>
        <v>4.6265579669780523</v>
      </c>
      <c r="BK24" s="1">
        <f t="shared" si="25"/>
        <v>-74.647457625112906</v>
      </c>
      <c r="BL24" s="1">
        <f t="shared" si="26"/>
        <v>462.25466486895232</v>
      </c>
      <c r="BM24" s="1">
        <f t="shared" si="27"/>
        <v>3.8377493662102502</v>
      </c>
      <c r="BN24" s="1">
        <f t="shared" si="28"/>
        <v>4.1650111683634918</v>
      </c>
      <c r="BO24" s="1">
        <f t="shared" si="29"/>
        <v>383.44219607547586</v>
      </c>
      <c r="BQ24" s="9">
        <v>3.14</v>
      </c>
      <c r="BR24" s="10">
        <v>0.22181100240000001</v>
      </c>
      <c r="BS24" s="9">
        <v>0.18104824</v>
      </c>
      <c r="BU24" s="10">
        <f t="shared" si="30"/>
        <v>4.1770824382695828</v>
      </c>
      <c r="BV24" s="10">
        <f t="shared" si="31"/>
        <v>0.44947552870846952</v>
      </c>
      <c r="BW24" s="10">
        <f t="shared" si="32"/>
        <v>4.6265579669780523</v>
      </c>
      <c r="BY24" s="10">
        <f t="shared" si="33"/>
        <v>3.14</v>
      </c>
      <c r="BZ24" s="10">
        <f t="shared" si="34"/>
        <v>0</v>
      </c>
      <c r="CA24" s="10">
        <f t="shared" si="35"/>
        <v>8.7645400068572007E-2</v>
      </c>
      <c r="CB24" s="10">
        <f t="shared" si="36"/>
        <v>0.78880860076780179</v>
      </c>
      <c r="CC24" s="10">
        <f t="shared" si="37"/>
        <v>0.61010396614167828</v>
      </c>
      <c r="CD24" s="10">
        <f t="shared" si="38"/>
        <v>4.6265579669780523</v>
      </c>
      <c r="CF24" s="1">
        <f t="shared" si="39"/>
        <v>0</v>
      </c>
    </row>
    <row r="25" spans="2:84" x14ac:dyDescent="0.2">
      <c r="B25" s="14" t="s">
        <v>100</v>
      </c>
      <c r="C25" s="13" t="s">
        <v>78</v>
      </c>
      <c r="D25" s="13">
        <v>2.226644157E-2</v>
      </c>
      <c r="E25" s="13">
        <v>0</v>
      </c>
      <c r="F25" s="13">
        <v>0</v>
      </c>
      <c r="G25" s="13">
        <v>5.3101897240000001E-2</v>
      </c>
      <c r="H25" s="13">
        <v>0</v>
      </c>
      <c r="I25" s="13">
        <v>0</v>
      </c>
      <c r="J25" s="13">
        <v>0</v>
      </c>
      <c r="K25" s="13">
        <v>2.2673366949999999E-2</v>
      </c>
      <c r="L25" s="13">
        <v>99124.320160000003</v>
      </c>
      <c r="M25" s="13">
        <v>54251.997770000002</v>
      </c>
      <c r="N25" s="13">
        <v>1.6761597559999999</v>
      </c>
      <c r="O25" s="11">
        <f t="shared" si="0"/>
        <v>0.19808570329659347</v>
      </c>
      <c r="Q25" s="16">
        <v>99.913297999999998</v>
      </c>
      <c r="R25" s="16">
        <v>-5.2801289999999996</v>
      </c>
      <c r="S25" s="16">
        <v>67.915679999999995</v>
      </c>
      <c r="T25" s="16">
        <v>44.074162000000001</v>
      </c>
      <c r="U25" s="16">
        <v>42.063156999999997</v>
      </c>
      <c r="V25" s="11">
        <v>21.986353300000001</v>
      </c>
      <c r="W25" s="17"/>
      <c r="X25" s="17"/>
      <c r="Y25" s="16">
        <v>19.074368</v>
      </c>
      <c r="Z25" s="16">
        <v>5.2387449999999998</v>
      </c>
      <c r="AA25" s="16"/>
      <c r="AB25" s="17"/>
      <c r="AC25" s="17"/>
      <c r="AD25" s="17"/>
      <c r="AE25" s="17"/>
      <c r="AF25" s="17"/>
      <c r="AG25" s="17"/>
      <c r="AH25" s="16">
        <v>-2.438704</v>
      </c>
      <c r="AI25" s="16">
        <v>-3.9563220000000001</v>
      </c>
      <c r="AJ25" s="16">
        <v>796.73600799999997</v>
      </c>
      <c r="AK25" s="16">
        <v>0</v>
      </c>
      <c r="AM25" s="1" t="str">
        <f t="shared" si="1"/>
        <v>NW_TSC+H2in</v>
      </c>
      <c r="AN25" s="1" t="str">
        <f t="shared" si="2"/>
        <v>Ethane</v>
      </c>
      <c r="AO25" s="12">
        <f t="shared" si="3"/>
        <v>856.8179113399508</v>
      </c>
      <c r="AP25" s="12">
        <f t="shared" si="4"/>
        <v>856.8179113399508</v>
      </c>
      <c r="AQ25" s="5">
        <f t="shared" si="5"/>
        <v>0</v>
      </c>
      <c r="AR25" s="12">
        <f t="shared" si="6"/>
        <v>1231.5031664412281</v>
      </c>
      <c r="AS25" s="12">
        <f t="shared" si="7"/>
        <v>1231.5031664412281</v>
      </c>
      <c r="AT25" s="5">
        <f t="shared" si="8"/>
        <v>0</v>
      </c>
      <c r="AU25" s="5">
        <f t="shared" si="9"/>
        <v>2.1966862862813534</v>
      </c>
      <c r="AV25" s="1">
        <f t="shared" si="10"/>
        <v>0</v>
      </c>
      <c r="AW25" s="1">
        <f t="shared" si="11"/>
        <v>0</v>
      </c>
      <c r="AX25" s="1">
        <f t="shared" si="12"/>
        <v>414.04082420313915</v>
      </c>
      <c r="AY25" s="1">
        <f t="shared" si="13"/>
        <v>0</v>
      </c>
      <c r="AZ25" s="1">
        <f t="shared" si="14"/>
        <v>0</v>
      </c>
      <c r="BA25" s="1">
        <f t="shared" si="15"/>
        <v>236.76830668400294</v>
      </c>
      <c r="BB25" s="1">
        <f t="shared" si="16"/>
        <v>129.58629754527846</v>
      </c>
      <c r="BC25" s="1">
        <f t="shared" si="17"/>
        <v>31.564969297130897</v>
      </c>
      <c r="BD25" s="1">
        <f t="shared" si="18"/>
        <v>0.42697847211607459</v>
      </c>
      <c r="BE25" s="1">
        <f t="shared" si="19"/>
        <v>0</v>
      </c>
      <c r="BF25" s="1">
        <f t="shared" si="20"/>
        <v>42.660827324118053</v>
      </c>
      <c r="BG25" s="1">
        <f t="shared" si="21"/>
        <v>0.42697847211607459</v>
      </c>
      <c r="BH25" s="1">
        <f t="shared" si="22"/>
        <v>0</v>
      </c>
      <c r="BI25" s="1">
        <f t="shared" si="23"/>
        <v>42.660827324118053</v>
      </c>
      <c r="BJ25" s="1">
        <f t="shared" si="24"/>
        <v>4.1770824382695828</v>
      </c>
      <c r="BK25" s="1">
        <f t="shared" si="25"/>
        <v>0</v>
      </c>
      <c r="BL25" s="1">
        <f t="shared" si="26"/>
        <v>417.34608242539542</v>
      </c>
      <c r="BM25" s="1">
        <f t="shared" si="27"/>
        <v>4.1770824382695828</v>
      </c>
      <c r="BN25" s="1">
        <f t="shared" si="28"/>
        <v>0</v>
      </c>
      <c r="BO25" s="1">
        <f t="shared" si="29"/>
        <v>417.34608242539542</v>
      </c>
      <c r="BQ25" s="9">
        <v>3.14</v>
      </c>
      <c r="BR25" s="10">
        <v>0.22181100240000001</v>
      </c>
      <c r="BS25" s="9">
        <v>0.18104824</v>
      </c>
      <c r="BU25" s="10">
        <f t="shared" si="30"/>
        <v>4.1770824382695828</v>
      </c>
      <c r="BV25" s="10">
        <f t="shared" si="31"/>
        <v>0</v>
      </c>
      <c r="BW25" s="10">
        <f t="shared" si="32"/>
        <v>4.1770824382695828</v>
      </c>
      <c r="BY25" s="10">
        <f t="shared" si="33"/>
        <v>3.14</v>
      </c>
      <c r="BZ25" s="10">
        <f t="shared" si="34"/>
        <v>0</v>
      </c>
      <c r="CA25" s="10">
        <f t="shared" si="35"/>
        <v>0.42697847211607459</v>
      </c>
      <c r="CB25" s="10">
        <f t="shared" si="36"/>
        <v>0</v>
      </c>
      <c r="CC25" s="10">
        <f t="shared" si="37"/>
        <v>0.61010396615350793</v>
      </c>
      <c r="CD25" s="10">
        <f t="shared" si="38"/>
        <v>4.1770824382695828</v>
      </c>
      <c r="CF25" s="1">
        <f t="shared" si="39"/>
        <v>0</v>
      </c>
    </row>
    <row r="26" spans="2:84" x14ac:dyDescent="0.2">
      <c r="B26" s="14" t="s">
        <v>101</v>
      </c>
      <c r="C26" s="13" t="s">
        <v>78</v>
      </c>
      <c r="D26" s="13">
        <v>0.1375867019</v>
      </c>
      <c r="E26" s="13">
        <v>0</v>
      </c>
      <c r="F26" s="13">
        <v>0</v>
      </c>
      <c r="G26" s="13">
        <v>5.3101897240000001E-2</v>
      </c>
      <c r="H26" s="13">
        <v>0</v>
      </c>
      <c r="I26" s="13">
        <v>0.11814249659999999</v>
      </c>
      <c r="J26" s="13">
        <v>0</v>
      </c>
      <c r="K26" s="13">
        <v>1.283875878E-3</v>
      </c>
      <c r="L26" s="13">
        <v>99124.320160000003</v>
      </c>
      <c r="M26" s="13">
        <v>54251.997770000002</v>
      </c>
      <c r="N26" s="13">
        <v>1.6761597559999999</v>
      </c>
      <c r="O26" s="11">
        <f t="shared" si="0"/>
        <v>0.19808570325601987</v>
      </c>
      <c r="Q26" s="16">
        <v>99.913297999999998</v>
      </c>
      <c r="R26" s="16">
        <v>-5.2801289999999996</v>
      </c>
      <c r="S26" s="16">
        <v>67.915679999999995</v>
      </c>
      <c r="T26" s="16">
        <v>44.074162000000001</v>
      </c>
      <c r="U26" s="16">
        <v>42.063156999999997</v>
      </c>
      <c r="V26" s="11">
        <v>21.986353300000001</v>
      </c>
      <c r="W26" s="17"/>
      <c r="X26" s="17"/>
      <c r="Y26" s="16">
        <v>19.074368</v>
      </c>
      <c r="Z26" s="16">
        <v>5.2387449999999998</v>
      </c>
      <c r="AA26" s="16"/>
      <c r="AB26" s="17"/>
      <c r="AC26" s="17"/>
      <c r="AD26" s="17"/>
      <c r="AE26" s="17"/>
      <c r="AF26" s="17"/>
      <c r="AG26" s="17"/>
      <c r="AH26" s="16">
        <v>-2.438704</v>
      </c>
      <c r="AI26" s="16">
        <v>-3.9563220000000001</v>
      </c>
      <c r="AJ26" s="16">
        <v>796.73600799999997</v>
      </c>
      <c r="AK26" s="16">
        <v>0</v>
      </c>
      <c r="AM26" s="1" t="str">
        <f t="shared" si="1"/>
        <v>NW_TSC+H2in:CH4</v>
      </c>
      <c r="AN26" s="1" t="str">
        <f t="shared" si="2"/>
        <v>Ethane</v>
      </c>
      <c r="AO26" s="12">
        <f t="shared" si="3"/>
        <v>873.62047515158463</v>
      </c>
      <c r="AP26" s="12">
        <f t="shared" si="4"/>
        <v>873.62047515158463</v>
      </c>
      <c r="AQ26" s="5">
        <f t="shared" si="5"/>
        <v>0</v>
      </c>
      <c r="AR26" s="12">
        <f t="shared" si="6"/>
        <v>1248.3057302403761</v>
      </c>
      <c r="AS26" s="12">
        <f t="shared" si="7"/>
        <v>1248.3057302403761</v>
      </c>
      <c r="AT26" s="5">
        <f t="shared" si="8"/>
        <v>0</v>
      </c>
      <c r="AU26" s="5">
        <f t="shared" si="9"/>
        <v>13.573557332376689</v>
      </c>
      <c r="AV26" s="1">
        <f t="shared" si="10"/>
        <v>0</v>
      </c>
      <c r="AW26" s="1">
        <f t="shared" si="11"/>
        <v>0</v>
      </c>
      <c r="AX26" s="1">
        <f t="shared" si="12"/>
        <v>414.04082420313915</v>
      </c>
      <c r="AY26" s="1">
        <f t="shared" si="13"/>
        <v>0</v>
      </c>
      <c r="AZ26" s="1">
        <f t="shared" si="14"/>
        <v>5.4256927530524974</v>
      </c>
      <c r="BA26" s="1">
        <f t="shared" si="15"/>
        <v>236.76830668400294</v>
      </c>
      <c r="BB26" s="1">
        <f t="shared" si="16"/>
        <v>129.58629754527846</v>
      </c>
      <c r="BC26" s="1">
        <f t="shared" si="17"/>
        <v>31.564969297130897</v>
      </c>
      <c r="BD26" s="1">
        <f t="shared" si="18"/>
        <v>0.42697847224104163</v>
      </c>
      <c r="BE26" s="1">
        <f t="shared" si="19"/>
        <v>0</v>
      </c>
      <c r="BF26" s="1">
        <f t="shared" si="20"/>
        <v>42.660827336603916</v>
      </c>
      <c r="BG26" s="1">
        <f t="shared" si="21"/>
        <v>0.42697847224104163</v>
      </c>
      <c r="BH26" s="1">
        <f t="shared" si="22"/>
        <v>0</v>
      </c>
      <c r="BI26" s="1">
        <f t="shared" si="23"/>
        <v>42.660827336603916</v>
      </c>
      <c r="BJ26" s="1">
        <f t="shared" si="24"/>
        <v>4.1770824382695828</v>
      </c>
      <c r="BK26" s="1">
        <f t="shared" si="25"/>
        <v>0</v>
      </c>
      <c r="BL26" s="1">
        <f t="shared" si="26"/>
        <v>417.34608242539542</v>
      </c>
      <c r="BM26" s="1">
        <f t="shared" si="27"/>
        <v>4.1770824382695828</v>
      </c>
      <c r="BN26" s="1">
        <f t="shared" si="28"/>
        <v>0</v>
      </c>
      <c r="BO26" s="1">
        <f t="shared" si="29"/>
        <v>417.34608242539542</v>
      </c>
      <c r="BQ26" s="9">
        <v>3.14</v>
      </c>
      <c r="BR26" s="10">
        <v>0.22181100240000001</v>
      </c>
      <c r="BS26" s="9">
        <v>0.18104824</v>
      </c>
      <c r="BU26" s="10">
        <f t="shared" si="30"/>
        <v>4.1770824382695828</v>
      </c>
      <c r="BV26" s="10">
        <f t="shared" si="31"/>
        <v>0</v>
      </c>
      <c r="BW26" s="10">
        <f t="shared" si="32"/>
        <v>4.1770824382695828</v>
      </c>
      <c r="BY26" s="10">
        <f t="shared" si="33"/>
        <v>3.14</v>
      </c>
      <c r="BZ26" s="10">
        <f t="shared" si="34"/>
        <v>0.40280088264951763</v>
      </c>
      <c r="CA26" s="10">
        <f t="shared" si="35"/>
        <v>2.4177589591523982E-2</v>
      </c>
      <c r="CB26" s="10">
        <f t="shared" si="36"/>
        <v>0</v>
      </c>
      <c r="CC26" s="10">
        <f t="shared" si="37"/>
        <v>0.61010396602854122</v>
      </c>
      <c r="CD26" s="10">
        <f t="shared" si="38"/>
        <v>4.1770824382695828</v>
      </c>
      <c r="CF26" s="1">
        <f t="shared" si="39"/>
        <v>0</v>
      </c>
    </row>
    <row r="27" spans="2:84" x14ac:dyDescent="0.2">
      <c r="B27" s="14" t="s">
        <v>102</v>
      </c>
      <c r="C27" s="13" t="s">
        <v>78</v>
      </c>
      <c r="D27" s="13">
        <v>0</v>
      </c>
      <c r="E27" s="13">
        <v>0</v>
      </c>
      <c r="F27" s="13">
        <v>8.0529664380000008E-3</v>
      </c>
      <c r="G27" s="13">
        <v>5.3101897240000001E-2</v>
      </c>
      <c r="H27" s="13">
        <v>2.270169876E-2</v>
      </c>
      <c r="I27" s="13">
        <v>0</v>
      </c>
      <c r="J27" s="13">
        <v>2.4105122600000001E-2</v>
      </c>
      <c r="K27" s="13">
        <v>2.6783469549999999E-3</v>
      </c>
      <c r="L27" s="13">
        <v>106875.1697</v>
      </c>
      <c r="M27" s="13">
        <v>58496.387280000003</v>
      </c>
      <c r="N27" s="13">
        <v>1.8072240850000001</v>
      </c>
      <c r="O27" s="11">
        <f t="shared" si="0"/>
        <v>0.19808570329970068</v>
      </c>
      <c r="Q27" s="16">
        <v>99.913297999999998</v>
      </c>
      <c r="R27" s="16">
        <v>-4.9988429999999999</v>
      </c>
      <c r="S27" s="16">
        <v>65.086748999999998</v>
      </c>
      <c r="T27" s="16">
        <v>44.879451000000003</v>
      </c>
      <c r="U27" s="16">
        <v>38.220582</v>
      </c>
      <c r="V27" s="11">
        <v>21.986353300000001</v>
      </c>
      <c r="W27" s="17"/>
      <c r="X27" s="17"/>
      <c r="Y27" s="16">
        <v>20.958410000000001</v>
      </c>
      <c r="Z27" s="16">
        <v>6.0598489999999998</v>
      </c>
      <c r="AA27" s="16"/>
      <c r="AB27" s="17"/>
      <c r="AC27" s="17"/>
      <c r="AD27" s="17"/>
      <c r="AE27" s="17"/>
      <c r="AF27" s="17"/>
      <c r="AG27" s="17"/>
      <c r="AH27" s="16">
        <v>-1.4811879999999999</v>
      </c>
      <c r="AI27" s="16">
        <v>-3.2138800000000001</v>
      </c>
      <c r="AJ27" s="16">
        <v>796.73600799999997</v>
      </c>
      <c r="AK27" s="16">
        <v>796.73600799999997</v>
      </c>
      <c r="AM27" s="1" t="str">
        <f t="shared" si="1"/>
        <v>TX_TSC+CC90</v>
      </c>
      <c r="AN27" s="1" t="str">
        <f t="shared" si="2"/>
        <v>Ethane</v>
      </c>
      <c r="AO27" s="12">
        <f t="shared" si="3"/>
        <v>852.93412318472315</v>
      </c>
      <c r="AP27" s="12">
        <f t="shared" si="4"/>
        <v>852.93412318472315</v>
      </c>
      <c r="AQ27" s="5">
        <f t="shared" si="5"/>
        <v>0</v>
      </c>
      <c r="AR27" s="12">
        <f t="shared" si="6"/>
        <v>1227.6193782869568</v>
      </c>
      <c r="AS27" s="12">
        <f t="shared" si="7"/>
        <v>1227.6193782869566</v>
      </c>
      <c r="AT27" s="5">
        <f t="shared" si="8"/>
        <v>0</v>
      </c>
      <c r="AU27" s="5">
        <f t="shared" si="9"/>
        <v>0</v>
      </c>
      <c r="AV27" s="1">
        <f t="shared" si="10"/>
        <v>0</v>
      </c>
      <c r="AW27" s="1">
        <f t="shared" si="11"/>
        <v>3.1783680263067682</v>
      </c>
      <c r="AX27" s="1">
        <f t="shared" si="12"/>
        <v>414.04082420313915</v>
      </c>
      <c r="AY27" s="1">
        <f t="shared" si="13"/>
        <v>-0.63322565728589175</v>
      </c>
      <c r="AZ27" s="1">
        <f t="shared" si="14"/>
        <v>0</v>
      </c>
      <c r="BA27" s="1">
        <f t="shared" si="15"/>
        <v>255.2819824195449</v>
      </c>
      <c r="BB27" s="1">
        <f t="shared" si="16"/>
        <v>139.72444442555911</v>
      </c>
      <c r="BC27" s="1">
        <f t="shared" si="17"/>
        <v>34.033135894034963</v>
      </c>
      <c r="BD27" s="1">
        <f t="shared" si="18"/>
        <v>0.50437876887805144</v>
      </c>
      <c r="BE27" s="1">
        <f t="shared" si="19"/>
        <v>-43.085552366361796</v>
      </c>
      <c r="BF27" s="1">
        <f t="shared" si="20"/>
        <v>50.394146239785876</v>
      </c>
      <c r="BG27" s="1">
        <f t="shared" si="21"/>
        <v>5.0437876878389284E-2</v>
      </c>
      <c r="BH27" s="1">
        <f t="shared" si="22"/>
        <v>2.2691792503862676</v>
      </c>
      <c r="BI27" s="1">
        <f t="shared" si="23"/>
        <v>5.0394146230378185</v>
      </c>
      <c r="BJ27" s="1">
        <f t="shared" si="24"/>
        <v>4.2544827350411296</v>
      </c>
      <c r="BK27" s="1">
        <f t="shared" si="25"/>
        <v>-43.085552366361796</v>
      </c>
      <c r="BL27" s="1">
        <f t="shared" si="26"/>
        <v>425.07940134201942</v>
      </c>
      <c r="BM27" s="1">
        <f t="shared" si="27"/>
        <v>3.8005418430414672</v>
      </c>
      <c r="BN27" s="1">
        <f t="shared" si="28"/>
        <v>2.2691792503862676</v>
      </c>
      <c r="BO27" s="1">
        <f t="shared" si="29"/>
        <v>379.72466972527133</v>
      </c>
      <c r="BQ27" s="9">
        <v>3.14</v>
      </c>
      <c r="BR27" s="10">
        <v>0.22181100240000001</v>
      </c>
      <c r="BS27" s="9">
        <v>0.18104824</v>
      </c>
      <c r="BU27" s="10">
        <f t="shared" si="30"/>
        <v>4.1770824382695828</v>
      </c>
      <c r="BV27" s="10">
        <f t="shared" si="31"/>
        <v>7.7400296771546806E-2</v>
      </c>
      <c r="BW27" s="10">
        <f t="shared" si="32"/>
        <v>4.2544827350411296</v>
      </c>
      <c r="BY27" s="10">
        <f t="shared" si="33"/>
        <v>3.14</v>
      </c>
      <c r="BZ27" s="10">
        <f t="shared" si="34"/>
        <v>0</v>
      </c>
      <c r="CA27" s="10">
        <f t="shared" si="35"/>
        <v>5.0437876878389284E-2</v>
      </c>
      <c r="CB27" s="10">
        <f t="shared" si="36"/>
        <v>0.4539408919996622</v>
      </c>
      <c r="CC27" s="10">
        <f t="shared" si="37"/>
        <v>0.61010396616307805</v>
      </c>
      <c r="CD27" s="10">
        <f t="shared" si="38"/>
        <v>4.2544827350411296</v>
      </c>
      <c r="CF27" s="1">
        <f t="shared" si="39"/>
        <v>0</v>
      </c>
    </row>
    <row r="28" spans="2:84" x14ac:dyDescent="0.2">
      <c r="B28" s="14" t="s">
        <v>103</v>
      </c>
      <c r="C28" s="13" t="s">
        <v>78</v>
      </c>
      <c r="D28" s="13">
        <v>0</v>
      </c>
      <c r="E28" s="13">
        <v>0.15985314340000001</v>
      </c>
      <c r="F28" s="13">
        <v>0</v>
      </c>
      <c r="G28" s="13">
        <v>5.3101897240000001E-2</v>
      </c>
      <c r="H28" s="13">
        <v>0.13183228590000001</v>
      </c>
      <c r="I28" s="13">
        <v>0</v>
      </c>
      <c r="J28" s="13">
        <v>0</v>
      </c>
      <c r="K28" s="13">
        <v>4.6541370280000001E-2</v>
      </c>
      <c r="L28" s="13">
        <v>99124.320160000003</v>
      </c>
      <c r="M28" s="13">
        <v>54251.997770000002</v>
      </c>
      <c r="N28" s="13">
        <v>1.6761597559999999</v>
      </c>
      <c r="O28" s="11">
        <f t="shared" si="0"/>
        <v>0.19808570334166625</v>
      </c>
      <c r="Q28" s="16">
        <v>99.913297999999998</v>
      </c>
      <c r="R28" s="16">
        <v>-4.9988429999999999</v>
      </c>
      <c r="S28" s="16">
        <v>65.086748999999998</v>
      </c>
      <c r="T28" s="16">
        <v>44.879451000000003</v>
      </c>
      <c r="U28" s="16">
        <v>38.220582</v>
      </c>
      <c r="V28" s="11">
        <v>21.986353300000001</v>
      </c>
      <c r="W28" s="17"/>
      <c r="X28" s="17"/>
      <c r="Y28" s="16">
        <v>20.958410000000001</v>
      </c>
      <c r="Z28" s="16">
        <v>6.0598489999999998</v>
      </c>
      <c r="AA28" s="16"/>
      <c r="AB28" s="17"/>
      <c r="AC28" s="17"/>
      <c r="AD28" s="17"/>
      <c r="AE28" s="17"/>
      <c r="AF28" s="17"/>
      <c r="AG28" s="17"/>
      <c r="AH28" s="16">
        <v>-1.4811879999999999</v>
      </c>
      <c r="AI28" s="16">
        <v>-3.2138800000000001</v>
      </c>
      <c r="AJ28" s="16">
        <v>796.73600799999997</v>
      </c>
      <c r="AK28" s="16">
        <v>796.73600799999997</v>
      </c>
      <c r="AM28" s="1" t="str">
        <f t="shared" si="1"/>
        <v>TX_TSC:H2</v>
      </c>
      <c r="AN28" s="1" t="str">
        <f t="shared" si="2"/>
        <v>Ethane</v>
      </c>
      <c r="AO28" s="12">
        <f t="shared" si="3"/>
        <v>877.61054712611531</v>
      </c>
      <c r="AP28" s="12">
        <f t="shared" si="4"/>
        <v>877.61054712611531</v>
      </c>
      <c r="AQ28" s="5">
        <f t="shared" si="5"/>
        <v>0</v>
      </c>
      <c r="AR28" s="12">
        <f t="shared" si="6"/>
        <v>1252.2958022412631</v>
      </c>
      <c r="AS28" s="12">
        <f t="shared" si="7"/>
        <v>1252.2958022412631</v>
      </c>
      <c r="AT28" s="5">
        <f t="shared" si="8"/>
        <v>0</v>
      </c>
      <c r="AU28" s="5">
        <f t="shared" si="9"/>
        <v>0</v>
      </c>
      <c r="AV28" s="1">
        <f t="shared" si="10"/>
        <v>-18.242020747418149</v>
      </c>
      <c r="AW28" s="1">
        <f t="shared" si="11"/>
        <v>0</v>
      </c>
      <c r="AX28" s="1">
        <f t="shared" si="12"/>
        <v>414.04082420313915</v>
      </c>
      <c r="AY28" s="1">
        <f t="shared" si="13"/>
        <v>-3.677239609822446</v>
      </c>
      <c r="AZ28" s="1">
        <f t="shared" si="14"/>
        <v>0</v>
      </c>
      <c r="BA28" s="1">
        <f t="shared" si="15"/>
        <v>236.76830668400294</v>
      </c>
      <c r="BB28" s="1">
        <f t="shared" si="16"/>
        <v>129.58629754527846</v>
      </c>
      <c r="BC28" s="1">
        <f t="shared" si="17"/>
        <v>31.564969297130897</v>
      </c>
      <c r="BD28" s="1">
        <f t="shared" si="18"/>
        <v>0.8764540006857201</v>
      </c>
      <c r="BE28" s="1">
        <f t="shared" si="19"/>
        <v>0</v>
      </c>
      <c r="BF28" s="1">
        <f t="shared" si="20"/>
        <v>87.56940975380455</v>
      </c>
      <c r="BG28" s="1">
        <f t="shared" si="21"/>
        <v>0.8764540006857201</v>
      </c>
      <c r="BH28" s="1">
        <f t="shared" si="22"/>
        <v>0</v>
      </c>
      <c r="BI28" s="1">
        <f t="shared" si="23"/>
        <v>87.56940975380455</v>
      </c>
      <c r="BJ28" s="1">
        <f t="shared" si="24"/>
        <v>4.6265579669780523</v>
      </c>
      <c r="BK28" s="1">
        <f t="shared" si="25"/>
        <v>0</v>
      </c>
      <c r="BL28" s="1">
        <f t="shared" si="26"/>
        <v>462.25466486895232</v>
      </c>
      <c r="BM28" s="1">
        <f t="shared" si="27"/>
        <v>4.6265579669780523</v>
      </c>
      <c r="BN28" s="1">
        <f t="shared" si="28"/>
        <v>0</v>
      </c>
      <c r="BO28" s="1">
        <f t="shared" si="29"/>
        <v>462.25466486895232</v>
      </c>
      <c r="BQ28" s="9">
        <v>3.14</v>
      </c>
      <c r="BR28" s="10">
        <v>0.22181100240000001</v>
      </c>
      <c r="BS28" s="9">
        <v>0.18104824</v>
      </c>
      <c r="BU28" s="10">
        <f t="shared" si="30"/>
        <v>4.1770824382695828</v>
      </c>
      <c r="BV28" s="10">
        <f t="shared" si="31"/>
        <v>0.44947552870846952</v>
      </c>
      <c r="BW28" s="10">
        <f t="shared" si="32"/>
        <v>4.6265579669780523</v>
      </c>
      <c r="BY28" s="10">
        <f t="shared" si="33"/>
        <v>3.14</v>
      </c>
      <c r="BZ28" s="10">
        <f t="shared" si="34"/>
        <v>0</v>
      </c>
      <c r="CA28" s="10">
        <f t="shared" si="35"/>
        <v>0.8764540006857201</v>
      </c>
      <c r="CB28" s="10">
        <f t="shared" si="36"/>
        <v>0</v>
      </c>
      <c r="CC28" s="10">
        <f t="shared" si="37"/>
        <v>0.61010396629233199</v>
      </c>
      <c r="CD28" s="10">
        <f t="shared" si="38"/>
        <v>4.6265579669780523</v>
      </c>
      <c r="CF28" s="1">
        <f t="shared" si="39"/>
        <v>0</v>
      </c>
    </row>
    <row r="29" spans="2:84" x14ac:dyDescent="0.2">
      <c r="B29" s="14" t="s">
        <v>104</v>
      </c>
      <c r="C29" s="13" t="s">
        <v>78</v>
      </c>
      <c r="D29" s="13">
        <v>0</v>
      </c>
      <c r="E29" s="13">
        <v>0.15985314340000001</v>
      </c>
      <c r="F29" s="13">
        <v>9.3887366979999998E-3</v>
      </c>
      <c r="G29" s="13">
        <v>5.3101897240000001E-2</v>
      </c>
      <c r="H29" s="13">
        <v>0.13183228590000001</v>
      </c>
      <c r="I29" s="13">
        <v>0</v>
      </c>
      <c r="J29" s="13">
        <v>4.1887233259999997E-2</v>
      </c>
      <c r="K29" s="13">
        <v>4.6541370279999999E-3</v>
      </c>
      <c r="L29" s="13">
        <v>106900.97410000001</v>
      </c>
      <c r="M29" s="13">
        <v>58510.185810000003</v>
      </c>
      <c r="N29" s="13">
        <v>1.807660423</v>
      </c>
      <c r="O29" s="11">
        <f t="shared" si="0"/>
        <v>0.19808570329275269</v>
      </c>
      <c r="Q29" s="16">
        <v>99.913297999999998</v>
      </c>
      <c r="R29" s="16">
        <v>-4.9988429999999999</v>
      </c>
      <c r="S29" s="16">
        <v>65.086748999999998</v>
      </c>
      <c r="T29" s="16">
        <v>44.879451000000003</v>
      </c>
      <c r="U29" s="16">
        <v>38.220582</v>
      </c>
      <c r="V29" s="11">
        <v>21.986353300000001</v>
      </c>
      <c r="W29" s="17"/>
      <c r="X29" s="17"/>
      <c r="Y29" s="16">
        <v>20.958410000000001</v>
      </c>
      <c r="Z29" s="16">
        <v>6.0598489999999998</v>
      </c>
      <c r="AA29" s="16"/>
      <c r="AB29" s="17"/>
      <c r="AC29" s="17"/>
      <c r="AD29" s="17"/>
      <c r="AE29" s="17"/>
      <c r="AF29" s="17"/>
      <c r="AG29" s="17"/>
      <c r="AH29" s="16">
        <v>-1.4811879999999999</v>
      </c>
      <c r="AI29" s="16">
        <v>-3.2138800000000001</v>
      </c>
      <c r="AJ29" s="16">
        <v>796.73600799999997</v>
      </c>
      <c r="AK29" s="16">
        <v>796.73600799999997</v>
      </c>
      <c r="AM29" s="1" t="str">
        <f t="shared" si="1"/>
        <v>TX_TSC+CC90:H2</v>
      </c>
      <c r="AN29" s="1" t="str">
        <f t="shared" si="2"/>
        <v>Ethane</v>
      </c>
      <c r="AO29" s="12">
        <f t="shared" si="3"/>
        <v>837.66958413426994</v>
      </c>
      <c r="AP29" s="12">
        <f t="shared" si="4"/>
        <v>837.66958413426983</v>
      </c>
      <c r="AQ29" s="5">
        <f t="shared" si="5"/>
        <v>0</v>
      </c>
      <c r="AR29" s="12">
        <f t="shared" si="6"/>
        <v>1212.3548392343655</v>
      </c>
      <c r="AS29" s="12">
        <f t="shared" si="7"/>
        <v>1212.3548392343653</v>
      </c>
      <c r="AT29" s="5">
        <f t="shared" si="8"/>
        <v>0</v>
      </c>
      <c r="AU29" s="5">
        <f t="shared" si="9"/>
        <v>0</v>
      </c>
      <c r="AV29" s="1">
        <f t="shared" si="10"/>
        <v>-18.242020747418149</v>
      </c>
      <c r="AW29" s="1">
        <f t="shared" si="11"/>
        <v>3.7055736861790924</v>
      </c>
      <c r="AX29" s="1">
        <f t="shared" si="12"/>
        <v>414.04082420313915</v>
      </c>
      <c r="AY29" s="1">
        <f t="shared" si="13"/>
        <v>-3.677239609822446</v>
      </c>
      <c r="AZ29" s="1">
        <f t="shared" si="14"/>
        <v>0</v>
      </c>
      <c r="BA29" s="1">
        <f t="shared" si="15"/>
        <v>255.34361879781346</v>
      </c>
      <c r="BB29" s="1">
        <f t="shared" si="16"/>
        <v>139.75740358812948</v>
      </c>
      <c r="BC29" s="1">
        <f t="shared" si="17"/>
        <v>34.041352888580896</v>
      </c>
      <c r="BD29" s="1">
        <f t="shared" si="18"/>
        <v>0.87645400083637381</v>
      </c>
      <c r="BE29" s="1">
        <f t="shared" si="19"/>
        <v>-74.869338441188489</v>
      </c>
      <c r="BF29" s="1">
        <f t="shared" si="20"/>
        <v>87.569409768856858</v>
      </c>
      <c r="BG29" s="1">
        <f t="shared" si="21"/>
        <v>8.7645400068572007E-2</v>
      </c>
      <c r="BH29" s="1">
        <f t="shared" si="22"/>
        <v>3.9431303522879202</v>
      </c>
      <c r="BI29" s="1">
        <f t="shared" si="23"/>
        <v>8.7569409753804557</v>
      </c>
      <c r="BJ29" s="1">
        <f t="shared" si="24"/>
        <v>4.6265579669780523</v>
      </c>
      <c r="BK29" s="1">
        <f t="shared" si="25"/>
        <v>-74.869338441188489</v>
      </c>
      <c r="BL29" s="1">
        <f t="shared" si="26"/>
        <v>462.25466486895232</v>
      </c>
      <c r="BM29" s="1">
        <f t="shared" si="27"/>
        <v>3.8377493662102502</v>
      </c>
      <c r="BN29" s="1">
        <f t="shared" si="28"/>
        <v>3.9431303522879206</v>
      </c>
      <c r="BO29" s="1">
        <f t="shared" si="29"/>
        <v>383.44219607547586</v>
      </c>
      <c r="BQ29" s="9">
        <v>3.14</v>
      </c>
      <c r="BR29" s="10">
        <v>0.22181100240000001</v>
      </c>
      <c r="BS29" s="9">
        <v>0.18104824</v>
      </c>
      <c r="BU29" s="10">
        <f t="shared" si="30"/>
        <v>4.1770824382695828</v>
      </c>
      <c r="BV29" s="10">
        <f t="shared" si="31"/>
        <v>0.44947552870846952</v>
      </c>
      <c r="BW29" s="10">
        <f t="shared" si="32"/>
        <v>4.6265579669780523</v>
      </c>
      <c r="BY29" s="10">
        <f t="shared" si="33"/>
        <v>3.14</v>
      </c>
      <c r="BZ29" s="10">
        <f t="shared" si="34"/>
        <v>0</v>
      </c>
      <c r="CA29" s="10">
        <f t="shared" si="35"/>
        <v>8.7645400068572007E-2</v>
      </c>
      <c r="CB29" s="10">
        <f t="shared" si="36"/>
        <v>0.78880860076780179</v>
      </c>
      <c r="CC29" s="10">
        <f t="shared" si="37"/>
        <v>0.61010396614167828</v>
      </c>
      <c r="CD29" s="10">
        <f t="shared" si="38"/>
        <v>4.6265579669780523</v>
      </c>
      <c r="CF29" s="1">
        <f t="shared" si="39"/>
        <v>0</v>
      </c>
    </row>
    <row r="30" spans="2:84" x14ac:dyDescent="0.2">
      <c r="B30" s="14" t="s">
        <v>105</v>
      </c>
      <c r="C30" s="13" t="s">
        <v>78</v>
      </c>
      <c r="D30" s="13">
        <v>2.226644157E-2</v>
      </c>
      <c r="E30" s="13">
        <v>0</v>
      </c>
      <c r="F30" s="13">
        <v>0</v>
      </c>
      <c r="G30" s="13">
        <v>5.3101897240000001E-2</v>
      </c>
      <c r="H30" s="13">
        <v>0</v>
      </c>
      <c r="I30" s="13">
        <v>0</v>
      </c>
      <c r="J30" s="13">
        <v>0</v>
      </c>
      <c r="K30" s="13">
        <v>2.2673366949999999E-2</v>
      </c>
      <c r="L30" s="13">
        <v>99124.320160000003</v>
      </c>
      <c r="M30" s="13">
        <v>54251.997770000002</v>
      </c>
      <c r="N30" s="13">
        <v>1.6761597559999999</v>
      </c>
      <c r="O30" s="11">
        <f t="shared" si="0"/>
        <v>0.19808570329659347</v>
      </c>
      <c r="Q30" s="16">
        <v>99.913297999999998</v>
      </c>
      <c r="R30" s="16">
        <v>-4.9988429999999999</v>
      </c>
      <c r="S30" s="16">
        <v>65.086748999999998</v>
      </c>
      <c r="T30" s="16">
        <v>44.879451000000003</v>
      </c>
      <c r="U30" s="16">
        <v>38.220582</v>
      </c>
      <c r="V30" s="11">
        <v>21.986353300000001</v>
      </c>
      <c r="W30" s="17"/>
      <c r="X30" s="17"/>
      <c r="Y30" s="16">
        <v>20.958410000000001</v>
      </c>
      <c r="Z30" s="16">
        <v>6.0598489999999998</v>
      </c>
      <c r="AA30" s="16"/>
      <c r="AB30" s="17"/>
      <c r="AC30" s="17"/>
      <c r="AD30" s="17"/>
      <c r="AE30" s="17"/>
      <c r="AF30" s="17"/>
      <c r="AG30" s="17"/>
      <c r="AH30" s="16">
        <v>-1.4811879999999999</v>
      </c>
      <c r="AI30" s="16">
        <v>-3.2138800000000001</v>
      </c>
      <c r="AJ30" s="16">
        <v>796.73600799999997</v>
      </c>
      <c r="AK30" s="16">
        <v>796.73600799999997</v>
      </c>
      <c r="AM30" s="1" t="str">
        <f t="shared" si="1"/>
        <v>TX_TSC+H2in</v>
      </c>
      <c r="AN30" s="1" t="str">
        <f t="shared" si="2"/>
        <v>Ethane</v>
      </c>
      <c r="AO30" s="12">
        <f t="shared" si="3"/>
        <v>857.16221286568089</v>
      </c>
      <c r="AP30" s="12">
        <f t="shared" si="4"/>
        <v>857.16221286568089</v>
      </c>
      <c r="AQ30" s="5">
        <f t="shared" si="5"/>
        <v>0</v>
      </c>
      <c r="AR30" s="12">
        <f t="shared" si="6"/>
        <v>1231.8474679669582</v>
      </c>
      <c r="AS30" s="12">
        <f t="shared" si="7"/>
        <v>1231.8474679669582</v>
      </c>
      <c r="AT30" s="5">
        <f t="shared" si="8"/>
        <v>0</v>
      </c>
      <c r="AU30" s="5">
        <f t="shared" si="9"/>
        <v>2.5409878120114211</v>
      </c>
      <c r="AV30" s="1">
        <f t="shared" si="10"/>
        <v>0</v>
      </c>
      <c r="AW30" s="1">
        <f t="shared" si="11"/>
        <v>0</v>
      </c>
      <c r="AX30" s="1">
        <f t="shared" si="12"/>
        <v>414.04082420313915</v>
      </c>
      <c r="AY30" s="1">
        <f t="shared" si="13"/>
        <v>0</v>
      </c>
      <c r="AZ30" s="1">
        <f t="shared" si="14"/>
        <v>0</v>
      </c>
      <c r="BA30" s="1">
        <f t="shared" si="15"/>
        <v>236.76830668400294</v>
      </c>
      <c r="BB30" s="1">
        <f t="shared" si="16"/>
        <v>129.58629754527846</v>
      </c>
      <c r="BC30" s="1">
        <f t="shared" si="17"/>
        <v>31.564969297130897</v>
      </c>
      <c r="BD30" s="1">
        <f t="shared" si="18"/>
        <v>0.42697847211607459</v>
      </c>
      <c r="BE30" s="1">
        <f t="shared" si="19"/>
        <v>0</v>
      </c>
      <c r="BF30" s="1">
        <f t="shared" si="20"/>
        <v>42.660827324118053</v>
      </c>
      <c r="BG30" s="1">
        <f t="shared" si="21"/>
        <v>0.42697847211607459</v>
      </c>
      <c r="BH30" s="1">
        <f t="shared" si="22"/>
        <v>0</v>
      </c>
      <c r="BI30" s="1">
        <f t="shared" si="23"/>
        <v>42.660827324118053</v>
      </c>
      <c r="BJ30" s="1">
        <f t="shared" si="24"/>
        <v>4.1770824382695828</v>
      </c>
      <c r="BK30" s="1">
        <f t="shared" si="25"/>
        <v>0</v>
      </c>
      <c r="BL30" s="1">
        <f t="shared" si="26"/>
        <v>417.34608242539542</v>
      </c>
      <c r="BM30" s="1">
        <f t="shared" si="27"/>
        <v>4.1770824382695828</v>
      </c>
      <c r="BN30" s="1">
        <f t="shared" si="28"/>
        <v>0</v>
      </c>
      <c r="BO30" s="1">
        <f t="shared" si="29"/>
        <v>417.34608242539542</v>
      </c>
      <c r="BQ30" s="9">
        <v>3.14</v>
      </c>
      <c r="BR30" s="10">
        <v>0.22181100240000001</v>
      </c>
      <c r="BS30" s="9">
        <v>0.18104824</v>
      </c>
      <c r="BU30" s="10">
        <f t="shared" si="30"/>
        <v>4.1770824382695828</v>
      </c>
      <c r="BV30" s="10">
        <f t="shared" si="31"/>
        <v>0</v>
      </c>
      <c r="BW30" s="10">
        <f t="shared" si="32"/>
        <v>4.1770824382695828</v>
      </c>
      <c r="BY30" s="10">
        <f t="shared" si="33"/>
        <v>3.14</v>
      </c>
      <c r="BZ30" s="10">
        <f t="shared" si="34"/>
        <v>0</v>
      </c>
      <c r="CA30" s="10">
        <f t="shared" si="35"/>
        <v>0.42697847211607459</v>
      </c>
      <c r="CB30" s="10">
        <f t="shared" si="36"/>
        <v>0</v>
      </c>
      <c r="CC30" s="10">
        <f t="shared" si="37"/>
        <v>0.61010396615350793</v>
      </c>
      <c r="CD30" s="10">
        <f t="shared" si="38"/>
        <v>4.1770824382695828</v>
      </c>
      <c r="CF30" s="1">
        <f t="shared" si="39"/>
        <v>0</v>
      </c>
    </row>
    <row r="31" spans="2:84" x14ac:dyDescent="0.2">
      <c r="B31" s="14" t="s">
        <v>106</v>
      </c>
      <c r="C31" s="13" t="s">
        <v>78</v>
      </c>
      <c r="D31" s="13">
        <v>0.1375867019</v>
      </c>
      <c r="E31" s="13">
        <v>0</v>
      </c>
      <c r="F31" s="13">
        <v>0</v>
      </c>
      <c r="G31" s="13">
        <v>5.3101897240000001E-2</v>
      </c>
      <c r="H31" s="13">
        <v>0</v>
      </c>
      <c r="I31" s="13">
        <v>0.11814249659999999</v>
      </c>
      <c r="J31" s="13">
        <v>0</v>
      </c>
      <c r="K31" s="13">
        <v>1.283875878E-3</v>
      </c>
      <c r="L31" s="13">
        <v>99124.320160000003</v>
      </c>
      <c r="M31" s="13">
        <v>54251.997770000002</v>
      </c>
      <c r="N31" s="13">
        <v>1.6761597559999999</v>
      </c>
      <c r="O31" s="11">
        <f t="shared" si="0"/>
        <v>0.19808570325601987</v>
      </c>
      <c r="Q31" s="16">
        <v>99.913297999999998</v>
      </c>
      <c r="R31" s="16">
        <v>-4.9988429999999999</v>
      </c>
      <c r="S31" s="16">
        <v>65.086748999999998</v>
      </c>
      <c r="T31" s="16">
        <v>44.879451000000003</v>
      </c>
      <c r="U31" s="16">
        <v>38.220582</v>
      </c>
      <c r="V31" s="11">
        <v>21.986353300000001</v>
      </c>
      <c r="W31" s="17"/>
      <c r="X31" s="17"/>
      <c r="Y31" s="16">
        <v>20.958410000000001</v>
      </c>
      <c r="Z31" s="16">
        <v>6.0598489999999998</v>
      </c>
      <c r="AA31" s="16"/>
      <c r="AB31" s="17"/>
      <c r="AC31" s="17"/>
      <c r="AD31" s="17"/>
      <c r="AE31" s="17"/>
      <c r="AF31" s="17"/>
      <c r="AG31" s="17"/>
      <c r="AH31" s="16">
        <v>-1.4811879999999999</v>
      </c>
      <c r="AI31" s="16">
        <v>-3.2138800000000001</v>
      </c>
      <c r="AJ31" s="16">
        <v>796.73600799999997</v>
      </c>
      <c r="AK31" s="16">
        <v>796.73600799999997</v>
      </c>
      <c r="AM31" s="1" t="str">
        <f t="shared" si="1"/>
        <v>TX_TSC+H2in:CH4</v>
      </c>
      <c r="AN31" s="1" t="str">
        <f t="shared" si="2"/>
        <v>Ethane</v>
      </c>
      <c r="AO31" s="12">
        <f t="shared" si="3"/>
        <v>873.61764400043251</v>
      </c>
      <c r="AP31" s="12">
        <f t="shared" si="4"/>
        <v>873.61764400043251</v>
      </c>
      <c r="AQ31" s="5">
        <f t="shared" si="5"/>
        <v>0</v>
      </c>
      <c r="AR31" s="12">
        <f t="shared" si="6"/>
        <v>1248.302899089224</v>
      </c>
      <c r="AS31" s="12">
        <f t="shared" si="7"/>
        <v>1248.302899089224</v>
      </c>
      <c r="AT31" s="5">
        <f t="shared" si="8"/>
        <v>0</v>
      </c>
      <c r="AU31" s="5">
        <f t="shared" si="9"/>
        <v>15.701032943394944</v>
      </c>
      <c r="AV31" s="1">
        <f t="shared" si="10"/>
        <v>0</v>
      </c>
      <c r="AW31" s="1">
        <f t="shared" si="11"/>
        <v>0</v>
      </c>
      <c r="AX31" s="1">
        <f t="shared" si="12"/>
        <v>414.04082420313915</v>
      </c>
      <c r="AY31" s="1">
        <f t="shared" si="13"/>
        <v>0</v>
      </c>
      <c r="AZ31" s="1">
        <f t="shared" si="14"/>
        <v>3.2953859908821741</v>
      </c>
      <c r="BA31" s="1">
        <f t="shared" si="15"/>
        <v>236.76830668400294</v>
      </c>
      <c r="BB31" s="1">
        <f t="shared" si="16"/>
        <v>129.58629754527846</v>
      </c>
      <c r="BC31" s="1">
        <f t="shared" si="17"/>
        <v>31.564969297130897</v>
      </c>
      <c r="BD31" s="1">
        <f t="shared" si="18"/>
        <v>0.42697847224104163</v>
      </c>
      <c r="BE31" s="1">
        <f t="shared" si="19"/>
        <v>0</v>
      </c>
      <c r="BF31" s="1">
        <f t="shared" si="20"/>
        <v>42.660827336603916</v>
      </c>
      <c r="BG31" s="1">
        <f t="shared" si="21"/>
        <v>0.42697847224104163</v>
      </c>
      <c r="BH31" s="1">
        <f t="shared" si="22"/>
        <v>0</v>
      </c>
      <c r="BI31" s="1">
        <f t="shared" si="23"/>
        <v>42.660827336603916</v>
      </c>
      <c r="BJ31" s="1">
        <f t="shared" si="24"/>
        <v>4.1770824382695828</v>
      </c>
      <c r="BK31" s="1">
        <f t="shared" si="25"/>
        <v>0</v>
      </c>
      <c r="BL31" s="1">
        <f t="shared" si="26"/>
        <v>417.34608242539542</v>
      </c>
      <c r="BM31" s="1">
        <f t="shared" si="27"/>
        <v>4.1770824382695828</v>
      </c>
      <c r="BN31" s="1">
        <f t="shared" si="28"/>
        <v>0</v>
      </c>
      <c r="BO31" s="1">
        <f t="shared" si="29"/>
        <v>417.34608242539542</v>
      </c>
      <c r="BQ31" s="9">
        <v>3.14</v>
      </c>
      <c r="BR31" s="10">
        <v>0.22181100240000001</v>
      </c>
      <c r="BS31" s="9">
        <v>0.18104824</v>
      </c>
      <c r="BU31" s="10">
        <f t="shared" si="30"/>
        <v>4.1770824382695828</v>
      </c>
      <c r="BV31" s="10">
        <f t="shared" si="31"/>
        <v>0</v>
      </c>
      <c r="BW31" s="10">
        <f t="shared" si="32"/>
        <v>4.1770824382695828</v>
      </c>
      <c r="BY31" s="10">
        <f t="shared" si="33"/>
        <v>3.14</v>
      </c>
      <c r="BZ31" s="10">
        <f t="shared" si="34"/>
        <v>0.40280088264951763</v>
      </c>
      <c r="CA31" s="10">
        <f t="shared" si="35"/>
        <v>2.4177589591523982E-2</v>
      </c>
      <c r="CB31" s="10">
        <f t="shared" si="36"/>
        <v>0</v>
      </c>
      <c r="CC31" s="10">
        <f t="shared" si="37"/>
        <v>0.61010396602854122</v>
      </c>
      <c r="CD31" s="10">
        <f t="shared" si="38"/>
        <v>4.1770824382695828</v>
      </c>
      <c r="CF31" s="1">
        <f t="shared" si="39"/>
        <v>0</v>
      </c>
    </row>
    <row r="32" spans="2:84" x14ac:dyDescent="0.2">
      <c r="B32" s="14" t="s">
        <v>107</v>
      </c>
      <c r="C32" s="13" t="s">
        <v>78</v>
      </c>
      <c r="D32" s="13">
        <v>0</v>
      </c>
      <c r="E32" s="13">
        <v>0</v>
      </c>
      <c r="F32" s="13">
        <v>8.0529664380000008E-3</v>
      </c>
      <c r="G32" s="13">
        <v>5.3101897240000001E-2</v>
      </c>
      <c r="H32" s="13">
        <v>2.270169876E-2</v>
      </c>
      <c r="I32" s="13">
        <v>0</v>
      </c>
      <c r="J32" s="13">
        <v>2.4105122600000001E-2</v>
      </c>
      <c r="K32" s="13">
        <v>2.6783469549999999E-3</v>
      </c>
      <c r="L32" s="13">
        <v>106875.1697</v>
      </c>
      <c r="M32" s="13">
        <v>58496.387280000003</v>
      </c>
      <c r="N32" s="13">
        <v>1.8072240850000001</v>
      </c>
      <c r="O32" s="11">
        <f t="shared" si="0"/>
        <v>0.19808570329970068</v>
      </c>
      <c r="Q32" s="16">
        <v>99.913297999999998</v>
      </c>
      <c r="R32" s="16">
        <v>-6.0888099999999996</v>
      </c>
      <c r="S32" s="16">
        <v>66.120495000000005</v>
      </c>
      <c r="T32" s="16">
        <v>43.630616000000003</v>
      </c>
      <c r="U32" s="16">
        <v>43.105328999999998</v>
      </c>
      <c r="V32" s="11">
        <v>21.986353300000001</v>
      </c>
      <c r="W32" s="17"/>
      <c r="X32" s="17"/>
      <c r="Y32" s="16">
        <v>22.136932000000002</v>
      </c>
      <c r="Z32" s="16">
        <v>6.8015340000000002</v>
      </c>
      <c r="AA32" s="16"/>
      <c r="AB32" s="17"/>
      <c r="AC32" s="17"/>
      <c r="AD32" s="17"/>
      <c r="AE32" s="17"/>
      <c r="AF32" s="17"/>
      <c r="AG32" s="17"/>
      <c r="AH32" s="16">
        <v>-0.82477800000000001</v>
      </c>
      <c r="AI32" s="16">
        <v>-3.075704</v>
      </c>
      <c r="AJ32" s="16">
        <v>796.73600799999997</v>
      </c>
      <c r="AK32" s="16">
        <v>796.73600799999997</v>
      </c>
      <c r="AM32" s="1" t="str">
        <f t="shared" si="1"/>
        <v>NCEN_TSC+CC90</v>
      </c>
      <c r="AN32" s="1" t="str">
        <f t="shared" si="2"/>
        <v>Ethane</v>
      </c>
      <c r="AO32" s="12">
        <f t="shared" si="3"/>
        <v>853.88825121015816</v>
      </c>
      <c r="AP32" s="12">
        <f t="shared" si="4"/>
        <v>853.88825121015816</v>
      </c>
      <c r="AQ32" s="5">
        <f t="shared" si="5"/>
        <v>0</v>
      </c>
      <c r="AR32" s="12">
        <f t="shared" si="6"/>
        <v>1228.5735063123916</v>
      </c>
      <c r="AS32" s="12">
        <f t="shared" si="7"/>
        <v>1228.5735063123916</v>
      </c>
      <c r="AT32" s="5">
        <f t="shared" si="8"/>
        <v>0</v>
      </c>
      <c r="AU32" s="5">
        <f t="shared" si="9"/>
        <v>0</v>
      </c>
      <c r="AV32" s="1">
        <f t="shared" si="10"/>
        <v>0</v>
      </c>
      <c r="AW32" s="1">
        <f t="shared" si="11"/>
        <v>3.3570923018171293</v>
      </c>
      <c r="AX32" s="1">
        <f t="shared" si="12"/>
        <v>414.04082420313915</v>
      </c>
      <c r="AY32" s="1">
        <f t="shared" si="13"/>
        <v>-0.35260249959150575</v>
      </c>
      <c r="AZ32" s="1">
        <f t="shared" si="14"/>
        <v>0</v>
      </c>
      <c r="BA32" s="1">
        <f t="shared" si="15"/>
        <v>255.2819824195449</v>
      </c>
      <c r="BB32" s="1">
        <f t="shared" si="16"/>
        <v>139.72444442555911</v>
      </c>
      <c r="BC32" s="1">
        <f t="shared" si="17"/>
        <v>34.033135894034963</v>
      </c>
      <c r="BD32" s="1">
        <f t="shared" si="18"/>
        <v>0.50437876887805144</v>
      </c>
      <c r="BE32" s="1">
        <f t="shared" si="19"/>
        <v>-42.590771774131603</v>
      </c>
      <c r="BF32" s="1">
        <f t="shared" si="20"/>
        <v>50.394146239785876</v>
      </c>
      <c r="BG32" s="1">
        <f t="shared" si="21"/>
        <v>5.0437876878389284E-2</v>
      </c>
      <c r="BH32" s="1">
        <f t="shared" si="22"/>
        <v>2.7639598426164631</v>
      </c>
      <c r="BI32" s="1">
        <f t="shared" si="23"/>
        <v>5.0394146230378185</v>
      </c>
      <c r="BJ32" s="1">
        <f t="shared" si="24"/>
        <v>4.2544827350411296</v>
      </c>
      <c r="BK32" s="1">
        <f t="shared" si="25"/>
        <v>-42.590771774131603</v>
      </c>
      <c r="BL32" s="1">
        <f t="shared" si="26"/>
        <v>425.07940134201942</v>
      </c>
      <c r="BM32" s="1">
        <f t="shared" si="27"/>
        <v>3.8005418430414672</v>
      </c>
      <c r="BN32" s="1">
        <f t="shared" si="28"/>
        <v>2.7639598426164631</v>
      </c>
      <c r="BO32" s="1">
        <f t="shared" si="29"/>
        <v>379.72466972527133</v>
      </c>
      <c r="BQ32" s="9">
        <v>3.14</v>
      </c>
      <c r="BR32" s="10">
        <v>0.22181100240000001</v>
      </c>
      <c r="BS32" s="9">
        <v>0.18104824</v>
      </c>
      <c r="BU32" s="10">
        <f t="shared" si="30"/>
        <v>4.1770824382695828</v>
      </c>
      <c r="BV32" s="10">
        <f t="shared" si="31"/>
        <v>7.7400296771546806E-2</v>
      </c>
      <c r="BW32" s="10">
        <f t="shared" si="32"/>
        <v>4.2544827350411296</v>
      </c>
      <c r="BY32" s="10">
        <f t="shared" si="33"/>
        <v>3.14</v>
      </c>
      <c r="BZ32" s="10">
        <f t="shared" si="34"/>
        <v>0</v>
      </c>
      <c r="CA32" s="10">
        <f t="shared" si="35"/>
        <v>5.0437876878389284E-2</v>
      </c>
      <c r="CB32" s="10">
        <f t="shared" si="36"/>
        <v>0.4539408919996622</v>
      </c>
      <c r="CC32" s="10">
        <f t="shared" si="37"/>
        <v>0.61010396616307805</v>
      </c>
      <c r="CD32" s="10">
        <f t="shared" si="38"/>
        <v>4.2544827350411296</v>
      </c>
      <c r="CF32" s="1">
        <f t="shared" si="39"/>
        <v>0</v>
      </c>
    </row>
    <row r="33" spans="2:84" x14ac:dyDescent="0.2">
      <c r="B33" s="14" t="s">
        <v>108</v>
      </c>
      <c r="C33" s="13" t="s">
        <v>78</v>
      </c>
      <c r="D33" s="13">
        <v>0</v>
      </c>
      <c r="E33" s="13">
        <v>0.15985314340000001</v>
      </c>
      <c r="F33" s="13">
        <v>0</v>
      </c>
      <c r="G33" s="13">
        <v>5.3101897240000001E-2</v>
      </c>
      <c r="H33" s="13">
        <v>0.13183228590000001</v>
      </c>
      <c r="I33" s="13">
        <v>0</v>
      </c>
      <c r="J33" s="13">
        <v>0</v>
      </c>
      <c r="K33" s="13">
        <v>4.6541370280000001E-2</v>
      </c>
      <c r="L33" s="13">
        <v>99124.320160000003</v>
      </c>
      <c r="M33" s="13">
        <v>54251.997770000002</v>
      </c>
      <c r="N33" s="13">
        <v>1.6761597559999999</v>
      </c>
      <c r="O33" s="11">
        <f t="shared" si="0"/>
        <v>0.19808570334166625</v>
      </c>
      <c r="Q33" s="16">
        <v>99.913297999999998</v>
      </c>
      <c r="R33" s="16">
        <v>-6.0888099999999996</v>
      </c>
      <c r="S33" s="16">
        <v>66.120495000000005</v>
      </c>
      <c r="T33" s="16">
        <v>43.630616000000003</v>
      </c>
      <c r="U33" s="16">
        <v>43.105328999999998</v>
      </c>
      <c r="V33" s="11">
        <v>21.986353300000001</v>
      </c>
      <c r="W33" s="17"/>
      <c r="X33" s="17"/>
      <c r="Y33" s="16">
        <v>22.136932000000002</v>
      </c>
      <c r="Z33" s="16">
        <v>6.8015340000000002</v>
      </c>
      <c r="AA33" s="16"/>
      <c r="AB33" s="17"/>
      <c r="AC33" s="17"/>
      <c r="AD33" s="17"/>
      <c r="AE33" s="17"/>
      <c r="AF33" s="17"/>
      <c r="AG33" s="17"/>
      <c r="AH33" s="16">
        <v>-0.82477800000000001</v>
      </c>
      <c r="AI33" s="16">
        <v>-3.075704</v>
      </c>
      <c r="AJ33" s="16">
        <v>796.73600799999997</v>
      </c>
      <c r="AK33" s="16">
        <v>796.73600799999997</v>
      </c>
      <c r="AM33" s="1" t="str">
        <f t="shared" si="1"/>
        <v>NCEN_TSC:H2</v>
      </c>
      <c r="AN33" s="1" t="str">
        <f t="shared" si="2"/>
        <v>Ethane</v>
      </c>
      <c r="AO33" s="12">
        <f t="shared" si="3"/>
        <v>877.0074679605957</v>
      </c>
      <c r="AP33" s="12">
        <f t="shared" si="4"/>
        <v>877.0074679605957</v>
      </c>
      <c r="AQ33" s="5">
        <f t="shared" si="5"/>
        <v>0</v>
      </c>
      <c r="AR33" s="12">
        <f t="shared" si="6"/>
        <v>1251.6927230757435</v>
      </c>
      <c r="AS33" s="12">
        <f t="shared" si="7"/>
        <v>1251.6927230757435</v>
      </c>
      <c r="AT33" s="5">
        <f t="shared" si="8"/>
        <v>0</v>
      </c>
      <c r="AU33" s="5">
        <f t="shared" si="9"/>
        <v>0</v>
      </c>
      <c r="AV33" s="1">
        <f t="shared" si="10"/>
        <v>-20.474722116387714</v>
      </c>
      <c r="AW33" s="1">
        <f t="shared" si="11"/>
        <v>0</v>
      </c>
      <c r="AX33" s="1">
        <f t="shared" si="12"/>
        <v>414.04082420313915</v>
      </c>
      <c r="AY33" s="1">
        <f t="shared" si="13"/>
        <v>-2.0476174063725452</v>
      </c>
      <c r="AZ33" s="1">
        <f t="shared" si="14"/>
        <v>0</v>
      </c>
      <c r="BA33" s="1">
        <f t="shared" si="15"/>
        <v>236.76830668400294</v>
      </c>
      <c r="BB33" s="1">
        <f t="shared" si="16"/>
        <v>129.58629754527846</v>
      </c>
      <c r="BC33" s="1">
        <f t="shared" si="17"/>
        <v>31.564969297130897</v>
      </c>
      <c r="BD33" s="1">
        <f t="shared" si="18"/>
        <v>0.8764540006857201</v>
      </c>
      <c r="BE33" s="1">
        <f t="shared" si="19"/>
        <v>0</v>
      </c>
      <c r="BF33" s="1">
        <f t="shared" si="20"/>
        <v>87.56940975380455</v>
      </c>
      <c r="BG33" s="1">
        <f t="shared" si="21"/>
        <v>0.8764540006857201</v>
      </c>
      <c r="BH33" s="1">
        <f t="shared" si="22"/>
        <v>0</v>
      </c>
      <c r="BI33" s="1">
        <f t="shared" si="23"/>
        <v>87.56940975380455</v>
      </c>
      <c r="BJ33" s="1">
        <f t="shared" si="24"/>
        <v>4.6265579669780523</v>
      </c>
      <c r="BK33" s="1">
        <f t="shared" si="25"/>
        <v>0</v>
      </c>
      <c r="BL33" s="1">
        <f t="shared" si="26"/>
        <v>462.25466486895232</v>
      </c>
      <c r="BM33" s="1">
        <f t="shared" si="27"/>
        <v>4.6265579669780523</v>
      </c>
      <c r="BN33" s="1">
        <f t="shared" si="28"/>
        <v>0</v>
      </c>
      <c r="BO33" s="1">
        <f t="shared" si="29"/>
        <v>462.25466486895232</v>
      </c>
      <c r="BQ33" s="9">
        <v>3.14</v>
      </c>
      <c r="BR33" s="10">
        <v>0.22181100240000001</v>
      </c>
      <c r="BS33" s="9">
        <v>0.18104824</v>
      </c>
      <c r="BU33" s="10">
        <f t="shared" si="30"/>
        <v>4.1770824382695828</v>
      </c>
      <c r="BV33" s="10">
        <f t="shared" si="31"/>
        <v>0.44947552870846952</v>
      </c>
      <c r="BW33" s="10">
        <f t="shared" si="32"/>
        <v>4.6265579669780523</v>
      </c>
      <c r="BY33" s="10">
        <f t="shared" si="33"/>
        <v>3.14</v>
      </c>
      <c r="BZ33" s="10">
        <f t="shared" si="34"/>
        <v>0</v>
      </c>
      <c r="CA33" s="10">
        <f t="shared" si="35"/>
        <v>0.8764540006857201</v>
      </c>
      <c r="CB33" s="10">
        <f t="shared" si="36"/>
        <v>0</v>
      </c>
      <c r="CC33" s="10">
        <f t="shared" si="37"/>
        <v>0.61010396629233199</v>
      </c>
      <c r="CD33" s="10">
        <f t="shared" si="38"/>
        <v>4.6265579669780523</v>
      </c>
      <c r="CF33" s="1">
        <f t="shared" si="39"/>
        <v>0</v>
      </c>
    </row>
    <row r="34" spans="2:84" x14ac:dyDescent="0.2">
      <c r="B34" s="14" t="s">
        <v>109</v>
      </c>
      <c r="C34" s="13" t="s">
        <v>78</v>
      </c>
      <c r="D34" s="13">
        <v>0</v>
      </c>
      <c r="E34" s="13">
        <v>0.15985314340000001</v>
      </c>
      <c r="F34" s="13">
        <v>9.3887366979999998E-3</v>
      </c>
      <c r="G34" s="13">
        <v>5.3101897240000001E-2</v>
      </c>
      <c r="H34" s="13">
        <v>0.13183228590000001</v>
      </c>
      <c r="I34" s="13">
        <v>0</v>
      </c>
      <c r="J34" s="13">
        <v>4.1887233259999997E-2</v>
      </c>
      <c r="K34" s="13">
        <v>4.6541370279999999E-3</v>
      </c>
      <c r="L34" s="13">
        <v>106900.97410000001</v>
      </c>
      <c r="M34" s="13">
        <v>58510.185810000003</v>
      </c>
      <c r="N34" s="13">
        <v>1.807660423</v>
      </c>
      <c r="O34" s="11">
        <f t="shared" si="0"/>
        <v>0.19808570329275269</v>
      </c>
      <c r="Q34" s="16">
        <v>99.913297999999998</v>
      </c>
      <c r="R34" s="16">
        <v>-6.0888099999999996</v>
      </c>
      <c r="S34" s="16">
        <v>66.120495000000005</v>
      </c>
      <c r="T34" s="16">
        <v>43.630616000000003</v>
      </c>
      <c r="U34" s="16">
        <v>43.105328999999998</v>
      </c>
      <c r="V34" s="11">
        <v>21.986353300000001</v>
      </c>
      <c r="W34" s="17"/>
      <c r="X34" s="17"/>
      <c r="Y34" s="16">
        <v>22.136932000000002</v>
      </c>
      <c r="Z34" s="16">
        <v>6.8015340000000002</v>
      </c>
      <c r="AA34" s="16"/>
      <c r="AB34" s="17"/>
      <c r="AC34" s="17"/>
      <c r="AD34" s="17"/>
      <c r="AE34" s="17"/>
      <c r="AF34" s="17"/>
      <c r="AG34" s="17"/>
      <c r="AH34" s="16">
        <v>-0.82477800000000001</v>
      </c>
      <c r="AI34" s="16">
        <v>-3.075704</v>
      </c>
      <c r="AJ34" s="16">
        <v>796.73600799999997</v>
      </c>
      <c r="AK34" s="16">
        <v>796.73600799999997</v>
      </c>
      <c r="AM34" s="1" t="str">
        <f t="shared" si="1"/>
        <v>NCEN_TSC+CC90:H2</v>
      </c>
      <c r="AN34" s="1" t="str">
        <f t="shared" si="2"/>
        <v>Ethane</v>
      </c>
      <c r="AO34" s="12">
        <f t="shared" si="3"/>
        <v>838.13465013255006</v>
      </c>
      <c r="AP34" s="12">
        <f t="shared" si="4"/>
        <v>838.13465013255006</v>
      </c>
      <c r="AQ34" s="5">
        <f t="shared" si="5"/>
        <v>0</v>
      </c>
      <c r="AR34" s="12">
        <f t="shared" si="6"/>
        <v>1212.8199052326454</v>
      </c>
      <c r="AS34" s="12">
        <f t="shared" si="7"/>
        <v>1212.8199052326454</v>
      </c>
      <c r="AT34" s="5">
        <f t="shared" si="8"/>
        <v>0</v>
      </c>
      <c r="AU34" s="5">
        <f t="shared" si="9"/>
        <v>0</v>
      </c>
      <c r="AV34" s="1">
        <f t="shared" si="10"/>
        <v>-20.474722116387714</v>
      </c>
      <c r="AW34" s="1">
        <f t="shared" si="11"/>
        <v>3.9139435058258671</v>
      </c>
      <c r="AX34" s="1">
        <f t="shared" si="12"/>
        <v>414.04082420313915</v>
      </c>
      <c r="AY34" s="1">
        <f t="shared" si="13"/>
        <v>-2.0476174063725452</v>
      </c>
      <c r="AZ34" s="1">
        <f t="shared" si="14"/>
        <v>0</v>
      </c>
      <c r="BA34" s="1">
        <f t="shared" si="15"/>
        <v>255.34361879781346</v>
      </c>
      <c r="BB34" s="1">
        <f t="shared" si="16"/>
        <v>139.75740358812948</v>
      </c>
      <c r="BC34" s="1">
        <f t="shared" si="17"/>
        <v>34.041352888580896</v>
      </c>
      <c r="BD34" s="1">
        <f t="shared" si="18"/>
        <v>0.87645400083637381</v>
      </c>
      <c r="BE34" s="1">
        <f t="shared" si="19"/>
        <v>-74.009563097035411</v>
      </c>
      <c r="BF34" s="1">
        <f t="shared" si="20"/>
        <v>87.569409768856858</v>
      </c>
      <c r="BG34" s="1">
        <f t="shared" si="21"/>
        <v>8.7645400068572007E-2</v>
      </c>
      <c r="BH34" s="1">
        <f t="shared" si="22"/>
        <v>4.8029056964409982</v>
      </c>
      <c r="BI34" s="1">
        <f t="shared" si="23"/>
        <v>8.7569409753804557</v>
      </c>
      <c r="BJ34" s="1">
        <f t="shared" si="24"/>
        <v>4.6265579669780523</v>
      </c>
      <c r="BK34" s="1">
        <f t="shared" si="25"/>
        <v>-74.009563097035411</v>
      </c>
      <c r="BL34" s="1">
        <f t="shared" si="26"/>
        <v>462.25466486895232</v>
      </c>
      <c r="BM34" s="1">
        <f t="shared" si="27"/>
        <v>3.8377493662102502</v>
      </c>
      <c r="BN34" s="1">
        <f t="shared" si="28"/>
        <v>4.8029056964409991</v>
      </c>
      <c r="BO34" s="1">
        <f t="shared" si="29"/>
        <v>383.44219607547586</v>
      </c>
      <c r="BQ34" s="9">
        <v>3.14</v>
      </c>
      <c r="BR34" s="10">
        <v>0.22181100240000001</v>
      </c>
      <c r="BS34" s="9">
        <v>0.18104824</v>
      </c>
      <c r="BU34" s="10">
        <f t="shared" si="30"/>
        <v>4.1770824382695828</v>
      </c>
      <c r="BV34" s="10">
        <f t="shared" si="31"/>
        <v>0.44947552870846952</v>
      </c>
      <c r="BW34" s="10">
        <f t="shared" si="32"/>
        <v>4.6265579669780523</v>
      </c>
      <c r="BY34" s="10">
        <f t="shared" si="33"/>
        <v>3.14</v>
      </c>
      <c r="BZ34" s="10">
        <f t="shared" si="34"/>
        <v>0</v>
      </c>
      <c r="CA34" s="10">
        <f t="shared" si="35"/>
        <v>8.7645400068572007E-2</v>
      </c>
      <c r="CB34" s="10">
        <f t="shared" si="36"/>
        <v>0.78880860076780179</v>
      </c>
      <c r="CC34" s="10">
        <f t="shared" si="37"/>
        <v>0.61010396614167828</v>
      </c>
      <c r="CD34" s="10">
        <f t="shared" si="38"/>
        <v>4.6265579669780523</v>
      </c>
      <c r="CF34" s="1">
        <f t="shared" si="39"/>
        <v>0</v>
      </c>
    </row>
    <row r="35" spans="2:84" x14ac:dyDescent="0.2">
      <c r="B35" s="14" t="s">
        <v>110</v>
      </c>
      <c r="C35" s="13" t="s">
        <v>78</v>
      </c>
      <c r="D35" s="13">
        <v>2.226644157E-2</v>
      </c>
      <c r="E35" s="13">
        <v>0</v>
      </c>
      <c r="F35" s="13">
        <v>0</v>
      </c>
      <c r="G35" s="13">
        <v>5.3101897240000001E-2</v>
      </c>
      <c r="H35" s="13">
        <v>0</v>
      </c>
      <c r="I35" s="13">
        <v>0</v>
      </c>
      <c r="J35" s="13">
        <v>0</v>
      </c>
      <c r="K35" s="13">
        <v>2.2673366949999999E-2</v>
      </c>
      <c r="L35" s="13">
        <v>99124.320160000003</v>
      </c>
      <c r="M35" s="13">
        <v>54251.997770000002</v>
      </c>
      <c r="N35" s="13">
        <v>1.6761597559999999</v>
      </c>
      <c r="O35" s="11">
        <f t="shared" ref="O35:O65" si="40">CC35/0.22/14</f>
        <v>0.19808570329659347</v>
      </c>
      <c r="Q35" s="16">
        <v>99.913297999999998</v>
      </c>
      <c r="R35" s="16">
        <v>-6.0888099999999996</v>
      </c>
      <c r="S35" s="16">
        <v>66.120495000000005</v>
      </c>
      <c r="T35" s="16">
        <v>43.630616000000003</v>
      </c>
      <c r="U35" s="16">
        <v>43.105328999999998</v>
      </c>
      <c r="V35" s="11">
        <v>21.986353300000001</v>
      </c>
      <c r="W35" s="17"/>
      <c r="X35" s="17"/>
      <c r="Y35" s="16">
        <v>22.136932000000002</v>
      </c>
      <c r="Z35" s="16">
        <v>6.8015340000000002</v>
      </c>
      <c r="AA35" s="16"/>
      <c r="AB35" s="17"/>
      <c r="AC35" s="17"/>
      <c r="AD35" s="17"/>
      <c r="AE35" s="17"/>
      <c r="AF35" s="17"/>
      <c r="AG35" s="17"/>
      <c r="AH35" s="16">
        <v>-0.82477800000000001</v>
      </c>
      <c r="AI35" s="16">
        <v>-3.075704</v>
      </c>
      <c r="AJ35" s="16">
        <v>796.73600799999997</v>
      </c>
      <c r="AK35" s="16">
        <v>796.73600799999997</v>
      </c>
      <c r="AM35" s="1" t="str">
        <f t="shared" ref="AM35:AM65" si="41">B35</f>
        <v>NCEN_TSC+H2in</v>
      </c>
      <c r="AN35" s="1" t="str">
        <f t="shared" ref="AN35:AN65" si="42">C35</f>
        <v>Ethane</v>
      </c>
      <c r="AO35" s="12">
        <f t="shared" ref="AO35:AO65" si="43">SUM(AU35:BC35)+BE35+BF35</f>
        <v>857.47321278421873</v>
      </c>
      <c r="AP35" s="12">
        <f t="shared" ref="AP35:AP65" si="44">SUM(AU35:BC35)+BH35+BI35</f>
        <v>857.47321278421873</v>
      </c>
      <c r="AQ35" s="5">
        <f t="shared" ref="AQ35:AQ65" si="45">AO35-AP35</f>
        <v>0</v>
      </c>
      <c r="AR35" s="12">
        <f t="shared" ref="AR35:AR65" si="46">SUM(AU35:BC35)+BK35+BL35</f>
        <v>1232.1584678854961</v>
      </c>
      <c r="AS35" s="12">
        <f t="shared" ref="AS35:AS65" si="47">SUM(AU35:BC35)+BN35+BO35</f>
        <v>1232.1584678854961</v>
      </c>
      <c r="AT35" s="5">
        <f t="shared" ref="AT35:AT65" si="48">AR35-AS35</f>
        <v>0</v>
      </c>
      <c r="AU35" s="5">
        <f t="shared" ref="AU35:AU65" si="49">D35/G35*Z35</f>
        <v>2.8519877305492747</v>
      </c>
      <c r="AV35" s="1">
        <f t="shared" ref="AV35:AV65" si="50">E35/G35*Z35*-1</f>
        <v>0</v>
      </c>
      <c r="AW35" s="1">
        <f t="shared" ref="AW35:AW65" si="51">F35/G35*Y35</f>
        <v>0</v>
      </c>
      <c r="AX35" s="1">
        <f t="shared" ref="AX35:AX65" si="52">1/G35*V35</f>
        <v>414.04082420313915</v>
      </c>
      <c r="AY35" s="1">
        <f t="shared" ref="AY35:AY65" si="53">H35/G35*AH35</f>
        <v>0</v>
      </c>
      <c r="AZ35" s="1">
        <f t="shared" ref="AZ35:AZ65" si="54">I35/G35*AH35*-1</f>
        <v>0</v>
      </c>
      <c r="BA35" s="1">
        <f t="shared" ref="BA35:BA65" si="55">L35/G35/(0.9*8760)</f>
        <v>236.76830668400294</v>
      </c>
      <c r="BB35" s="1">
        <f t="shared" ref="BB35:BB65" si="56">M35/G35/(0.9*8760)</f>
        <v>129.58629754527846</v>
      </c>
      <c r="BC35" s="1">
        <f t="shared" ref="BC35:BC65" si="57">N35/G35</f>
        <v>31.564969297130897</v>
      </c>
      <c r="BD35" s="1">
        <f t="shared" ref="BD35:BD65" si="58">BZ35+CA35+CB35</f>
        <v>0.42697847211607459</v>
      </c>
      <c r="BE35" s="1">
        <f t="shared" ref="BE35:BE65" si="59">(Q35+R35)*-1*J35/G35</f>
        <v>0</v>
      </c>
      <c r="BF35" s="1">
        <f t="shared" ref="BF35:BF65" si="60">BD35*Q35</f>
        <v>42.660827324118053</v>
      </c>
      <c r="BG35" s="1">
        <f t="shared" ref="BG35:BG65" si="61">BZ35+CA35</f>
        <v>0.42697847211607459</v>
      </c>
      <c r="BH35" s="1">
        <f t="shared" ref="BH35:BH65" si="62">R35*J35*-1/G35</f>
        <v>0</v>
      </c>
      <c r="BI35" s="1">
        <f t="shared" ref="BI35:BI65" si="63">BG35*Q35</f>
        <v>42.660827324118053</v>
      </c>
      <c r="BJ35" s="1">
        <f t="shared" ref="BJ35:BJ65" si="64">SUM(BY35:CC35)</f>
        <v>4.1770824382695828</v>
      </c>
      <c r="BK35" s="1">
        <f t="shared" ref="BK35:BK65" si="65">(Q35+R35)*-1*J35/G35</f>
        <v>0</v>
      </c>
      <c r="BL35" s="1">
        <f t="shared" ref="BL35:BL65" si="66">BJ35*Q35</f>
        <v>417.34608242539542</v>
      </c>
      <c r="BM35" s="1">
        <f t="shared" ref="BM35:BM65" si="67">BY35+BZ35+CA35+CC35</f>
        <v>4.1770824382695828</v>
      </c>
      <c r="BN35" s="1">
        <f t="shared" ref="BN35:BN65" si="68">J35/G35*R35*-1</f>
        <v>0</v>
      </c>
      <c r="BO35" s="1">
        <f t="shared" ref="BO35:BO65" si="69">Q35*BM35</f>
        <v>417.34608242539542</v>
      </c>
      <c r="BQ35" s="9">
        <v>3.14</v>
      </c>
      <c r="BR35" s="10">
        <v>0.22181100240000001</v>
      </c>
      <c r="BS35" s="9">
        <v>0.18104824</v>
      </c>
      <c r="BU35" s="10">
        <f t="shared" ref="BU35:BU65" si="70">1/G35*BR35</f>
        <v>4.1770824382695828</v>
      </c>
      <c r="BV35" s="10">
        <f t="shared" ref="BV35:BV65" si="71">H35/G35*BS35</f>
        <v>0</v>
      </c>
      <c r="BW35" s="10">
        <f t="shared" ref="BW35:BW65" si="72">BU35+BV35</f>
        <v>4.1770824382695828</v>
      </c>
      <c r="BY35" s="10">
        <f t="shared" ref="BY35:BY65" si="73">BQ35</f>
        <v>3.14</v>
      </c>
      <c r="BZ35" s="10">
        <f t="shared" ref="BZ35:BZ65" si="74">I35/G35*BS35</f>
        <v>0</v>
      </c>
      <c r="CA35" s="10">
        <f t="shared" ref="CA35:CA65" si="75">K35/G35</f>
        <v>0.42697847211607459</v>
      </c>
      <c r="CB35" s="10">
        <f t="shared" ref="CB35:CB65" si="76">J35/G35</f>
        <v>0</v>
      </c>
      <c r="CC35" s="10">
        <f t="shared" ref="CC35:CC65" si="77">BW35-SUM(BY35:CB35)</f>
        <v>0.61010396615350793</v>
      </c>
      <c r="CD35" s="10">
        <f t="shared" ref="CD35:CD65" si="78">SUM(BY35:CC35)</f>
        <v>4.1770824382695828</v>
      </c>
      <c r="CF35" s="1">
        <f t="shared" ref="CF35:CF65" si="79">CD35-BW35</f>
        <v>0</v>
      </c>
    </row>
    <row r="36" spans="2:84" x14ac:dyDescent="0.2">
      <c r="B36" s="14" t="s">
        <v>111</v>
      </c>
      <c r="C36" s="13" t="s">
        <v>78</v>
      </c>
      <c r="D36" s="13">
        <v>0.1375867019</v>
      </c>
      <c r="E36" s="13">
        <v>0</v>
      </c>
      <c r="F36" s="13">
        <v>0</v>
      </c>
      <c r="G36" s="13">
        <v>5.3101897240000001E-2</v>
      </c>
      <c r="H36" s="13">
        <v>0</v>
      </c>
      <c r="I36" s="13">
        <v>0.11814249659999999</v>
      </c>
      <c r="J36" s="13">
        <v>0</v>
      </c>
      <c r="K36" s="13">
        <v>1.283875878E-3</v>
      </c>
      <c r="L36" s="13">
        <v>99124.320160000003</v>
      </c>
      <c r="M36" s="13">
        <v>54251.997770000002</v>
      </c>
      <c r="N36" s="13">
        <v>1.6761597559999999</v>
      </c>
      <c r="O36" s="11">
        <f t="shared" si="40"/>
        <v>0.19808570325601987</v>
      </c>
      <c r="Q36" s="16">
        <v>99.913297999999998</v>
      </c>
      <c r="R36" s="16">
        <v>-6.0888099999999996</v>
      </c>
      <c r="S36" s="16">
        <v>66.120495000000005</v>
      </c>
      <c r="T36" s="16">
        <v>43.630616000000003</v>
      </c>
      <c r="U36" s="16">
        <v>43.105328999999998</v>
      </c>
      <c r="V36" s="11">
        <v>21.986353300000001</v>
      </c>
      <c r="W36" s="17"/>
      <c r="X36" s="17"/>
      <c r="Y36" s="16">
        <v>22.136932000000002</v>
      </c>
      <c r="Z36" s="16">
        <v>6.8015340000000002</v>
      </c>
      <c r="AA36" s="16"/>
      <c r="AB36" s="17"/>
      <c r="AC36" s="17"/>
      <c r="AD36" s="17"/>
      <c r="AE36" s="17"/>
      <c r="AF36" s="17"/>
      <c r="AG36" s="17"/>
      <c r="AH36" s="16">
        <v>-0.82477800000000001</v>
      </c>
      <c r="AI36" s="16">
        <v>-3.075704</v>
      </c>
      <c r="AJ36" s="16">
        <v>796.73600799999997</v>
      </c>
      <c r="AK36" s="16">
        <v>796.73600799999997</v>
      </c>
      <c r="AM36" s="1" t="str">
        <f t="shared" si="41"/>
        <v>NCEN_TSC+H2in:CH4</v>
      </c>
      <c r="AN36" s="1" t="str">
        <f t="shared" si="42"/>
        <v>Ethane</v>
      </c>
      <c r="AO36" s="12">
        <f t="shared" si="43"/>
        <v>874.07894723211905</v>
      </c>
      <c r="AP36" s="12">
        <f t="shared" si="44"/>
        <v>874.07894723211905</v>
      </c>
      <c r="AQ36" s="5">
        <f t="shared" si="45"/>
        <v>0</v>
      </c>
      <c r="AR36" s="12">
        <f t="shared" si="46"/>
        <v>1248.7642023209105</v>
      </c>
      <c r="AS36" s="12">
        <f t="shared" si="47"/>
        <v>1248.7642023209105</v>
      </c>
      <c r="AT36" s="5">
        <f t="shared" si="48"/>
        <v>0</v>
      </c>
      <c r="AU36" s="5">
        <f t="shared" si="49"/>
        <v>17.622734394804358</v>
      </c>
      <c r="AV36" s="1">
        <f t="shared" si="50"/>
        <v>0</v>
      </c>
      <c r="AW36" s="1">
        <f t="shared" si="51"/>
        <v>0</v>
      </c>
      <c r="AX36" s="1">
        <f t="shared" si="52"/>
        <v>414.04082420313915</v>
      </c>
      <c r="AY36" s="1">
        <f t="shared" si="53"/>
        <v>0</v>
      </c>
      <c r="AZ36" s="1">
        <f t="shared" si="54"/>
        <v>1.8349877711592439</v>
      </c>
      <c r="BA36" s="1">
        <f t="shared" si="55"/>
        <v>236.76830668400294</v>
      </c>
      <c r="BB36" s="1">
        <f t="shared" si="56"/>
        <v>129.58629754527846</v>
      </c>
      <c r="BC36" s="1">
        <f t="shared" si="57"/>
        <v>31.564969297130897</v>
      </c>
      <c r="BD36" s="1">
        <f t="shared" si="58"/>
        <v>0.42697847224104163</v>
      </c>
      <c r="BE36" s="1">
        <f t="shared" si="59"/>
        <v>0</v>
      </c>
      <c r="BF36" s="1">
        <f t="shared" si="60"/>
        <v>42.660827336603916</v>
      </c>
      <c r="BG36" s="1">
        <f t="shared" si="61"/>
        <v>0.42697847224104163</v>
      </c>
      <c r="BH36" s="1">
        <f t="shared" si="62"/>
        <v>0</v>
      </c>
      <c r="BI36" s="1">
        <f t="shared" si="63"/>
        <v>42.660827336603916</v>
      </c>
      <c r="BJ36" s="1">
        <f t="shared" si="64"/>
        <v>4.1770824382695828</v>
      </c>
      <c r="BK36" s="1">
        <f t="shared" si="65"/>
        <v>0</v>
      </c>
      <c r="BL36" s="1">
        <f t="shared" si="66"/>
        <v>417.34608242539542</v>
      </c>
      <c r="BM36" s="1">
        <f t="shared" si="67"/>
        <v>4.1770824382695828</v>
      </c>
      <c r="BN36" s="1">
        <f t="shared" si="68"/>
        <v>0</v>
      </c>
      <c r="BO36" s="1">
        <f t="shared" si="69"/>
        <v>417.34608242539542</v>
      </c>
      <c r="BQ36" s="9">
        <v>3.14</v>
      </c>
      <c r="BR36" s="10">
        <v>0.22181100240000001</v>
      </c>
      <c r="BS36" s="9">
        <v>0.18104824</v>
      </c>
      <c r="BU36" s="10">
        <f t="shared" si="70"/>
        <v>4.1770824382695828</v>
      </c>
      <c r="BV36" s="10">
        <f t="shared" si="71"/>
        <v>0</v>
      </c>
      <c r="BW36" s="10">
        <f t="shared" si="72"/>
        <v>4.1770824382695828</v>
      </c>
      <c r="BY36" s="10">
        <f t="shared" si="73"/>
        <v>3.14</v>
      </c>
      <c r="BZ36" s="10">
        <f t="shared" si="74"/>
        <v>0.40280088264951763</v>
      </c>
      <c r="CA36" s="10">
        <f t="shared" si="75"/>
        <v>2.4177589591523982E-2</v>
      </c>
      <c r="CB36" s="10">
        <f t="shared" si="76"/>
        <v>0</v>
      </c>
      <c r="CC36" s="10">
        <f t="shared" si="77"/>
        <v>0.61010396602854122</v>
      </c>
      <c r="CD36" s="10">
        <f t="shared" si="78"/>
        <v>4.1770824382695828</v>
      </c>
      <c r="CF36" s="1">
        <f t="shared" si="79"/>
        <v>0</v>
      </c>
    </row>
    <row r="37" spans="2:84" x14ac:dyDescent="0.2">
      <c r="B37" s="14" t="s">
        <v>112</v>
      </c>
      <c r="C37" s="13" t="s">
        <v>78</v>
      </c>
      <c r="D37" s="13">
        <v>0</v>
      </c>
      <c r="E37" s="13">
        <v>0</v>
      </c>
      <c r="F37" s="13">
        <v>8.0529664380000008E-3</v>
      </c>
      <c r="G37" s="13">
        <v>5.3101897240000001E-2</v>
      </c>
      <c r="H37" s="13">
        <v>2.270169876E-2</v>
      </c>
      <c r="I37" s="13">
        <v>0</v>
      </c>
      <c r="J37" s="13">
        <v>2.4105122600000001E-2</v>
      </c>
      <c r="K37" s="13">
        <v>2.6783469549999999E-3</v>
      </c>
      <c r="L37" s="13">
        <v>106875.1697</v>
      </c>
      <c r="M37" s="13">
        <v>58496.387280000003</v>
      </c>
      <c r="N37" s="13">
        <v>1.8072240850000001</v>
      </c>
      <c r="O37" s="11">
        <f t="shared" si="40"/>
        <v>0.19808570329970068</v>
      </c>
      <c r="Q37" s="16">
        <v>99.913297999999998</v>
      </c>
      <c r="R37" s="16">
        <v>-6.197641</v>
      </c>
      <c r="S37" s="16">
        <v>65.135812000000001</v>
      </c>
      <c r="T37" s="16">
        <v>43.372329999999998</v>
      </c>
      <c r="U37" s="16">
        <v>42.438417999999999</v>
      </c>
      <c r="V37" s="11">
        <v>21.986353300000001</v>
      </c>
      <c r="W37" s="17"/>
      <c r="X37" s="17"/>
      <c r="Y37" s="16">
        <v>21.530919000000001</v>
      </c>
      <c r="Z37" s="16">
        <v>6.288532</v>
      </c>
      <c r="AA37" s="16"/>
      <c r="AB37" s="17"/>
      <c r="AC37" s="17"/>
      <c r="AD37" s="17"/>
      <c r="AE37" s="17"/>
      <c r="AF37" s="17"/>
      <c r="AG37" s="17"/>
      <c r="AH37" s="16">
        <v>-1.431457</v>
      </c>
      <c r="AI37" s="16">
        <v>-3.351826</v>
      </c>
      <c r="AJ37" s="16">
        <v>796.73600799999997</v>
      </c>
      <c r="AK37" s="16">
        <v>796.73600799999997</v>
      </c>
      <c r="AM37" s="1" t="str">
        <f t="shared" si="41"/>
        <v>CEN_TSC+CC90</v>
      </c>
      <c r="AN37" s="1" t="str">
        <f t="shared" si="42"/>
        <v>Ethane</v>
      </c>
      <c r="AO37" s="12">
        <f t="shared" si="43"/>
        <v>853.58638889473309</v>
      </c>
      <c r="AP37" s="12">
        <f t="shared" si="44"/>
        <v>853.58638889473309</v>
      </c>
      <c r="AQ37" s="5">
        <f t="shared" si="45"/>
        <v>0</v>
      </c>
      <c r="AR37" s="12">
        <f t="shared" si="46"/>
        <v>1228.2716439969668</v>
      </c>
      <c r="AS37" s="12">
        <f t="shared" si="47"/>
        <v>1228.2716439969665</v>
      </c>
      <c r="AT37" s="5">
        <f t="shared" si="48"/>
        <v>0</v>
      </c>
      <c r="AU37" s="5">
        <f t="shared" si="49"/>
        <v>0</v>
      </c>
      <c r="AV37" s="1">
        <f t="shared" si="50"/>
        <v>0</v>
      </c>
      <c r="AW37" s="1">
        <f t="shared" si="51"/>
        <v>3.2651897031597765</v>
      </c>
      <c r="AX37" s="1">
        <f t="shared" si="52"/>
        <v>414.04082420313915</v>
      </c>
      <c r="AY37" s="1">
        <f t="shared" si="53"/>
        <v>-0.61196505757641206</v>
      </c>
      <c r="AZ37" s="1">
        <f t="shared" si="54"/>
        <v>0</v>
      </c>
      <c r="BA37" s="1">
        <f t="shared" si="55"/>
        <v>255.2819824195449</v>
      </c>
      <c r="BB37" s="1">
        <f t="shared" si="56"/>
        <v>139.72444442555911</v>
      </c>
      <c r="BC37" s="1">
        <f t="shared" si="57"/>
        <v>34.033135894034963</v>
      </c>
      <c r="BD37" s="1">
        <f t="shared" si="58"/>
        <v>0.50437876887805144</v>
      </c>
      <c r="BE37" s="1">
        <f t="shared" si="59"/>
        <v>-42.541368932914381</v>
      </c>
      <c r="BF37" s="1">
        <f t="shared" si="60"/>
        <v>50.394146239785876</v>
      </c>
      <c r="BG37" s="1">
        <f t="shared" si="61"/>
        <v>5.0437876878389284E-2</v>
      </c>
      <c r="BH37" s="1">
        <f t="shared" si="62"/>
        <v>2.8133626838336783</v>
      </c>
      <c r="BI37" s="1">
        <f t="shared" si="63"/>
        <v>5.0394146230378185</v>
      </c>
      <c r="BJ37" s="1">
        <f t="shared" si="64"/>
        <v>4.2544827350411296</v>
      </c>
      <c r="BK37" s="1">
        <f t="shared" si="65"/>
        <v>-42.541368932914381</v>
      </c>
      <c r="BL37" s="1">
        <f t="shared" si="66"/>
        <v>425.07940134201942</v>
      </c>
      <c r="BM37" s="1">
        <f t="shared" si="67"/>
        <v>3.8005418430414672</v>
      </c>
      <c r="BN37" s="1">
        <f t="shared" si="68"/>
        <v>2.8133626838336783</v>
      </c>
      <c r="BO37" s="1">
        <f t="shared" si="69"/>
        <v>379.72466972527133</v>
      </c>
      <c r="BQ37" s="9">
        <v>3.14</v>
      </c>
      <c r="BR37" s="10">
        <v>0.22181100240000001</v>
      </c>
      <c r="BS37" s="9">
        <v>0.18104824</v>
      </c>
      <c r="BU37" s="10">
        <f t="shared" si="70"/>
        <v>4.1770824382695828</v>
      </c>
      <c r="BV37" s="10">
        <f t="shared" si="71"/>
        <v>7.7400296771546806E-2</v>
      </c>
      <c r="BW37" s="10">
        <f t="shared" si="72"/>
        <v>4.2544827350411296</v>
      </c>
      <c r="BY37" s="10">
        <f t="shared" si="73"/>
        <v>3.14</v>
      </c>
      <c r="BZ37" s="10">
        <f t="shared" si="74"/>
        <v>0</v>
      </c>
      <c r="CA37" s="10">
        <f t="shared" si="75"/>
        <v>5.0437876878389284E-2</v>
      </c>
      <c r="CB37" s="10">
        <f t="shared" si="76"/>
        <v>0.4539408919996622</v>
      </c>
      <c r="CC37" s="10">
        <f t="shared" si="77"/>
        <v>0.61010396616307805</v>
      </c>
      <c r="CD37" s="10">
        <f t="shared" si="78"/>
        <v>4.2544827350411296</v>
      </c>
      <c r="CF37" s="1">
        <f t="shared" si="79"/>
        <v>0</v>
      </c>
    </row>
    <row r="38" spans="2:84" x14ac:dyDescent="0.2">
      <c r="B38" s="14" t="s">
        <v>113</v>
      </c>
      <c r="C38" s="13" t="s">
        <v>78</v>
      </c>
      <c r="D38" s="13">
        <v>0</v>
      </c>
      <c r="E38" s="13">
        <v>0.15985314340000001</v>
      </c>
      <c r="F38" s="13">
        <v>0</v>
      </c>
      <c r="G38" s="13">
        <v>5.3101897240000001E-2</v>
      </c>
      <c r="H38" s="13">
        <v>0.13183228590000001</v>
      </c>
      <c r="I38" s="13">
        <v>0</v>
      </c>
      <c r="J38" s="13">
        <v>0</v>
      </c>
      <c r="K38" s="13">
        <v>4.6541370280000001E-2</v>
      </c>
      <c r="L38" s="13">
        <v>99124.320160000003</v>
      </c>
      <c r="M38" s="13">
        <v>54251.997770000002</v>
      </c>
      <c r="N38" s="13">
        <v>1.6761597559999999</v>
      </c>
      <c r="O38" s="11">
        <f t="shared" si="40"/>
        <v>0.19808570334166625</v>
      </c>
      <c r="Q38" s="16">
        <v>99.913297999999998</v>
      </c>
      <c r="R38" s="16">
        <v>-6.197641</v>
      </c>
      <c r="S38" s="16">
        <v>65.135812000000001</v>
      </c>
      <c r="T38" s="16">
        <v>43.372329999999998</v>
      </c>
      <c r="U38" s="16">
        <v>42.438417999999999</v>
      </c>
      <c r="V38" s="11">
        <v>21.986353300000001</v>
      </c>
      <c r="W38" s="17"/>
      <c r="X38" s="17"/>
      <c r="Y38" s="16">
        <v>21.530919000000001</v>
      </c>
      <c r="Z38" s="16">
        <v>6.288532</v>
      </c>
      <c r="AA38" s="16"/>
      <c r="AB38" s="17"/>
      <c r="AC38" s="17"/>
      <c r="AD38" s="17"/>
      <c r="AE38" s="17"/>
      <c r="AF38" s="17"/>
      <c r="AG38" s="17"/>
      <c r="AH38" s="16">
        <v>-1.431457</v>
      </c>
      <c r="AI38" s="16">
        <v>-3.351826</v>
      </c>
      <c r="AJ38" s="16">
        <v>796.73600799999997</v>
      </c>
      <c r="AK38" s="16">
        <v>796.73600799999997</v>
      </c>
      <c r="AM38" s="1" t="str">
        <f t="shared" si="41"/>
        <v>CEN_TSC:H2</v>
      </c>
      <c r="AN38" s="1" t="str">
        <f t="shared" si="42"/>
        <v>Ethane</v>
      </c>
      <c r="AO38" s="12">
        <f t="shared" si="43"/>
        <v>877.04560412894784</v>
      </c>
      <c r="AP38" s="12">
        <f t="shared" si="44"/>
        <v>877.04560412894784</v>
      </c>
      <c r="AQ38" s="5">
        <f t="shared" si="45"/>
        <v>0</v>
      </c>
      <c r="AR38" s="12">
        <f t="shared" si="46"/>
        <v>1251.7308592440957</v>
      </c>
      <c r="AS38" s="12">
        <f t="shared" si="47"/>
        <v>1251.7308592440957</v>
      </c>
      <c r="AT38" s="5">
        <f t="shared" si="48"/>
        <v>0</v>
      </c>
      <c r="AU38" s="5">
        <f t="shared" si="49"/>
        <v>0</v>
      </c>
      <c r="AV38" s="1">
        <f t="shared" si="50"/>
        <v>-18.930427344774259</v>
      </c>
      <c r="AW38" s="1">
        <f t="shared" si="51"/>
        <v>0</v>
      </c>
      <c r="AX38" s="1">
        <f t="shared" si="52"/>
        <v>414.04082420313915</v>
      </c>
      <c r="AY38" s="1">
        <f t="shared" si="53"/>
        <v>-3.5537760096338946</v>
      </c>
      <c r="AZ38" s="1">
        <f t="shared" si="54"/>
        <v>0</v>
      </c>
      <c r="BA38" s="1">
        <f t="shared" si="55"/>
        <v>236.76830668400294</v>
      </c>
      <c r="BB38" s="1">
        <f t="shared" si="56"/>
        <v>129.58629754527846</v>
      </c>
      <c r="BC38" s="1">
        <f t="shared" si="57"/>
        <v>31.564969297130897</v>
      </c>
      <c r="BD38" s="1">
        <f t="shared" si="58"/>
        <v>0.8764540006857201</v>
      </c>
      <c r="BE38" s="1">
        <f t="shared" si="59"/>
        <v>0</v>
      </c>
      <c r="BF38" s="1">
        <f t="shared" si="60"/>
        <v>87.56940975380455</v>
      </c>
      <c r="BG38" s="1">
        <f t="shared" si="61"/>
        <v>0.8764540006857201</v>
      </c>
      <c r="BH38" s="1">
        <f t="shared" si="62"/>
        <v>0</v>
      </c>
      <c r="BI38" s="1">
        <f t="shared" si="63"/>
        <v>87.56940975380455</v>
      </c>
      <c r="BJ38" s="1">
        <f t="shared" si="64"/>
        <v>4.6265579669780523</v>
      </c>
      <c r="BK38" s="1">
        <f t="shared" si="65"/>
        <v>0</v>
      </c>
      <c r="BL38" s="1">
        <f t="shared" si="66"/>
        <v>462.25466486895232</v>
      </c>
      <c r="BM38" s="1">
        <f t="shared" si="67"/>
        <v>4.6265579669780523</v>
      </c>
      <c r="BN38" s="1">
        <f t="shared" si="68"/>
        <v>0</v>
      </c>
      <c r="BO38" s="1">
        <f t="shared" si="69"/>
        <v>462.25466486895232</v>
      </c>
      <c r="BQ38" s="9">
        <v>3.14</v>
      </c>
      <c r="BR38" s="10">
        <v>0.22181100240000001</v>
      </c>
      <c r="BS38" s="9">
        <v>0.18104824</v>
      </c>
      <c r="BU38" s="10">
        <f t="shared" si="70"/>
        <v>4.1770824382695828</v>
      </c>
      <c r="BV38" s="10">
        <f t="shared" si="71"/>
        <v>0.44947552870846952</v>
      </c>
      <c r="BW38" s="10">
        <f t="shared" si="72"/>
        <v>4.6265579669780523</v>
      </c>
      <c r="BY38" s="10">
        <f t="shared" si="73"/>
        <v>3.14</v>
      </c>
      <c r="BZ38" s="10">
        <f t="shared" si="74"/>
        <v>0</v>
      </c>
      <c r="CA38" s="10">
        <f t="shared" si="75"/>
        <v>0.8764540006857201</v>
      </c>
      <c r="CB38" s="10">
        <f t="shared" si="76"/>
        <v>0</v>
      </c>
      <c r="CC38" s="10">
        <f t="shared" si="77"/>
        <v>0.61010396629233199</v>
      </c>
      <c r="CD38" s="10">
        <f t="shared" si="78"/>
        <v>4.6265579669780523</v>
      </c>
      <c r="CF38" s="1">
        <f t="shared" si="79"/>
        <v>0</v>
      </c>
    </row>
    <row r="39" spans="2:84" x14ac:dyDescent="0.2">
      <c r="B39" s="14" t="s">
        <v>114</v>
      </c>
      <c r="C39" s="13" t="s">
        <v>78</v>
      </c>
      <c r="D39" s="13">
        <v>0</v>
      </c>
      <c r="E39" s="13">
        <v>0.15985314340000001</v>
      </c>
      <c r="F39" s="13">
        <v>9.3887366979999998E-3</v>
      </c>
      <c r="G39" s="13">
        <v>5.3101897240000001E-2</v>
      </c>
      <c r="H39" s="13">
        <v>0.13183228590000001</v>
      </c>
      <c r="I39" s="13">
        <v>0</v>
      </c>
      <c r="J39" s="13">
        <v>4.1887233259999997E-2</v>
      </c>
      <c r="K39" s="13">
        <v>4.6541370279999999E-3</v>
      </c>
      <c r="L39" s="13">
        <v>106900.97410000001</v>
      </c>
      <c r="M39" s="13">
        <v>58510.185810000003</v>
      </c>
      <c r="N39" s="13">
        <v>1.807660423</v>
      </c>
      <c r="O39" s="11">
        <f t="shared" si="40"/>
        <v>0.19808570329275269</v>
      </c>
      <c r="Q39" s="16">
        <v>99.913297999999998</v>
      </c>
      <c r="R39" s="16">
        <v>-6.197641</v>
      </c>
      <c r="S39" s="16">
        <v>65.135812000000001</v>
      </c>
      <c r="T39" s="16">
        <v>43.372329999999998</v>
      </c>
      <c r="U39" s="16">
        <v>42.438417999999999</v>
      </c>
      <c r="V39" s="11">
        <v>21.986353300000001</v>
      </c>
      <c r="W39" s="17"/>
      <c r="X39" s="17"/>
      <c r="Y39" s="16">
        <v>21.530919000000001</v>
      </c>
      <c r="Z39" s="16">
        <v>6.288532</v>
      </c>
      <c r="AA39" s="16"/>
      <c r="AB39" s="17"/>
      <c r="AC39" s="17"/>
      <c r="AD39" s="17"/>
      <c r="AE39" s="17"/>
      <c r="AF39" s="17"/>
      <c r="AG39" s="17"/>
      <c r="AH39" s="16">
        <v>-1.431457</v>
      </c>
      <c r="AI39" s="16">
        <v>-3.351826</v>
      </c>
      <c r="AJ39" s="16">
        <v>796.73600799999997</v>
      </c>
      <c r="AK39" s="16">
        <v>796.73600799999997</v>
      </c>
      <c r="AM39" s="1" t="str">
        <f t="shared" si="41"/>
        <v>CEN_TSC+CC90:H2</v>
      </c>
      <c r="AN39" s="1" t="str">
        <f t="shared" si="42"/>
        <v>Ethane</v>
      </c>
      <c r="AO39" s="12">
        <f t="shared" si="43"/>
        <v>838.15148636495962</v>
      </c>
      <c r="AP39" s="12">
        <f t="shared" si="44"/>
        <v>838.15148636495951</v>
      </c>
      <c r="AQ39" s="5">
        <f t="shared" si="45"/>
        <v>0</v>
      </c>
      <c r="AR39" s="12">
        <f t="shared" si="46"/>
        <v>1212.8367414650552</v>
      </c>
      <c r="AS39" s="12">
        <f t="shared" si="47"/>
        <v>1212.836741465055</v>
      </c>
      <c r="AT39" s="5">
        <f t="shared" si="48"/>
        <v>0</v>
      </c>
      <c r="AU39" s="5">
        <f t="shared" si="49"/>
        <v>0</v>
      </c>
      <c r="AV39" s="1">
        <f t="shared" si="50"/>
        <v>-18.930427344774259</v>
      </c>
      <c r="AW39" s="1">
        <f t="shared" si="51"/>
        <v>3.8067967410530406</v>
      </c>
      <c r="AX39" s="1">
        <f t="shared" si="52"/>
        <v>414.04082420313915</v>
      </c>
      <c r="AY39" s="1">
        <f t="shared" si="53"/>
        <v>-3.5537760096338946</v>
      </c>
      <c r="AZ39" s="1">
        <f t="shared" si="54"/>
        <v>0</v>
      </c>
      <c r="BA39" s="1">
        <f t="shared" si="55"/>
        <v>255.34361879781346</v>
      </c>
      <c r="BB39" s="1">
        <f t="shared" si="56"/>
        <v>139.75740358812948</v>
      </c>
      <c r="BC39" s="1">
        <f t="shared" si="57"/>
        <v>34.041352888580896</v>
      </c>
      <c r="BD39" s="1">
        <f t="shared" si="58"/>
        <v>0.87645400083637381</v>
      </c>
      <c r="BE39" s="1">
        <f t="shared" si="59"/>
        <v>-73.92371626820524</v>
      </c>
      <c r="BF39" s="1">
        <f t="shared" si="60"/>
        <v>87.569409768856858</v>
      </c>
      <c r="BG39" s="1">
        <f t="shared" si="61"/>
        <v>8.7645400068572007E-2</v>
      </c>
      <c r="BH39" s="1">
        <f t="shared" si="62"/>
        <v>4.8887525252711592</v>
      </c>
      <c r="BI39" s="1">
        <f t="shared" si="63"/>
        <v>8.7569409753804557</v>
      </c>
      <c r="BJ39" s="1">
        <f t="shared" si="64"/>
        <v>4.6265579669780523</v>
      </c>
      <c r="BK39" s="1">
        <f t="shared" si="65"/>
        <v>-73.92371626820524</v>
      </c>
      <c r="BL39" s="1">
        <f t="shared" si="66"/>
        <v>462.25466486895232</v>
      </c>
      <c r="BM39" s="1">
        <f t="shared" si="67"/>
        <v>3.8377493662102502</v>
      </c>
      <c r="BN39" s="1">
        <f t="shared" si="68"/>
        <v>4.8887525252711601</v>
      </c>
      <c r="BO39" s="1">
        <f t="shared" si="69"/>
        <v>383.44219607547586</v>
      </c>
      <c r="BQ39" s="9">
        <v>3.14</v>
      </c>
      <c r="BR39" s="10">
        <v>0.22181100240000001</v>
      </c>
      <c r="BS39" s="9">
        <v>0.18104824</v>
      </c>
      <c r="BU39" s="10">
        <f t="shared" si="70"/>
        <v>4.1770824382695828</v>
      </c>
      <c r="BV39" s="10">
        <f t="shared" si="71"/>
        <v>0.44947552870846952</v>
      </c>
      <c r="BW39" s="10">
        <f t="shared" si="72"/>
        <v>4.6265579669780523</v>
      </c>
      <c r="BY39" s="10">
        <f t="shared" si="73"/>
        <v>3.14</v>
      </c>
      <c r="BZ39" s="10">
        <f t="shared" si="74"/>
        <v>0</v>
      </c>
      <c r="CA39" s="10">
        <f t="shared" si="75"/>
        <v>8.7645400068572007E-2</v>
      </c>
      <c r="CB39" s="10">
        <f t="shared" si="76"/>
        <v>0.78880860076780179</v>
      </c>
      <c r="CC39" s="10">
        <f t="shared" si="77"/>
        <v>0.61010396614167828</v>
      </c>
      <c r="CD39" s="10">
        <f t="shared" si="78"/>
        <v>4.6265579669780523</v>
      </c>
      <c r="CF39" s="1">
        <f t="shared" si="79"/>
        <v>0</v>
      </c>
    </row>
    <row r="40" spans="2:84" x14ac:dyDescent="0.2">
      <c r="B40" s="14" t="s">
        <v>115</v>
      </c>
      <c r="C40" s="13" t="s">
        <v>78</v>
      </c>
      <c r="D40" s="13">
        <v>2.226644157E-2</v>
      </c>
      <c r="E40" s="13">
        <v>0</v>
      </c>
      <c r="F40" s="13">
        <v>0</v>
      </c>
      <c r="G40" s="13">
        <v>5.3101897240000001E-2</v>
      </c>
      <c r="H40" s="13">
        <v>0</v>
      </c>
      <c r="I40" s="13">
        <v>0</v>
      </c>
      <c r="J40" s="13">
        <v>0</v>
      </c>
      <c r="K40" s="13">
        <v>2.2673366949999999E-2</v>
      </c>
      <c r="L40" s="13">
        <v>99124.320160000003</v>
      </c>
      <c r="M40" s="13">
        <v>54251.997770000002</v>
      </c>
      <c r="N40" s="13">
        <v>1.6761597559999999</v>
      </c>
      <c r="O40" s="11">
        <f t="shared" si="40"/>
        <v>0.19808570329659347</v>
      </c>
      <c r="Q40" s="16">
        <v>99.913297999999998</v>
      </c>
      <c r="R40" s="16">
        <v>-6.197641</v>
      </c>
      <c r="S40" s="16">
        <v>65.135812000000001</v>
      </c>
      <c r="T40" s="16">
        <v>43.372329999999998</v>
      </c>
      <c r="U40" s="16">
        <v>42.438417999999999</v>
      </c>
      <c r="V40" s="11">
        <v>21.986353300000001</v>
      </c>
      <c r="W40" s="17"/>
      <c r="X40" s="17"/>
      <c r="Y40" s="16">
        <v>21.530919000000001</v>
      </c>
      <c r="Z40" s="16">
        <v>6.288532</v>
      </c>
      <c r="AA40" s="16"/>
      <c r="AB40" s="17"/>
      <c r="AC40" s="17"/>
      <c r="AD40" s="17"/>
      <c r="AE40" s="17"/>
      <c r="AF40" s="17"/>
      <c r="AG40" s="17"/>
      <c r="AH40" s="16">
        <v>-1.431457</v>
      </c>
      <c r="AI40" s="16">
        <v>-3.351826</v>
      </c>
      <c r="AJ40" s="16">
        <v>796.73600799999997</v>
      </c>
      <c r="AK40" s="16">
        <v>796.73600799999997</v>
      </c>
      <c r="AM40" s="1" t="str">
        <f t="shared" si="41"/>
        <v>CEN_TSC+H2in</v>
      </c>
      <c r="AN40" s="1" t="str">
        <f t="shared" si="42"/>
        <v>Ethane</v>
      </c>
      <c r="AO40" s="12">
        <f t="shared" si="43"/>
        <v>857.25810316192656</v>
      </c>
      <c r="AP40" s="12">
        <f t="shared" si="44"/>
        <v>857.25810316192656</v>
      </c>
      <c r="AQ40" s="5">
        <f t="shared" si="45"/>
        <v>0</v>
      </c>
      <c r="AR40" s="12">
        <f t="shared" si="46"/>
        <v>1231.9433582632039</v>
      </c>
      <c r="AS40" s="12">
        <f t="shared" si="47"/>
        <v>1231.9433582632039</v>
      </c>
      <c r="AT40" s="5">
        <f t="shared" si="48"/>
        <v>0</v>
      </c>
      <c r="AU40" s="5">
        <f t="shared" si="49"/>
        <v>2.6368781082571213</v>
      </c>
      <c r="AV40" s="1">
        <f t="shared" si="50"/>
        <v>0</v>
      </c>
      <c r="AW40" s="1">
        <f t="shared" si="51"/>
        <v>0</v>
      </c>
      <c r="AX40" s="1">
        <f t="shared" si="52"/>
        <v>414.04082420313915</v>
      </c>
      <c r="AY40" s="1">
        <f t="shared" si="53"/>
        <v>0</v>
      </c>
      <c r="AZ40" s="1">
        <f t="shared" si="54"/>
        <v>0</v>
      </c>
      <c r="BA40" s="1">
        <f t="shared" si="55"/>
        <v>236.76830668400294</v>
      </c>
      <c r="BB40" s="1">
        <f t="shared" si="56"/>
        <v>129.58629754527846</v>
      </c>
      <c r="BC40" s="1">
        <f t="shared" si="57"/>
        <v>31.564969297130897</v>
      </c>
      <c r="BD40" s="1">
        <f t="shared" si="58"/>
        <v>0.42697847211607459</v>
      </c>
      <c r="BE40" s="1">
        <f t="shared" si="59"/>
        <v>0</v>
      </c>
      <c r="BF40" s="1">
        <f t="shared" si="60"/>
        <v>42.660827324118053</v>
      </c>
      <c r="BG40" s="1">
        <f t="shared" si="61"/>
        <v>0.42697847211607459</v>
      </c>
      <c r="BH40" s="1">
        <f t="shared" si="62"/>
        <v>0</v>
      </c>
      <c r="BI40" s="1">
        <f t="shared" si="63"/>
        <v>42.660827324118053</v>
      </c>
      <c r="BJ40" s="1">
        <f t="shared" si="64"/>
        <v>4.1770824382695828</v>
      </c>
      <c r="BK40" s="1">
        <f t="shared" si="65"/>
        <v>0</v>
      </c>
      <c r="BL40" s="1">
        <f t="shared" si="66"/>
        <v>417.34608242539542</v>
      </c>
      <c r="BM40" s="1">
        <f t="shared" si="67"/>
        <v>4.1770824382695828</v>
      </c>
      <c r="BN40" s="1">
        <f t="shared" si="68"/>
        <v>0</v>
      </c>
      <c r="BO40" s="1">
        <f t="shared" si="69"/>
        <v>417.34608242539542</v>
      </c>
      <c r="BQ40" s="9">
        <v>3.14</v>
      </c>
      <c r="BR40" s="10">
        <v>0.22181100240000001</v>
      </c>
      <c r="BS40" s="9">
        <v>0.18104824</v>
      </c>
      <c r="BU40" s="10">
        <f t="shared" si="70"/>
        <v>4.1770824382695828</v>
      </c>
      <c r="BV40" s="10">
        <f t="shared" si="71"/>
        <v>0</v>
      </c>
      <c r="BW40" s="10">
        <f t="shared" si="72"/>
        <v>4.1770824382695828</v>
      </c>
      <c r="BY40" s="10">
        <f t="shared" si="73"/>
        <v>3.14</v>
      </c>
      <c r="BZ40" s="10">
        <f t="shared" si="74"/>
        <v>0</v>
      </c>
      <c r="CA40" s="10">
        <f t="shared" si="75"/>
        <v>0.42697847211607459</v>
      </c>
      <c r="CB40" s="10">
        <f t="shared" si="76"/>
        <v>0</v>
      </c>
      <c r="CC40" s="10">
        <f t="shared" si="77"/>
        <v>0.61010396615350793</v>
      </c>
      <c r="CD40" s="10">
        <f t="shared" si="78"/>
        <v>4.1770824382695828</v>
      </c>
      <c r="CF40" s="1">
        <f t="shared" si="79"/>
        <v>0</v>
      </c>
    </row>
    <row r="41" spans="2:84" x14ac:dyDescent="0.2">
      <c r="B41" s="14" t="s">
        <v>116</v>
      </c>
      <c r="C41" s="13" t="s">
        <v>78</v>
      </c>
      <c r="D41" s="13">
        <v>0.1375867019</v>
      </c>
      <c r="E41" s="13">
        <v>0</v>
      </c>
      <c r="F41" s="13">
        <v>0</v>
      </c>
      <c r="G41" s="13">
        <v>5.3101897240000001E-2</v>
      </c>
      <c r="H41" s="13">
        <v>0</v>
      </c>
      <c r="I41" s="13">
        <v>0.11814249659999999</v>
      </c>
      <c r="J41" s="13">
        <v>0</v>
      </c>
      <c r="K41" s="13">
        <v>1.283875878E-3</v>
      </c>
      <c r="L41" s="13">
        <v>99124.320160000003</v>
      </c>
      <c r="M41" s="13">
        <v>54251.997770000002</v>
      </c>
      <c r="N41" s="13">
        <v>1.6761597559999999</v>
      </c>
      <c r="O41" s="11">
        <f t="shared" si="40"/>
        <v>0.19808570325601987</v>
      </c>
      <c r="Q41" s="16">
        <v>99.913297999999998</v>
      </c>
      <c r="R41" s="16">
        <v>-6.197641</v>
      </c>
      <c r="S41" s="16">
        <v>65.135812000000001</v>
      </c>
      <c r="T41" s="16">
        <v>43.372329999999998</v>
      </c>
      <c r="U41" s="16">
        <v>42.438417999999999</v>
      </c>
      <c r="V41" s="11">
        <v>21.986353300000001</v>
      </c>
      <c r="W41" s="17"/>
      <c r="X41" s="17"/>
      <c r="Y41" s="16">
        <v>21.530919000000001</v>
      </c>
      <c r="Z41" s="16">
        <v>6.288532</v>
      </c>
      <c r="AA41" s="16"/>
      <c r="AB41" s="17"/>
      <c r="AC41" s="17"/>
      <c r="AD41" s="17"/>
      <c r="AE41" s="17"/>
      <c r="AF41" s="17"/>
      <c r="AG41" s="17"/>
      <c r="AH41" s="16">
        <v>-1.431457</v>
      </c>
      <c r="AI41" s="16">
        <v>-3.351826</v>
      </c>
      <c r="AJ41" s="16">
        <v>796.73600799999997</v>
      </c>
      <c r="AK41" s="16">
        <v>796.73600799999997</v>
      </c>
      <c r="AM41" s="1" t="str">
        <f t="shared" si="41"/>
        <v>CEN_TSC+H2in:CH4</v>
      </c>
      <c r="AN41" s="1" t="str">
        <f t="shared" si="42"/>
        <v>Ethane</v>
      </c>
      <c r="AO41" s="12">
        <f t="shared" si="43"/>
        <v>874.09951746601757</v>
      </c>
      <c r="AP41" s="12">
        <f t="shared" si="44"/>
        <v>874.09951746601757</v>
      </c>
      <c r="AQ41" s="5">
        <f t="shared" si="45"/>
        <v>0</v>
      </c>
      <c r="AR41" s="12">
        <f t="shared" si="46"/>
        <v>1248.784772554809</v>
      </c>
      <c r="AS41" s="12">
        <f t="shared" si="47"/>
        <v>1248.784772554809</v>
      </c>
      <c r="AT41" s="5">
        <f t="shared" si="48"/>
        <v>0</v>
      </c>
      <c r="AU41" s="5">
        <f t="shared" si="49"/>
        <v>16.293549244806808</v>
      </c>
      <c r="AV41" s="1">
        <f t="shared" si="50"/>
        <v>0</v>
      </c>
      <c r="AW41" s="1">
        <f t="shared" si="51"/>
        <v>0</v>
      </c>
      <c r="AX41" s="1">
        <f t="shared" si="52"/>
        <v>414.04082420313915</v>
      </c>
      <c r="AY41" s="1">
        <f t="shared" si="53"/>
        <v>0</v>
      </c>
      <c r="AZ41" s="1">
        <f t="shared" si="54"/>
        <v>3.1847431550554179</v>
      </c>
      <c r="BA41" s="1">
        <f t="shared" si="55"/>
        <v>236.76830668400294</v>
      </c>
      <c r="BB41" s="1">
        <f t="shared" si="56"/>
        <v>129.58629754527846</v>
      </c>
      <c r="BC41" s="1">
        <f t="shared" si="57"/>
        <v>31.564969297130897</v>
      </c>
      <c r="BD41" s="1">
        <f t="shared" si="58"/>
        <v>0.42697847224104163</v>
      </c>
      <c r="BE41" s="1">
        <f t="shared" si="59"/>
        <v>0</v>
      </c>
      <c r="BF41" s="1">
        <f t="shared" si="60"/>
        <v>42.660827336603916</v>
      </c>
      <c r="BG41" s="1">
        <f t="shared" si="61"/>
        <v>0.42697847224104163</v>
      </c>
      <c r="BH41" s="1">
        <f t="shared" si="62"/>
        <v>0</v>
      </c>
      <c r="BI41" s="1">
        <f t="shared" si="63"/>
        <v>42.660827336603916</v>
      </c>
      <c r="BJ41" s="1">
        <f t="shared" si="64"/>
        <v>4.1770824382695828</v>
      </c>
      <c r="BK41" s="1">
        <f t="shared" si="65"/>
        <v>0</v>
      </c>
      <c r="BL41" s="1">
        <f t="shared" si="66"/>
        <v>417.34608242539542</v>
      </c>
      <c r="BM41" s="1">
        <f t="shared" si="67"/>
        <v>4.1770824382695828</v>
      </c>
      <c r="BN41" s="1">
        <f t="shared" si="68"/>
        <v>0</v>
      </c>
      <c r="BO41" s="1">
        <f t="shared" si="69"/>
        <v>417.34608242539542</v>
      </c>
      <c r="BQ41" s="9">
        <v>3.14</v>
      </c>
      <c r="BR41" s="10">
        <v>0.22181100240000001</v>
      </c>
      <c r="BS41" s="9">
        <v>0.18104824</v>
      </c>
      <c r="BU41" s="10">
        <f t="shared" si="70"/>
        <v>4.1770824382695828</v>
      </c>
      <c r="BV41" s="10">
        <f t="shared" si="71"/>
        <v>0</v>
      </c>
      <c r="BW41" s="10">
        <f t="shared" si="72"/>
        <v>4.1770824382695828</v>
      </c>
      <c r="BY41" s="10">
        <f t="shared" si="73"/>
        <v>3.14</v>
      </c>
      <c r="BZ41" s="10">
        <f t="shared" si="74"/>
        <v>0.40280088264951763</v>
      </c>
      <c r="CA41" s="10">
        <f t="shared" si="75"/>
        <v>2.4177589591523982E-2</v>
      </c>
      <c r="CB41" s="10">
        <f t="shared" si="76"/>
        <v>0</v>
      </c>
      <c r="CC41" s="10">
        <f t="shared" si="77"/>
        <v>0.61010396602854122</v>
      </c>
      <c r="CD41" s="10">
        <f t="shared" si="78"/>
        <v>4.1770824382695828</v>
      </c>
      <c r="CF41" s="1">
        <f t="shared" si="79"/>
        <v>0</v>
      </c>
    </row>
    <row r="42" spans="2:84" x14ac:dyDescent="0.2">
      <c r="B42" s="14" t="s">
        <v>117</v>
      </c>
      <c r="C42" s="13" t="s">
        <v>78</v>
      </c>
      <c r="D42" s="13">
        <v>0</v>
      </c>
      <c r="E42" s="13">
        <v>0</v>
      </c>
      <c r="F42" s="13">
        <v>8.0529664380000008E-3</v>
      </c>
      <c r="G42" s="13">
        <v>5.3101897240000001E-2</v>
      </c>
      <c r="H42" s="13">
        <v>2.270169876E-2</v>
      </c>
      <c r="I42" s="13">
        <v>0</v>
      </c>
      <c r="J42" s="13">
        <v>2.4105122600000001E-2</v>
      </c>
      <c r="K42" s="13">
        <v>2.6783469549999999E-3</v>
      </c>
      <c r="L42" s="13">
        <v>106875.1697</v>
      </c>
      <c r="M42" s="13">
        <v>58496.387280000003</v>
      </c>
      <c r="N42" s="13">
        <v>1.8072240850000001</v>
      </c>
      <c r="O42" s="11">
        <f t="shared" si="40"/>
        <v>0.19808570329970068</v>
      </c>
      <c r="Q42" s="16">
        <v>99.913297999999998</v>
      </c>
      <c r="R42" s="16">
        <v>-6.0843480000000003</v>
      </c>
      <c r="S42" s="16">
        <v>64.970397000000006</v>
      </c>
      <c r="T42" s="16">
        <v>43.861592000000002</v>
      </c>
      <c r="U42" s="16">
        <v>39.255600999999999</v>
      </c>
      <c r="V42" s="11">
        <v>21.986353300000001</v>
      </c>
      <c r="W42" s="17"/>
      <c r="X42" s="17"/>
      <c r="Y42" s="16">
        <v>21.109138000000002</v>
      </c>
      <c r="Z42" s="16">
        <v>6.2406389999999998</v>
      </c>
      <c r="AA42" s="16"/>
      <c r="AB42" s="17"/>
      <c r="AC42" s="17"/>
      <c r="AD42" s="17"/>
      <c r="AE42" s="17"/>
      <c r="AF42" s="17"/>
      <c r="AG42" s="17"/>
      <c r="AH42" s="16">
        <v>-1.4523440000000001</v>
      </c>
      <c r="AI42" s="16">
        <v>-3.0715089999999998</v>
      </c>
      <c r="AJ42" s="16">
        <v>796.73600799999997</v>
      </c>
      <c r="AK42" s="16">
        <v>796.73600799999997</v>
      </c>
      <c r="AM42" s="1" t="str">
        <f t="shared" si="41"/>
        <v>SE_TSC+CC90</v>
      </c>
      <c r="AN42" s="1" t="str">
        <f t="shared" si="42"/>
        <v>Ethane</v>
      </c>
      <c r="AO42" s="12">
        <f t="shared" si="43"/>
        <v>853.46206753114654</v>
      </c>
      <c r="AP42" s="12">
        <f t="shared" si="44"/>
        <v>853.46206753114654</v>
      </c>
      <c r="AQ42" s="5">
        <f t="shared" si="45"/>
        <v>0</v>
      </c>
      <c r="AR42" s="12">
        <f t="shared" si="46"/>
        <v>1228.1473226333801</v>
      </c>
      <c r="AS42" s="12">
        <f t="shared" si="47"/>
        <v>1228.1473226333801</v>
      </c>
      <c r="AT42" s="5">
        <f t="shared" si="48"/>
        <v>0</v>
      </c>
      <c r="AU42" s="5">
        <f t="shared" si="49"/>
        <v>0</v>
      </c>
      <c r="AV42" s="1">
        <f t="shared" si="50"/>
        <v>0</v>
      </c>
      <c r="AW42" s="1">
        <f t="shared" si="51"/>
        <v>3.2012261083783167</v>
      </c>
      <c r="AX42" s="1">
        <f t="shared" si="52"/>
        <v>414.04082420313915</v>
      </c>
      <c r="AY42" s="1">
        <f t="shared" si="53"/>
        <v>-0.62089450090415343</v>
      </c>
      <c r="AZ42" s="1">
        <f t="shared" si="54"/>
        <v>0</v>
      </c>
      <c r="BA42" s="1">
        <f t="shared" si="55"/>
        <v>255.2819824195449</v>
      </c>
      <c r="BB42" s="1">
        <f t="shared" si="56"/>
        <v>139.72444442555911</v>
      </c>
      <c r="BC42" s="1">
        <f t="shared" si="57"/>
        <v>34.033135894034963</v>
      </c>
      <c r="BD42" s="1">
        <f t="shared" si="58"/>
        <v>0.50437876887805144</v>
      </c>
      <c r="BE42" s="1">
        <f t="shared" si="59"/>
        <v>-42.592797258391698</v>
      </c>
      <c r="BF42" s="1">
        <f t="shared" si="60"/>
        <v>50.394146239785876</v>
      </c>
      <c r="BG42" s="1">
        <f t="shared" si="61"/>
        <v>5.0437876878389284E-2</v>
      </c>
      <c r="BH42" s="1">
        <f t="shared" si="62"/>
        <v>2.7619343583563607</v>
      </c>
      <c r="BI42" s="1">
        <f t="shared" si="63"/>
        <v>5.0394146230378185</v>
      </c>
      <c r="BJ42" s="1">
        <f t="shared" si="64"/>
        <v>4.2544827350411296</v>
      </c>
      <c r="BK42" s="1">
        <f t="shared" si="65"/>
        <v>-42.592797258391698</v>
      </c>
      <c r="BL42" s="1">
        <f t="shared" si="66"/>
        <v>425.07940134201942</v>
      </c>
      <c r="BM42" s="1">
        <f t="shared" si="67"/>
        <v>3.8005418430414672</v>
      </c>
      <c r="BN42" s="1">
        <f t="shared" si="68"/>
        <v>2.7619343583563607</v>
      </c>
      <c r="BO42" s="1">
        <f t="shared" si="69"/>
        <v>379.72466972527133</v>
      </c>
      <c r="BQ42" s="9">
        <v>3.14</v>
      </c>
      <c r="BR42" s="10">
        <v>0.22181100240000001</v>
      </c>
      <c r="BS42" s="9">
        <v>0.18104824</v>
      </c>
      <c r="BU42" s="10">
        <f t="shared" si="70"/>
        <v>4.1770824382695828</v>
      </c>
      <c r="BV42" s="10">
        <f t="shared" si="71"/>
        <v>7.7400296771546806E-2</v>
      </c>
      <c r="BW42" s="10">
        <f t="shared" si="72"/>
        <v>4.2544827350411296</v>
      </c>
      <c r="BY42" s="10">
        <f t="shared" si="73"/>
        <v>3.14</v>
      </c>
      <c r="BZ42" s="10">
        <f t="shared" si="74"/>
        <v>0</v>
      </c>
      <c r="CA42" s="10">
        <f t="shared" si="75"/>
        <v>5.0437876878389284E-2</v>
      </c>
      <c r="CB42" s="10">
        <f t="shared" si="76"/>
        <v>0.4539408919996622</v>
      </c>
      <c r="CC42" s="10">
        <f t="shared" si="77"/>
        <v>0.61010396616307805</v>
      </c>
      <c r="CD42" s="10">
        <f t="shared" si="78"/>
        <v>4.2544827350411296</v>
      </c>
      <c r="CF42" s="1">
        <f t="shared" si="79"/>
        <v>0</v>
      </c>
    </row>
    <row r="43" spans="2:84" x14ac:dyDescent="0.2">
      <c r="B43" s="14" t="s">
        <v>118</v>
      </c>
      <c r="C43" s="13" t="s">
        <v>78</v>
      </c>
      <c r="D43" s="13">
        <v>0</v>
      </c>
      <c r="E43" s="13">
        <v>0.15985314340000001</v>
      </c>
      <c r="F43" s="13">
        <v>0</v>
      </c>
      <c r="G43" s="13">
        <v>5.3101897240000001E-2</v>
      </c>
      <c r="H43" s="13">
        <v>0.13183228590000001</v>
      </c>
      <c r="I43" s="13">
        <v>0</v>
      </c>
      <c r="J43" s="13">
        <v>0</v>
      </c>
      <c r="K43" s="13">
        <v>4.6541370280000001E-2</v>
      </c>
      <c r="L43" s="13">
        <v>99124.320160000003</v>
      </c>
      <c r="M43" s="13">
        <v>54251.997770000002</v>
      </c>
      <c r="N43" s="13">
        <v>1.6761597559999999</v>
      </c>
      <c r="O43" s="11">
        <f t="shared" si="40"/>
        <v>0.19808570334166625</v>
      </c>
      <c r="Q43" s="16">
        <v>99.913297999999998</v>
      </c>
      <c r="R43" s="16">
        <v>-6.0843480000000003</v>
      </c>
      <c r="S43" s="16">
        <v>64.970397000000006</v>
      </c>
      <c r="T43" s="16">
        <v>43.861592000000002</v>
      </c>
      <c r="U43" s="16">
        <v>39.255600999999999</v>
      </c>
      <c r="V43" s="11">
        <v>21.986353300000001</v>
      </c>
      <c r="W43" s="17"/>
      <c r="X43" s="17"/>
      <c r="Y43" s="16">
        <v>21.109138000000002</v>
      </c>
      <c r="Z43" s="16">
        <v>6.2406389999999998</v>
      </c>
      <c r="AA43" s="16"/>
      <c r="AB43" s="17"/>
      <c r="AC43" s="17"/>
      <c r="AD43" s="17"/>
      <c r="AE43" s="17"/>
      <c r="AF43" s="17"/>
      <c r="AG43" s="17"/>
      <c r="AH43" s="16">
        <v>-1.4523440000000001</v>
      </c>
      <c r="AI43" s="16">
        <v>-3.0715089999999998</v>
      </c>
      <c r="AJ43" s="16">
        <v>796.73600799999997</v>
      </c>
      <c r="AK43" s="16">
        <v>796.73600799999997</v>
      </c>
      <c r="AM43" s="1" t="str">
        <f t="shared" si="41"/>
        <v>SE_TSC:H2</v>
      </c>
      <c r="AN43" s="1" t="str">
        <f t="shared" si="42"/>
        <v>Ethane</v>
      </c>
      <c r="AO43" s="12">
        <f t="shared" si="43"/>
        <v>877.13792221730364</v>
      </c>
      <c r="AP43" s="12">
        <f t="shared" si="44"/>
        <v>877.13792221730364</v>
      </c>
      <c r="AQ43" s="5">
        <f t="shared" si="45"/>
        <v>0</v>
      </c>
      <c r="AR43" s="12">
        <f t="shared" si="46"/>
        <v>1251.8231773324515</v>
      </c>
      <c r="AS43" s="12">
        <f t="shared" si="47"/>
        <v>1251.8231773324515</v>
      </c>
      <c r="AT43" s="5">
        <f t="shared" si="48"/>
        <v>0</v>
      </c>
      <c r="AU43" s="5">
        <f t="shared" si="49"/>
        <v>0</v>
      </c>
      <c r="AV43" s="1">
        <f t="shared" si="50"/>
        <v>-18.786254593991838</v>
      </c>
      <c r="AW43" s="1">
        <f t="shared" si="51"/>
        <v>0</v>
      </c>
      <c r="AX43" s="1">
        <f t="shared" si="52"/>
        <v>414.04082420313915</v>
      </c>
      <c r="AY43" s="1">
        <f t="shared" si="53"/>
        <v>-3.6056306720605154</v>
      </c>
      <c r="AZ43" s="1">
        <f t="shared" si="54"/>
        <v>0</v>
      </c>
      <c r="BA43" s="1">
        <f t="shared" si="55"/>
        <v>236.76830668400294</v>
      </c>
      <c r="BB43" s="1">
        <f t="shared" si="56"/>
        <v>129.58629754527846</v>
      </c>
      <c r="BC43" s="1">
        <f t="shared" si="57"/>
        <v>31.564969297130897</v>
      </c>
      <c r="BD43" s="1">
        <f t="shared" si="58"/>
        <v>0.8764540006857201</v>
      </c>
      <c r="BE43" s="1">
        <f t="shared" si="59"/>
        <v>0</v>
      </c>
      <c r="BF43" s="1">
        <f t="shared" si="60"/>
        <v>87.56940975380455</v>
      </c>
      <c r="BG43" s="1">
        <f t="shared" si="61"/>
        <v>0.8764540006857201</v>
      </c>
      <c r="BH43" s="1">
        <f t="shared" si="62"/>
        <v>0</v>
      </c>
      <c r="BI43" s="1">
        <f t="shared" si="63"/>
        <v>87.56940975380455</v>
      </c>
      <c r="BJ43" s="1">
        <f t="shared" si="64"/>
        <v>4.6265579669780523</v>
      </c>
      <c r="BK43" s="1">
        <f t="shared" si="65"/>
        <v>0</v>
      </c>
      <c r="BL43" s="1">
        <f t="shared" si="66"/>
        <v>462.25466486895232</v>
      </c>
      <c r="BM43" s="1">
        <f t="shared" si="67"/>
        <v>4.6265579669780523</v>
      </c>
      <c r="BN43" s="1">
        <f t="shared" si="68"/>
        <v>0</v>
      </c>
      <c r="BO43" s="1">
        <f t="shared" si="69"/>
        <v>462.25466486895232</v>
      </c>
      <c r="BQ43" s="9">
        <v>3.14</v>
      </c>
      <c r="BR43" s="10">
        <v>0.22181100240000001</v>
      </c>
      <c r="BS43" s="9">
        <v>0.18104824</v>
      </c>
      <c r="BU43" s="10">
        <f t="shared" si="70"/>
        <v>4.1770824382695828</v>
      </c>
      <c r="BV43" s="10">
        <f t="shared" si="71"/>
        <v>0.44947552870846952</v>
      </c>
      <c r="BW43" s="10">
        <f t="shared" si="72"/>
        <v>4.6265579669780523</v>
      </c>
      <c r="BY43" s="10">
        <f t="shared" si="73"/>
        <v>3.14</v>
      </c>
      <c r="BZ43" s="10">
        <f t="shared" si="74"/>
        <v>0</v>
      </c>
      <c r="CA43" s="10">
        <f t="shared" si="75"/>
        <v>0.8764540006857201</v>
      </c>
      <c r="CB43" s="10">
        <f t="shared" si="76"/>
        <v>0</v>
      </c>
      <c r="CC43" s="10">
        <f t="shared" si="77"/>
        <v>0.61010396629233199</v>
      </c>
      <c r="CD43" s="10">
        <f t="shared" si="78"/>
        <v>4.6265579669780523</v>
      </c>
      <c r="CF43" s="1">
        <f t="shared" si="79"/>
        <v>0</v>
      </c>
    </row>
    <row r="44" spans="2:84" x14ac:dyDescent="0.2">
      <c r="B44" s="14" t="s">
        <v>119</v>
      </c>
      <c r="C44" s="13" t="s">
        <v>78</v>
      </c>
      <c r="D44" s="13">
        <v>0</v>
      </c>
      <c r="E44" s="13">
        <v>0.15985314340000001</v>
      </c>
      <c r="F44" s="13">
        <v>9.3887366979999998E-3</v>
      </c>
      <c r="G44" s="13">
        <v>5.3101897240000001E-2</v>
      </c>
      <c r="H44" s="13">
        <v>0.13183228590000001</v>
      </c>
      <c r="I44" s="13">
        <v>0</v>
      </c>
      <c r="J44" s="13">
        <v>4.1887233259999997E-2</v>
      </c>
      <c r="K44" s="13">
        <v>4.6541370279999999E-3</v>
      </c>
      <c r="L44" s="13">
        <v>106900.97410000001</v>
      </c>
      <c r="M44" s="13">
        <v>58510.185810000003</v>
      </c>
      <c r="N44" s="13">
        <v>1.807660423</v>
      </c>
      <c r="O44" s="11">
        <f t="shared" si="40"/>
        <v>0.19808570329275269</v>
      </c>
      <c r="Q44" s="16">
        <v>99.913297999999998</v>
      </c>
      <c r="R44" s="16">
        <v>-6.0843480000000003</v>
      </c>
      <c r="S44" s="16">
        <v>64.970397000000006</v>
      </c>
      <c r="T44" s="16">
        <v>43.861592000000002</v>
      </c>
      <c r="U44" s="16">
        <v>39.255600999999999</v>
      </c>
      <c r="V44" s="11">
        <v>21.986353300000001</v>
      </c>
      <c r="W44" s="17"/>
      <c r="X44" s="17"/>
      <c r="Y44" s="16">
        <v>21.109138000000002</v>
      </c>
      <c r="Z44" s="16">
        <v>6.2406389999999998</v>
      </c>
      <c r="AA44" s="16"/>
      <c r="AB44" s="17"/>
      <c r="AC44" s="17"/>
      <c r="AD44" s="17"/>
      <c r="AE44" s="17"/>
      <c r="AF44" s="17"/>
      <c r="AG44" s="17"/>
      <c r="AH44" s="16">
        <v>-1.4523440000000001</v>
      </c>
      <c r="AI44" s="16">
        <v>-3.0715089999999998</v>
      </c>
      <c r="AJ44" s="16">
        <v>796.73600799999997</v>
      </c>
      <c r="AK44" s="16">
        <v>796.73600799999997</v>
      </c>
      <c r="AM44" s="1" t="str">
        <f t="shared" si="41"/>
        <v>SE_TSC+CC90:H2</v>
      </c>
      <c r="AN44" s="1" t="str">
        <f t="shared" si="42"/>
        <v>Ethane</v>
      </c>
      <c r="AO44" s="12">
        <f t="shared" si="43"/>
        <v>838.07986452793762</v>
      </c>
      <c r="AP44" s="12">
        <f t="shared" si="44"/>
        <v>838.0798645279375</v>
      </c>
      <c r="AQ44" s="5">
        <f t="shared" si="45"/>
        <v>0</v>
      </c>
      <c r="AR44" s="12">
        <f t="shared" si="46"/>
        <v>1212.7651196280331</v>
      </c>
      <c r="AS44" s="12">
        <f t="shared" si="47"/>
        <v>1212.7651196280331</v>
      </c>
      <c r="AT44" s="5">
        <f t="shared" si="48"/>
        <v>0</v>
      </c>
      <c r="AU44" s="5">
        <f t="shared" si="49"/>
        <v>0</v>
      </c>
      <c r="AV44" s="1">
        <f t="shared" si="50"/>
        <v>-18.786254593991838</v>
      </c>
      <c r="AW44" s="1">
        <f t="shared" si="51"/>
        <v>3.7322233084820442</v>
      </c>
      <c r="AX44" s="1">
        <f t="shared" si="52"/>
        <v>414.04082420313915</v>
      </c>
      <c r="AY44" s="1">
        <f t="shared" si="53"/>
        <v>-3.6056306720605154</v>
      </c>
      <c r="AZ44" s="1">
        <f t="shared" si="54"/>
        <v>0</v>
      </c>
      <c r="BA44" s="1">
        <f t="shared" si="55"/>
        <v>255.34361879781346</v>
      </c>
      <c r="BB44" s="1">
        <f t="shared" si="56"/>
        <v>139.75740358812948</v>
      </c>
      <c r="BC44" s="1">
        <f t="shared" si="57"/>
        <v>34.041352888580896</v>
      </c>
      <c r="BD44" s="1">
        <f t="shared" si="58"/>
        <v>0.87645400083637381</v>
      </c>
      <c r="BE44" s="1">
        <f t="shared" si="59"/>
        <v>-74.013082761012029</v>
      </c>
      <c r="BF44" s="1">
        <f t="shared" si="60"/>
        <v>87.569409768856858</v>
      </c>
      <c r="BG44" s="1">
        <f t="shared" si="61"/>
        <v>8.7645400068572007E-2</v>
      </c>
      <c r="BH44" s="1">
        <f t="shared" si="62"/>
        <v>4.7993860324643745</v>
      </c>
      <c r="BI44" s="1">
        <f t="shared" si="63"/>
        <v>8.7569409753804557</v>
      </c>
      <c r="BJ44" s="1">
        <f t="shared" si="64"/>
        <v>4.6265579669780523</v>
      </c>
      <c r="BK44" s="1">
        <f t="shared" si="65"/>
        <v>-74.013082761012029</v>
      </c>
      <c r="BL44" s="1">
        <f t="shared" si="66"/>
        <v>462.25466486895232</v>
      </c>
      <c r="BM44" s="1">
        <f t="shared" si="67"/>
        <v>3.8377493662102502</v>
      </c>
      <c r="BN44" s="1">
        <f t="shared" si="68"/>
        <v>4.7993860324643736</v>
      </c>
      <c r="BO44" s="1">
        <f t="shared" si="69"/>
        <v>383.44219607547586</v>
      </c>
      <c r="BQ44" s="9">
        <v>3.14</v>
      </c>
      <c r="BR44" s="10">
        <v>0.22181100240000001</v>
      </c>
      <c r="BS44" s="9">
        <v>0.18104824</v>
      </c>
      <c r="BU44" s="10">
        <f t="shared" si="70"/>
        <v>4.1770824382695828</v>
      </c>
      <c r="BV44" s="10">
        <f t="shared" si="71"/>
        <v>0.44947552870846952</v>
      </c>
      <c r="BW44" s="10">
        <f t="shared" si="72"/>
        <v>4.6265579669780523</v>
      </c>
      <c r="BY44" s="10">
        <f t="shared" si="73"/>
        <v>3.14</v>
      </c>
      <c r="BZ44" s="10">
        <f t="shared" si="74"/>
        <v>0</v>
      </c>
      <c r="CA44" s="10">
        <f t="shared" si="75"/>
        <v>8.7645400068572007E-2</v>
      </c>
      <c r="CB44" s="10">
        <f t="shared" si="76"/>
        <v>0.78880860076780179</v>
      </c>
      <c r="CC44" s="10">
        <f t="shared" si="77"/>
        <v>0.61010396614167828</v>
      </c>
      <c r="CD44" s="10">
        <f t="shared" si="78"/>
        <v>4.6265579669780523</v>
      </c>
      <c r="CF44" s="1">
        <f t="shared" si="79"/>
        <v>0</v>
      </c>
    </row>
    <row r="45" spans="2:84" x14ac:dyDescent="0.2">
      <c r="B45" s="14" t="s">
        <v>120</v>
      </c>
      <c r="C45" s="13" t="s">
        <v>78</v>
      </c>
      <c r="D45" s="13">
        <v>2.226644157E-2</v>
      </c>
      <c r="E45" s="13">
        <v>0</v>
      </c>
      <c r="F45" s="13">
        <v>0</v>
      </c>
      <c r="G45" s="13">
        <v>5.3101897240000001E-2</v>
      </c>
      <c r="H45" s="13">
        <v>0</v>
      </c>
      <c r="I45" s="13">
        <v>0</v>
      </c>
      <c r="J45" s="13">
        <v>0</v>
      </c>
      <c r="K45" s="13">
        <v>2.2673366949999999E-2</v>
      </c>
      <c r="L45" s="13">
        <v>99124.320160000003</v>
      </c>
      <c r="M45" s="13">
        <v>54251.997770000002</v>
      </c>
      <c r="N45" s="13">
        <v>1.6761597559999999</v>
      </c>
      <c r="O45" s="11">
        <f t="shared" si="40"/>
        <v>0.19808570329659347</v>
      </c>
      <c r="Q45" s="16">
        <v>99.913297999999998</v>
      </c>
      <c r="R45" s="16">
        <v>-6.0843480000000003</v>
      </c>
      <c r="S45" s="16">
        <v>64.970397000000006</v>
      </c>
      <c r="T45" s="16">
        <v>43.861592000000002</v>
      </c>
      <c r="U45" s="16">
        <v>39.255600999999999</v>
      </c>
      <c r="V45" s="11">
        <v>21.986353300000001</v>
      </c>
      <c r="W45" s="17"/>
      <c r="X45" s="17"/>
      <c r="Y45" s="16">
        <v>21.109138000000002</v>
      </c>
      <c r="Z45" s="16">
        <v>6.2406389999999998</v>
      </c>
      <c r="AA45" s="16"/>
      <c r="AB45" s="17"/>
      <c r="AC45" s="17"/>
      <c r="AD45" s="17"/>
      <c r="AE45" s="17"/>
      <c r="AF45" s="17"/>
      <c r="AG45" s="17"/>
      <c r="AH45" s="16">
        <v>-1.4523440000000001</v>
      </c>
      <c r="AI45" s="16">
        <v>-3.0715089999999998</v>
      </c>
      <c r="AJ45" s="16">
        <v>796.73600799999997</v>
      </c>
      <c r="AK45" s="16">
        <v>796.73600799999997</v>
      </c>
      <c r="AM45" s="1" t="str">
        <f t="shared" si="41"/>
        <v>SE_TSC+H2in</v>
      </c>
      <c r="AN45" s="1" t="str">
        <f t="shared" si="42"/>
        <v>Ethane</v>
      </c>
      <c r="AO45" s="12">
        <f t="shared" si="43"/>
        <v>857.23802089101855</v>
      </c>
      <c r="AP45" s="12">
        <f t="shared" si="44"/>
        <v>857.23802089101855</v>
      </c>
      <c r="AQ45" s="5">
        <f t="shared" si="45"/>
        <v>0</v>
      </c>
      <c r="AR45" s="12">
        <f t="shared" si="46"/>
        <v>1231.9232759922959</v>
      </c>
      <c r="AS45" s="12">
        <f t="shared" si="47"/>
        <v>1231.9232759922959</v>
      </c>
      <c r="AT45" s="5">
        <f t="shared" si="48"/>
        <v>0</v>
      </c>
      <c r="AU45" s="5">
        <f t="shared" si="49"/>
        <v>2.6167958373489411</v>
      </c>
      <c r="AV45" s="1">
        <f t="shared" si="50"/>
        <v>0</v>
      </c>
      <c r="AW45" s="1">
        <f t="shared" si="51"/>
        <v>0</v>
      </c>
      <c r="AX45" s="1">
        <f t="shared" si="52"/>
        <v>414.04082420313915</v>
      </c>
      <c r="AY45" s="1">
        <f t="shared" si="53"/>
        <v>0</v>
      </c>
      <c r="AZ45" s="1">
        <f t="shared" si="54"/>
        <v>0</v>
      </c>
      <c r="BA45" s="1">
        <f t="shared" si="55"/>
        <v>236.76830668400294</v>
      </c>
      <c r="BB45" s="1">
        <f t="shared" si="56"/>
        <v>129.58629754527846</v>
      </c>
      <c r="BC45" s="1">
        <f t="shared" si="57"/>
        <v>31.564969297130897</v>
      </c>
      <c r="BD45" s="1">
        <f t="shared" si="58"/>
        <v>0.42697847211607459</v>
      </c>
      <c r="BE45" s="1">
        <f t="shared" si="59"/>
        <v>0</v>
      </c>
      <c r="BF45" s="1">
        <f t="shared" si="60"/>
        <v>42.660827324118053</v>
      </c>
      <c r="BG45" s="1">
        <f t="shared" si="61"/>
        <v>0.42697847211607459</v>
      </c>
      <c r="BH45" s="1">
        <f t="shared" si="62"/>
        <v>0</v>
      </c>
      <c r="BI45" s="1">
        <f t="shared" si="63"/>
        <v>42.660827324118053</v>
      </c>
      <c r="BJ45" s="1">
        <f t="shared" si="64"/>
        <v>4.1770824382695828</v>
      </c>
      <c r="BK45" s="1">
        <f t="shared" si="65"/>
        <v>0</v>
      </c>
      <c r="BL45" s="1">
        <f t="shared" si="66"/>
        <v>417.34608242539542</v>
      </c>
      <c r="BM45" s="1">
        <f t="shared" si="67"/>
        <v>4.1770824382695828</v>
      </c>
      <c r="BN45" s="1">
        <f t="shared" si="68"/>
        <v>0</v>
      </c>
      <c r="BO45" s="1">
        <f t="shared" si="69"/>
        <v>417.34608242539542</v>
      </c>
      <c r="BQ45" s="9">
        <v>3.14</v>
      </c>
      <c r="BR45" s="10">
        <v>0.22181100240000001</v>
      </c>
      <c r="BS45" s="9">
        <v>0.18104824</v>
      </c>
      <c r="BU45" s="10">
        <f t="shared" si="70"/>
        <v>4.1770824382695828</v>
      </c>
      <c r="BV45" s="10">
        <f t="shared" si="71"/>
        <v>0</v>
      </c>
      <c r="BW45" s="10">
        <f t="shared" si="72"/>
        <v>4.1770824382695828</v>
      </c>
      <c r="BY45" s="10">
        <f t="shared" si="73"/>
        <v>3.14</v>
      </c>
      <c r="BZ45" s="10">
        <f t="shared" si="74"/>
        <v>0</v>
      </c>
      <c r="CA45" s="10">
        <f t="shared" si="75"/>
        <v>0.42697847211607459</v>
      </c>
      <c r="CB45" s="10">
        <f t="shared" si="76"/>
        <v>0</v>
      </c>
      <c r="CC45" s="10">
        <f t="shared" si="77"/>
        <v>0.61010396615350793</v>
      </c>
      <c r="CD45" s="10">
        <f t="shared" si="78"/>
        <v>4.1770824382695828</v>
      </c>
      <c r="CF45" s="1">
        <f t="shared" si="79"/>
        <v>0</v>
      </c>
    </row>
    <row r="46" spans="2:84" x14ac:dyDescent="0.2">
      <c r="B46" s="14" t="s">
        <v>121</v>
      </c>
      <c r="C46" s="13" t="s">
        <v>78</v>
      </c>
      <c r="D46" s="13">
        <v>0.1375867019</v>
      </c>
      <c r="E46" s="13">
        <v>0</v>
      </c>
      <c r="F46" s="13">
        <v>0</v>
      </c>
      <c r="G46" s="13">
        <v>5.3101897240000001E-2</v>
      </c>
      <c r="H46" s="13">
        <v>0</v>
      </c>
      <c r="I46" s="13">
        <v>0.11814249659999999</v>
      </c>
      <c r="J46" s="13">
        <v>0</v>
      </c>
      <c r="K46" s="13">
        <v>1.283875878E-3</v>
      </c>
      <c r="L46" s="13">
        <v>99124.320160000003</v>
      </c>
      <c r="M46" s="13">
        <v>54251.997770000002</v>
      </c>
      <c r="N46" s="13">
        <v>1.6761597559999999</v>
      </c>
      <c r="O46" s="11">
        <f t="shared" si="40"/>
        <v>0.19808570325601987</v>
      </c>
      <c r="Q46" s="16">
        <v>99.913297999999998</v>
      </c>
      <c r="R46" s="16">
        <v>-6.0843480000000003</v>
      </c>
      <c r="S46" s="16">
        <v>64.970397000000006</v>
      </c>
      <c r="T46" s="16">
        <v>43.861592000000002</v>
      </c>
      <c r="U46" s="16">
        <v>39.255600999999999</v>
      </c>
      <c r="V46" s="11">
        <v>21.986353300000001</v>
      </c>
      <c r="W46" s="17"/>
      <c r="X46" s="17"/>
      <c r="Y46" s="16">
        <v>21.109138000000002</v>
      </c>
      <c r="Z46" s="16">
        <v>6.2406389999999998</v>
      </c>
      <c r="AA46" s="16"/>
      <c r="AB46" s="17"/>
      <c r="AC46" s="17"/>
      <c r="AD46" s="17"/>
      <c r="AE46" s="17"/>
      <c r="AF46" s="17"/>
      <c r="AG46" s="17"/>
      <c r="AH46" s="16">
        <v>-1.4523440000000001</v>
      </c>
      <c r="AI46" s="16">
        <v>-3.0715089999999998</v>
      </c>
      <c r="AJ46" s="16">
        <v>796.73600799999997</v>
      </c>
      <c r="AK46" s="16">
        <v>796.73600799999997</v>
      </c>
      <c r="AM46" s="1" t="str">
        <f t="shared" si="41"/>
        <v>SE_TSC+H2in:CH4</v>
      </c>
      <c r="AN46" s="1" t="str">
        <f t="shared" si="42"/>
        <v>Ethane</v>
      </c>
      <c r="AO46" s="12">
        <f t="shared" si="43"/>
        <v>874.02189693263097</v>
      </c>
      <c r="AP46" s="12">
        <f t="shared" si="44"/>
        <v>874.02189693263097</v>
      </c>
      <c r="AQ46" s="5">
        <f t="shared" si="45"/>
        <v>0</v>
      </c>
      <c r="AR46" s="12">
        <f t="shared" si="46"/>
        <v>1248.7071520214224</v>
      </c>
      <c r="AS46" s="12">
        <f t="shared" si="47"/>
        <v>1248.7071520214224</v>
      </c>
      <c r="AT46" s="5">
        <f t="shared" si="48"/>
        <v>0</v>
      </c>
      <c r="AU46" s="5">
        <f t="shared" si="49"/>
        <v>16.169458764869436</v>
      </c>
      <c r="AV46" s="1">
        <f t="shared" si="50"/>
        <v>0</v>
      </c>
      <c r="AW46" s="1">
        <f t="shared" si="51"/>
        <v>0</v>
      </c>
      <c r="AX46" s="1">
        <f t="shared" si="52"/>
        <v>414.04082420313915</v>
      </c>
      <c r="AY46" s="1">
        <f t="shared" si="53"/>
        <v>0</v>
      </c>
      <c r="AZ46" s="1">
        <f t="shared" si="54"/>
        <v>3.2312131016061305</v>
      </c>
      <c r="BA46" s="1">
        <f t="shared" si="55"/>
        <v>236.76830668400294</v>
      </c>
      <c r="BB46" s="1">
        <f t="shared" si="56"/>
        <v>129.58629754527846</v>
      </c>
      <c r="BC46" s="1">
        <f t="shared" si="57"/>
        <v>31.564969297130897</v>
      </c>
      <c r="BD46" s="1">
        <f t="shared" si="58"/>
        <v>0.42697847224104163</v>
      </c>
      <c r="BE46" s="1">
        <f t="shared" si="59"/>
        <v>0</v>
      </c>
      <c r="BF46" s="1">
        <f t="shared" si="60"/>
        <v>42.660827336603916</v>
      </c>
      <c r="BG46" s="1">
        <f t="shared" si="61"/>
        <v>0.42697847224104163</v>
      </c>
      <c r="BH46" s="1">
        <f t="shared" si="62"/>
        <v>0</v>
      </c>
      <c r="BI46" s="1">
        <f t="shared" si="63"/>
        <v>42.660827336603916</v>
      </c>
      <c r="BJ46" s="1">
        <f t="shared" si="64"/>
        <v>4.1770824382695828</v>
      </c>
      <c r="BK46" s="1">
        <f t="shared" si="65"/>
        <v>0</v>
      </c>
      <c r="BL46" s="1">
        <f t="shared" si="66"/>
        <v>417.34608242539542</v>
      </c>
      <c r="BM46" s="1">
        <f t="shared" si="67"/>
        <v>4.1770824382695828</v>
      </c>
      <c r="BN46" s="1">
        <f t="shared" si="68"/>
        <v>0</v>
      </c>
      <c r="BO46" s="1">
        <f t="shared" si="69"/>
        <v>417.34608242539542</v>
      </c>
      <c r="BQ46" s="9">
        <v>3.14</v>
      </c>
      <c r="BR46" s="10">
        <v>0.22181100240000001</v>
      </c>
      <c r="BS46" s="9">
        <v>0.18104824</v>
      </c>
      <c r="BU46" s="10">
        <f t="shared" si="70"/>
        <v>4.1770824382695828</v>
      </c>
      <c r="BV46" s="10">
        <f t="shared" si="71"/>
        <v>0</v>
      </c>
      <c r="BW46" s="10">
        <f t="shared" si="72"/>
        <v>4.1770824382695828</v>
      </c>
      <c r="BY46" s="10">
        <f t="shared" si="73"/>
        <v>3.14</v>
      </c>
      <c r="BZ46" s="10">
        <f t="shared" si="74"/>
        <v>0.40280088264951763</v>
      </c>
      <c r="CA46" s="10">
        <f t="shared" si="75"/>
        <v>2.4177589591523982E-2</v>
      </c>
      <c r="CB46" s="10">
        <f t="shared" si="76"/>
        <v>0</v>
      </c>
      <c r="CC46" s="10">
        <f t="shared" si="77"/>
        <v>0.61010396602854122</v>
      </c>
      <c r="CD46" s="10">
        <f t="shared" si="78"/>
        <v>4.1770824382695828</v>
      </c>
      <c r="CF46" s="1">
        <f t="shared" si="79"/>
        <v>0</v>
      </c>
    </row>
    <row r="47" spans="2:84" x14ac:dyDescent="0.2">
      <c r="B47" s="14" t="s">
        <v>122</v>
      </c>
      <c r="C47" s="13" t="s">
        <v>78</v>
      </c>
      <c r="D47" s="13">
        <v>0</v>
      </c>
      <c r="E47" s="13">
        <v>0</v>
      </c>
      <c r="F47" s="13">
        <v>8.0529664380000008E-3</v>
      </c>
      <c r="G47" s="13">
        <v>5.3101897240000001E-2</v>
      </c>
      <c r="H47" s="13">
        <v>2.270169876E-2</v>
      </c>
      <c r="I47" s="13">
        <v>0</v>
      </c>
      <c r="J47" s="13">
        <v>2.4105122600000001E-2</v>
      </c>
      <c r="K47" s="13">
        <v>2.6783469549999999E-3</v>
      </c>
      <c r="L47" s="13">
        <v>106875.1697</v>
      </c>
      <c r="M47" s="13">
        <v>58496.387280000003</v>
      </c>
      <c r="N47" s="13">
        <v>1.8072240850000001</v>
      </c>
      <c r="O47" s="11">
        <f t="shared" si="40"/>
        <v>0.19808570329970068</v>
      </c>
      <c r="Q47" s="16">
        <v>99.913297999999998</v>
      </c>
      <c r="R47" s="16">
        <v>-15.650257</v>
      </c>
      <c r="S47" s="16">
        <v>63.953341000000002</v>
      </c>
      <c r="T47" s="16">
        <v>39.720461999999998</v>
      </c>
      <c r="U47" s="16">
        <v>40.537579999999998</v>
      </c>
      <c r="V47" s="11">
        <v>21.986353300000001</v>
      </c>
      <c r="W47" s="17"/>
      <c r="X47" s="17"/>
      <c r="Y47" s="16">
        <v>21.699949</v>
      </c>
      <c r="Z47" s="16">
        <v>8.0456090000000007</v>
      </c>
      <c r="AA47" s="16"/>
      <c r="AB47" s="17"/>
      <c r="AC47" s="17"/>
      <c r="AD47" s="17"/>
      <c r="AE47" s="17"/>
      <c r="AF47" s="17"/>
      <c r="AG47" s="17"/>
      <c r="AH47" s="16">
        <v>-0.93022199999999999</v>
      </c>
      <c r="AI47" s="16">
        <v>-2.7812749999999999</v>
      </c>
      <c r="AJ47" s="16">
        <v>796.73600799999997</v>
      </c>
      <c r="AK47" s="16">
        <v>796.73600799999997</v>
      </c>
      <c r="AM47" s="1" t="str">
        <f t="shared" si="41"/>
        <v>MIDAT_TSC+CC90</v>
      </c>
      <c r="AN47" s="1" t="str">
        <f t="shared" si="42"/>
        <v>Ethane</v>
      </c>
      <c r="AO47" s="12">
        <f t="shared" si="43"/>
        <v>858.11723541756635</v>
      </c>
      <c r="AP47" s="12">
        <f t="shared" si="44"/>
        <v>858.11723541756635</v>
      </c>
      <c r="AQ47" s="5">
        <f t="shared" si="45"/>
        <v>0</v>
      </c>
      <c r="AR47" s="12">
        <f t="shared" si="46"/>
        <v>1232.8024905197999</v>
      </c>
      <c r="AS47" s="12">
        <f t="shared" si="47"/>
        <v>1232.8024905197999</v>
      </c>
      <c r="AT47" s="5">
        <f t="shared" si="48"/>
        <v>0</v>
      </c>
      <c r="AU47" s="5">
        <f t="shared" si="49"/>
        <v>0</v>
      </c>
      <c r="AV47" s="1">
        <f t="shared" si="50"/>
        <v>0</v>
      </c>
      <c r="AW47" s="1">
        <f t="shared" si="51"/>
        <v>3.2908233054934759</v>
      </c>
      <c r="AX47" s="1">
        <f t="shared" si="52"/>
        <v>414.04082420313915</v>
      </c>
      <c r="AY47" s="1">
        <f t="shared" si="53"/>
        <v>-0.39768107584708812</v>
      </c>
      <c r="AZ47" s="1">
        <f t="shared" si="54"/>
        <v>0</v>
      </c>
      <c r="BA47" s="1">
        <f t="shared" si="55"/>
        <v>255.2819824195449</v>
      </c>
      <c r="BB47" s="1">
        <f t="shared" si="56"/>
        <v>139.72444442555911</v>
      </c>
      <c r="BC47" s="1">
        <f t="shared" si="57"/>
        <v>34.033135894034963</v>
      </c>
      <c r="BD47" s="1">
        <f t="shared" si="58"/>
        <v>0.50437876887805144</v>
      </c>
      <c r="BE47" s="1">
        <f t="shared" si="59"/>
        <v>-38.250439994144109</v>
      </c>
      <c r="BF47" s="1">
        <f t="shared" si="60"/>
        <v>50.394146239785876</v>
      </c>
      <c r="BG47" s="1">
        <f t="shared" si="61"/>
        <v>5.0437876878389284E-2</v>
      </c>
      <c r="BH47" s="1">
        <f t="shared" si="62"/>
        <v>7.1042916226039567</v>
      </c>
      <c r="BI47" s="1">
        <f t="shared" si="63"/>
        <v>5.0394146230378185</v>
      </c>
      <c r="BJ47" s="1">
        <f t="shared" si="64"/>
        <v>4.2544827350411296</v>
      </c>
      <c r="BK47" s="1">
        <f t="shared" si="65"/>
        <v>-38.250439994144109</v>
      </c>
      <c r="BL47" s="1">
        <f t="shared" si="66"/>
        <v>425.07940134201942</v>
      </c>
      <c r="BM47" s="1">
        <f t="shared" si="67"/>
        <v>3.8005418430414672</v>
      </c>
      <c r="BN47" s="1">
        <f t="shared" si="68"/>
        <v>7.1042916226039576</v>
      </c>
      <c r="BO47" s="1">
        <f t="shared" si="69"/>
        <v>379.72466972527133</v>
      </c>
      <c r="BQ47" s="9">
        <v>3.14</v>
      </c>
      <c r="BR47" s="10">
        <v>0.22181100240000001</v>
      </c>
      <c r="BS47" s="9">
        <v>0.18104824</v>
      </c>
      <c r="BU47" s="10">
        <f t="shared" si="70"/>
        <v>4.1770824382695828</v>
      </c>
      <c r="BV47" s="10">
        <f t="shared" si="71"/>
        <v>7.7400296771546806E-2</v>
      </c>
      <c r="BW47" s="10">
        <f t="shared" si="72"/>
        <v>4.2544827350411296</v>
      </c>
      <c r="BY47" s="10">
        <f t="shared" si="73"/>
        <v>3.14</v>
      </c>
      <c r="BZ47" s="10">
        <f t="shared" si="74"/>
        <v>0</v>
      </c>
      <c r="CA47" s="10">
        <f t="shared" si="75"/>
        <v>5.0437876878389284E-2</v>
      </c>
      <c r="CB47" s="10">
        <f t="shared" si="76"/>
        <v>0.4539408919996622</v>
      </c>
      <c r="CC47" s="10">
        <f t="shared" si="77"/>
        <v>0.61010396616307805</v>
      </c>
      <c r="CD47" s="10">
        <f t="shared" si="78"/>
        <v>4.2544827350411296</v>
      </c>
      <c r="CF47" s="1">
        <f t="shared" si="79"/>
        <v>0</v>
      </c>
    </row>
    <row r="48" spans="2:84" x14ac:dyDescent="0.2">
      <c r="B48" s="14" t="s">
        <v>123</v>
      </c>
      <c r="C48" s="13" t="s">
        <v>78</v>
      </c>
      <c r="D48" s="13">
        <v>0</v>
      </c>
      <c r="E48" s="13">
        <v>0.15985314340000001</v>
      </c>
      <c r="F48" s="13">
        <v>0</v>
      </c>
      <c r="G48" s="13">
        <v>5.3101897240000001E-2</v>
      </c>
      <c r="H48" s="13">
        <v>0.13183228590000001</v>
      </c>
      <c r="I48" s="13">
        <v>0</v>
      </c>
      <c r="J48" s="13">
        <v>0</v>
      </c>
      <c r="K48" s="13">
        <v>4.6541370280000001E-2</v>
      </c>
      <c r="L48" s="13">
        <v>99124.320160000003</v>
      </c>
      <c r="M48" s="13">
        <v>54251.997770000002</v>
      </c>
      <c r="N48" s="13">
        <v>1.6761597559999999</v>
      </c>
      <c r="O48" s="11">
        <f t="shared" si="40"/>
        <v>0.19808570334166625</v>
      </c>
      <c r="Q48" s="16">
        <v>99.913297999999998</v>
      </c>
      <c r="R48" s="16">
        <v>-15.650257</v>
      </c>
      <c r="S48" s="16">
        <v>63.953341000000002</v>
      </c>
      <c r="T48" s="16">
        <v>39.720461999999998</v>
      </c>
      <c r="U48" s="16">
        <v>40.537579999999998</v>
      </c>
      <c r="V48" s="11">
        <v>21.986353300000001</v>
      </c>
      <c r="W48" s="17"/>
      <c r="X48" s="17"/>
      <c r="Y48" s="16">
        <v>21.699949</v>
      </c>
      <c r="Z48" s="16">
        <v>8.0456090000000007</v>
      </c>
      <c r="AA48" s="16"/>
      <c r="AB48" s="17"/>
      <c r="AC48" s="17"/>
      <c r="AD48" s="17"/>
      <c r="AE48" s="17"/>
      <c r="AF48" s="17"/>
      <c r="AG48" s="17"/>
      <c r="AH48" s="16">
        <v>-0.93022199999999999</v>
      </c>
      <c r="AI48" s="16">
        <v>-2.7812749999999999</v>
      </c>
      <c r="AJ48" s="16">
        <v>796.73600799999997</v>
      </c>
      <c r="AK48" s="16">
        <v>796.73600799999997</v>
      </c>
      <c r="AM48" s="1" t="str">
        <f t="shared" si="41"/>
        <v>MIDAT_TSC:H2</v>
      </c>
      <c r="AN48" s="1" t="str">
        <f t="shared" si="42"/>
        <v>Ethane</v>
      </c>
      <c r="AO48" s="12">
        <f t="shared" si="43"/>
        <v>873.00063893962579</v>
      </c>
      <c r="AP48" s="12">
        <f t="shared" si="44"/>
        <v>873.00063893962579</v>
      </c>
      <c r="AQ48" s="5">
        <f t="shared" si="45"/>
        <v>0</v>
      </c>
      <c r="AR48" s="12">
        <f t="shared" si="46"/>
        <v>1247.6858940547736</v>
      </c>
      <c r="AS48" s="12">
        <f t="shared" si="47"/>
        <v>1247.6858940547736</v>
      </c>
      <c r="AT48" s="5">
        <f t="shared" si="48"/>
        <v>0</v>
      </c>
      <c r="AU48" s="5">
        <f t="shared" si="49"/>
        <v>0</v>
      </c>
      <c r="AV48" s="1">
        <f t="shared" si="50"/>
        <v>-24.219772853022281</v>
      </c>
      <c r="AW48" s="1">
        <f t="shared" si="51"/>
        <v>0</v>
      </c>
      <c r="AX48" s="1">
        <f t="shared" si="52"/>
        <v>414.04082420313915</v>
      </c>
      <c r="AY48" s="1">
        <f t="shared" si="53"/>
        <v>-2.3093956907079014</v>
      </c>
      <c r="AZ48" s="1">
        <f t="shared" si="54"/>
        <v>0</v>
      </c>
      <c r="BA48" s="1">
        <f t="shared" si="55"/>
        <v>236.76830668400294</v>
      </c>
      <c r="BB48" s="1">
        <f t="shared" si="56"/>
        <v>129.58629754527846</v>
      </c>
      <c r="BC48" s="1">
        <f t="shared" si="57"/>
        <v>31.564969297130897</v>
      </c>
      <c r="BD48" s="1">
        <f t="shared" si="58"/>
        <v>0.8764540006857201</v>
      </c>
      <c r="BE48" s="1">
        <f t="shared" si="59"/>
        <v>0</v>
      </c>
      <c r="BF48" s="1">
        <f t="shared" si="60"/>
        <v>87.56940975380455</v>
      </c>
      <c r="BG48" s="1">
        <f t="shared" si="61"/>
        <v>0.8764540006857201</v>
      </c>
      <c r="BH48" s="1">
        <f t="shared" si="62"/>
        <v>0</v>
      </c>
      <c r="BI48" s="1">
        <f t="shared" si="63"/>
        <v>87.56940975380455</v>
      </c>
      <c r="BJ48" s="1">
        <f t="shared" si="64"/>
        <v>4.6265579669780523</v>
      </c>
      <c r="BK48" s="1">
        <f t="shared" si="65"/>
        <v>0</v>
      </c>
      <c r="BL48" s="1">
        <f t="shared" si="66"/>
        <v>462.25466486895232</v>
      </c>
      <c r="BM48" s="1">
        <f t="shared" si="67"/>
        <v>4.6265579669780523</v>
      </c>
      <c r="BN48" s="1">
        <f t="shared" si="68"/>
        <v>0</v>
      </c>
      <c r="BO48" s="1">
        <f t="shared" si="69"/>
        <v>462.25466486895232</v>
      </c>
      <c r="BQ48" s="9">
        <v>3.14</v>
      </c>
      <c r="BR48" s="10">
        <v>0.22181100240000001</v>
      </c>
      <c r="BS48" s="9">
        <v>0.18104824</v>
      </c>
      <c r="BU48" s="10">
        <f t="shared" si="70"/>
        <v>4.1770824382695828</v>
      </c>
      <c r="BV48" s="10">
        <f t="shared" si="71"/>
        <v>0.44947552870846952</v>
      </c>
      <c r="BW48" s="10">
        <f t="shared" si="72"/>
        <v>4.6265579669780523</v>
      </c>
      <c r="BY48" s="10">
        <f t="shared" si="73"/>
        <v>3.14</v>
      </c>
      <c r="BZ48" s="10">
        <f t="shared" si="74"/>
        <v>0</v>
      </c>
      <c r="CA48" s="10">
        <f t="shared" si="75"/>
        <v>0.8764540006857201</v>
      </c>
      <c r="CB48" s="10">
        <f t="shared" si="76"/>
        <v>0</v>
      </c>
      <c r="CC48" s="10">
        <f t="shared" si="77"/>
        <v>0.61010396629233199</v>
      </c>
      <c r="CD48" s="10">
        <f t="shared" si="78"/>
        <v>4.6265579669780523</v>
      </c>
      <c r="CF48" s="1">
        <f t="shared" si="79"/>
        <v>0</v>
      </c>
    </row>
    <row r="49" spans="2:84" x14ac:dyDescent="0.2">
      <c r="B49" s="14" t="s">
        <v>124</v>
      </c>
      <c r="C49" s="13" t="s">
        <v>78</v>
      </c>
      <c r="D49" s="13">
        <v>0</v>
      </c>
      <c r="E49" s="13">
        <v>0.15985314340000001</v>
      </c>
      <c r="F49" s="13">
        <v>9.3887366979999998E-3</v>
      </c>
      <c r="G49" s="13">
        <v>5.3101897240000001E-2</v>
      </c>
      <c r="H49" s="13">
        <v>0.13183228590000001</v>
      </c>
      <c r="I49" s="13">
        <v>0</v>
      </c>
      <c r="J49" s="13">
        <v>4.1887233259999997E-2</v>
      </c>
      <c r="K49" s="13">
        <v>4.6541370279999999E-3</v>
      </c>
      <c r="L49" s="13">
        <v>106900.97410000001</v>
      </c>
      <c r="M49" s="13">
        <v>58510.185810000003</v>
      </c>
      <c r="N49" s="13">
        <v>1.807660423</v>
      </c>
      <c r="O49" s="11">
        <f t="shared" si="40"/>
        <v>0.19808570329275269</v>
      </c>
      <c r="Q49" s="16">
        <v>99.913297999999998</v>
      </c>
      <c r="R49" s="16">
        <v>-15.650257</v>
      </c>
      <c r="S49" s="16">
        <v>63.953341000000002</v>
      </c>
      <c r="T49" s="16">
        <v>39.720461999999998</v>
      </c>
      <c r="U49" s="16">
        <v>40.537579999999998</v>
      </c>
      <c r="V49" s="11">
        <v>21.986353300000001</v>
      </c>
      <c r="W49" s="17"/>
      <c r="X49" s="17"/>
      <c r="Y49" s="16">
        <v>21.699949</v>
      </c>
      <c r="Z49" s="16">
        <v>8.0456090000000007</v>
      </c>
      <c r="AA49" s="16"/>
      <c r="AB49" s="17"/>
      <c r="AC49" s="17"/>
      <c r="AD49" s="17"/>
      <c r="AE49" s="17"/>
      <c r="AF49" s="17"/>
      <c r="AG49" s="17"/>
      <c r="AH49" s="16">
        <v>-0.93022199999999999</v>
      </c>
      <c r="AI49" s="16">
        <v>-2.7812749999999999</v>
      </c>
      <c r="AJ49" s="16">
        <v>796.73600799999997</v>
      </c>
      <c r="AK49" s="16">
        <v>796.73600799999997</v>
      </c>
      <c r="AM49" s="1" t="str">
        <f t="shared" si="41"/>
        <v>MIDAT_TSC+CC90:H2</v>
      </c>
      <c r="AN49" s="1" t="str">
        <f t="shared" si="42"/>
        <v>Ethane</v>
      </c>
      <c r="AO49" s="12">
        <f t="shared" si="43"/>
        <v>841.59271150282279</v>
      </c>
      <c r="AP49" s="12">
        <f t="shared" si="44"/>
        <v>841.59271150282268</v>
      </c>
      <c r="AQ49" s="5">
        <f t="shared" si="45"/>
        <v>0</v>
      </c>
      <c r="AR49" s="12">
        <f t="shared" si="46"/>
        <v>1216.2779666029182</v>
      </c>
      <c r="AS49" s="12">
        <f t="shared" si="47"/>
        <v>1216.2779666029182</v>
      </c>
      <c r="AT49" s="5">
        <f t="shared" si="48"/>
        <v>0</v>
      </c>
      <c r="AU49" s="5">
        <f t="shared" si="49"/>
        <v>0</v>
      </c>
      <c r="AV49" s="1">
        <f t="shared" si="50"/>
        <v>-24.219772853022281</v>
      </c>
      <c r="AW49" s="1">
        <f t="shared" si="51"/>
        <v>3.8366822676829164</v>
      </c>
      <c r="AX49" s="1">
        <f t="shared" si="52"/>
        <v>414.04082420313915</v>
      </c>
      <c r="AY49" s="1">
        <f t="shared" si="53"/>
        <v>-2.3093956907079014</v>
      </c>
      <c r="AZ49" s="1">
        <f t="shared" si="54"/>
        <v>0</v>
      </c>
      <c r="BA49" s="1">
        <f t="shared" si="55"/>
        <v>255.34361879781346</v>
      </c>
      <c r="BB49" s="1">
        <f t="shared" si="56"/>
        <v>139.75740358812948</v>
      </c>
      <c r="BC49" s="1">
        <f t="shared" si="57"/>
        <v>34.041352888580896</v>
      </c>
      <c r="BD49" s="1">
        <f t="shared" si="58"/>
        <v>0.87645400083637381</v>
      </c>
      <c r="BE49" s="1">
        <f t="shared" si="59"/>
        <v>-66.46741146764991</v>
      </c>
      <c r="BF49" s="1">
        <f t="shared" si="60"/>
        <v>87.569409768856858</v>
      </c>
      <c r="BG49" s="1">
        <f t="shared" si="61"/>
        <v>8.7645400068572007E-2</v>
      </c>
      <c r="BH49" s="1">
        <f t="shared" si="62"/>
        <v>12.345057325826495</v>
      </c>
      <c r="BI49" s="1">
        <f t="shared" si="63"/>
        <v>8.7569409753804557</v>
      </c>
      <c r="BJ49" s="1">
        <f t="shared" si="64"/>
        <v>4.6265579669780523</v>
      </c>
      <c r="BK49" s="1">
        <f t="shared" si="65"/>
        <v>-66.46741146764991</v>
      </c>
      <c r="BL49" s="1">
        <f t="shared" si="66"/>
        <v>462.25466486895232</v>
      </c>
      <c r="BM49" s="1">
        <f t="shared" si="67"/>
        <v>3.8377493662102502</v>
      </c>
      <c r="BN49" s="1">
        <f t="shared" si="68"/>
        <v>12.345057325826495</v>
      </c>
      <c r="BO49" s="1">
        <f t="shared" si="69"/>
        <v>383.44219607547586</v>
      </c>
      <c r="BQ49" s="9">
        <v>3.14</v>
      </c>
      <c r="BR49" s="10">
        <v>0.22181100240000001</v>
      </c>
      <c r="BS49" s="9">
        <v>0.18104824</v>
      </c>
      <c r="BU49" s="10">
        <f t="shared" si="70"/>
        <v>4.1770824382695828</v>
      </c>
      <c r="BV49" s="10">
        <f t="shared" si="71"/>
        <v>0.44947552870846952</v>
      </c>
      <c r="BW49" s="10">
        <f t="shared" si="72"/>
        <v>4.6265579669780523</v>
      </c>
      <c r="BY49" s="10">
        <f t="shared" si="73"/>
        <v>3.14</v>
      </c>
      <c r="BZ49" s="10">
        <f t="shared" si="74"/>
        <v>0</v>
      </c>
      <c r="CA49" s="10">
        <f t="shared" si="75"/>
        <v>8.7645400068572007E-2</v>
      </c>
      <c r="CB49" s="10">
        <f t="shared" si="76"/>
        <v>0.78880860076780179</v>
      </c>
      <c r="CC49" s="10">
        <f t="shared" si="77"/>
        <v>0.61010396614167828</v>
      </c>
      <c r="CD49" s="10">
        <f t="shared" si="78"/>
        <v>4.6265579669780523</v>
      </c>
      <c r="CF49" s="1">
        <f t="shared" si="79"/>
        <v>0</v>
      </c>
    </row>
    <row r="50" spans="2:84" x14ac:dyDescent="0.2">
      <c r="B50" s="14" t="s">
        <v>125</v>
      </c>
      <c r="C50" s="13" t="s">
        <v>78</v>
      </c>
      <c r="D50" s="13">
        <v>2.226644157E-2</v>
      </c>
      <c r="E50" s="13">
        <v>0</v>
      </c>
      <c r="F50" s="13">
        <v>0</v>
      </c>
      <c r="G50" s="13">
        <v>5.3101897240000001E-2</v>
      </c>
      <c r="H50" s="13">
        <v>0</v>
      </c>
      <c r="I50" s="13">
        <v>0</v>
      </c>
      <c r="J50" s="13">
        <v>0</v>
      </c>
      <c r="K50" s="13">
        <v>2.2673366949999999E-2</v>
      </c>
      <c r="L50" s="13">
        <v>99124.320160000003</v>
      </c>
      <c r="M50" s="13">
        <v>54251.997770000002</v>
      </c>
      <c r="N50" s="13">
        <v>1.6761597559999999</v>
      </c>
      <c r="O50" s="11">
        <f t="shared" si="40"/>
        <v>0.19808570329659347</v>
      </c>
      <c r="Q50" s="16">
        <v>99.913297999999998</v>
      </c>
      <c r="R50" s="16">
        <v>-15.650257</v>
      </c>
      <c r="S50" s="16">
        <v>63.953341000000002</v>
      </c>
      <c r="T50" s="16">
        <v>39.720461999999998</v>
      </c>
      <c r="U50" s="16">
        <v>40.537579999999998</v>
      </c>
      <c r="V50" s="11">
        <v>21.986353300000001</v>
      </c>
      <c r="W50" s="17"/>
      <c r="X50" s="17"/>
      <c r="Y50" s="16">
        <v>21.699949</v>
      </c>
      <c r="Z50" s="16">
        <v>8.0456090000000007</v>
      </c>
      <c r="AA50" s="16"/>
      <c r="AB50" s="17"/>
      <c r="AC50" s="17"/>
      <c r="AD50" s="17"/>
      <c r="AE50" s="17"/>
      <c r="AF50" s="17"/>
      <c r="AG50" s="17"/>
      <c r="AH50" s="16">
        <v>-0.93022199999999999</v>
      </c>
      <c r="AI50" s="16">
        <v>-2.7812749999999999</v>
      </c>
      <c r="AJ50" s="16">
        <v>796.73600799999997</v>
      </c>
      <c r="AK50" s="16">
        <v>796.73600799999997</v>
      </c>
      <c r="AM50" s="1" t="str">
        <f t="shared" si="41"/>
        <v>MIDAT_TSC+H2in</v>
      </c>
      <c r="AN50" s="1" t="str">
        <f t="shared" si="42"/>
        <v>Ethane</v>
      </c>
      <c r="AO50" s="12">
        <f t="shared" si="43"/>
        <v>857.99487255036615</v>
      </c>
      <c r="AP50" s="12">
        <f t="shared" si="44"/>
        <v>857.99487255036615</v>
      </c>
      <c r="AQ50" s="5">
        <f t="shared" si="45"/>
        <v>0</v>
      </c>
      <c r="AR50" s="12">
        <f t="shared" si="46"/>
        <v>1232.6801276516435</v>
      </c>
      <c r="AS50" s="12">
        <f t="shared" si="47"/>
        <v>1232.6801276516435</v>
      </c>
      <c r="AT50" s="5">
        <f t="shared" si="48"/>
        <v>0</v>
      </c>
      <c r="AU50" s="5">
        <f t="shared" si="49"/>
        <v>3.3736474966966012</v>
      </c>
      <c r="AV50" s="1">
        <f t="shared" si="50"/>
        <v>0</v>
      </c>
      <c r="AW50" s="1">
        <f t="shared" si="51"/>
        <v>0</v>
      </c>
      <c r="AX50" s="1">
        <f t="shared" si="52"/>
        <v>414.04082420313915</v>
      </c>
      <c r="AY50" s="1">
        <f t="shared" si="53"/>
        <v>0</v>
      </c>
      <c r="AZ50" s="1">
        <f t="shared" si="54"/>
        <v>0</v>
      </c>
      <c r="BA50" s="1">
        <f t="shared" si="55"/>
        <v>236.76830668400294</v>
      </c>
      <c r="BB50" s="1">
        <f t="shared" si="56"/>
        <v>129.58629754527846</v>
      </c>
      <c r="BC50" s="1">
        <f t="shared" si="57"/>
        <v>31.564969297130897</v>
      </c>
      <c r="BD50" s="1">
        <f t="shared" si="58"/>
        <v>0.42697847211607459</v>
      </c>
      <c r="BE50" s="1">
        <f t="shared" si="59"/>
        <v>0</v>
      </c>
      <c r="BF50" s="1">
        <f t="shared" si="60"/>
        <v>42.660827324118053</v>
      </c>
      <c r="BG50" s="1">
        <f t="shared" si="61"/>
        <v>0.42697847211607459</v>
      </c>
      <c r="BH50" s="1">
        <f t="shared" si="62"/>
        <v>0</v>
      </c>
      <c r="BI50" s="1">
        <f t="shared" si="63"/>
        <v>42.660827324118053</v>
      </c>
      <c r="BJ50" s="1">
        <f t="shared" si="64"/>
        <v>4.1770824382695828</v>
      </c>
      <c r="BK50" s="1">
        <f t="shared" si="65"/>
        <v>0</v>
      </c>
      <c r="BL50" s="1">
        <f t="shared" si="66"/>
        <v>417.34608242539542</v>
      </c>
      <c r="BM50" s="1">
        <f t="shared" si="67"/>
        <v>4.1770824382695828</v>
      </c>
      <c r="BN50" s="1">
        <f t="shared" si="68"/>
        <v>0</v>
      </c>
      <c r="BO50" s="1">
        <f t="shared" si="69"/>
        <v>417.34608242539542</v>
      </c>
      <c r="BQ50" s="9">
        <v>3.14</v>
      </c>
      <c r="BR50" s="10">
        <v>0.22181100240000001</v>
      </c>
      <c r="BS50" s="9">
        <v>0.18104824</v>
      </c>
      <c r="BU50" s="10">
        <f t="shared" si="70"/>
        <v>4.1770824382695828</v>
      </c>
      <c r="BV50" s="10">
        <f t="shared" si="71"/>
        <v>0</v>
      </c>
      <c r="BW50" s="10">
        <f t="shared" si="72"/>
        <v>4.1770824382695828</v>
      </c>
      <c r="BY50" s="10">
        <f t="shared" si="73"/>
        <v>3.14</v>
      </c>
      <c r="BZ50" s="10">
        <f t="shared" si="74"/>
        <v>0</v>
      </c>
      <c r="CA50" s="10">
        <f t="shared" si="75"/>
        <v>0.42697847211607459</v>
      </c>
      <c r="CB50" s="10">
        <f t="shared" si="76"/>
        <v>0</v>
      </c>
      <c r="CC50" s="10">
        <f t="shared" si="77"/>
        <v>0.61010396615350793</v>
      </c>
      <c r="CD50" s="10">
        <f t="shared" si="78"/>
        <v>4.1770824382695828</v>
      </c>
      <c r="CF50" s="1">
        <f t="shared" si="79"/>
        <v>0</v>
      </c>
    </row>
    <row r="51" spans="2:84" x14ac:dyDescent="0.2">
      <c r="B51" s="14" t="s">
        <v>126</v>
      </c>
      <c r="C51" s="13" t="s">
        <v>78</v>
      </c>
      <c r="D51" s="13">
        <v>0.1375867019</v>
      </c>
      <c r="E51" s="13">
        <v>0</v>
      </c>
      <c r="F51" s="13">
        <v>0</v>
      </c>
      <c r="G51" s="13">
        <v>5.3101897240000001E-2</v>
      </c>
      <c r="H51" s="13">
        <v>0</v>
      </c>
      <c r="I51" s="13">
        <v>0.11814249659999999</v>
      </c>
      <c r="J51" s="13">
        <v>0</v>
      </c>
      <c r="K51" s="13">
        <v>1.283875878E-3</v>
      </c>
      <c r="L51" s="13">
        <v>99124.320160000003</v>
      </c>
      <c r="M51" s="13">
        <v>54251.997770000002</v>
      </c>
      <c r="N51" s="13">
        <v>1.6761597559999999</v>
      </c>
      <c r="O51" s="11">
        <f t="shared" si="40"/>
        <v>0.19808570325601987</v>
      </c>
      <c r="Q51" s="16">
        <v>99.913297999999998</v>
      </c>
      <c r="R51" s="16">
        <v>-15.650257</v>
      </c>
      <c r="S51" s="16">
        <v>63.953341000000002</v>
      </c>
      <c r="T51" s="16">
        <v>39.720461999999998</v>
      </c>
      <c r="U51" s="16">
        <v>40.537579999999998</v>
      </c>
      <c r="V51" s="11">
        <v>21.986353300000001</v>
      </c>
      <c r="W51" s="17"/>
      <c r="X51" s="17"/>
      <c r="Y51" s="16">
        <v>21.699949</v>
      </c>
      <c r="Z51" s="16">
        <v>8.0456090000000007</v>
      </c>
      <c r="AA51" s="16"/>
      <c r="AB51" s="17"/>
      <c r="AC51" s="17"/>
      <c r="AD51" s="17"/>
      <c r="AE51" s="17"/>
      <c r="AF51" s="17"/>
      <c r="AG51" s="17"/>
      <c r="AH51" s="16">
        <v>-0.93022199999999999</v>
      </c>
      <c r="AI51" s="16">
        <v>-2.7812749999999999</v>
      </c>
      <c r="AJ51" s="16">
        <v>796.73600799999997</v>
      </c>
      <c r="AK51" s="16">
        <v>796.73600799999997</v>
      </c>
      <c r="AM51" s="1" t="str">
        <f t="shared" si="41"/>
        <v>MIDAT_TSC+H2in:CH4</v>
      </c>
      <c r="AN51" s="1" t="str">
        <f t="shared" si="42"/>
        <v>Ethane</v>
      </c>
      <c r="AO51" s="12">
        <f t="shared" si="43"/>
        <v>877.53693278671824</v>
      </c>
      <c r="AP51" s="12">
        <f t="shared" si="44"/>
        <v>877.53693278671824</v>
      </c>
      <c r="AQ51" s="5">
        <f t="shared" si="45"/>
        <v>0</v>
      </c>
      <c r="AR51" s="12">
        <f t="shared" si="46"/>
        <v>1252.2221878755097</v>
      </c>
      <c r="AS51" s="12">
        <f t="shared" si="47"/>
        <v>1252.2221878755097</v>
      </c>
      <c r="AT51" s="5">
        <f t="shared" si="48"/>
        <v>0</v>
      </c>
      <c r="AU51" s="5">
        <f t="shared" si="49"/>
        <v>20.846125366931563</v>
      </c>
      <c r="AV51" s="1">
        <f t="shared" si="50"/>
        <v>0</v>
      </c>
      <c r="AW51" s="1">
        <f t="shared" si="51"/>
        <v>0</v>
      </c>
      <c r="AX51" s="1">
        <f t="shared" si="52"/>
        <v>414.04082420313915</v>
      </c>
      <c r="AY51" s="1">
        <f t="shared" si="53"/>
        <v>0</v>
      </c>
      <c r="AZ51" s="1">
        <f t="shared" si="54"/>
        <v>2.0695823536312732</v>
      </c>
      <c r="BA51" s="1">
        <f t="shared" si="55"/>
        <v>236.76830668400294</v>
      </c>
      <c r="BB51" s="1">
        <f t="shared" si="56"/>
        <v>129.58629754527846</v>
      </c>
      <c r="BC51" s="1">
        <f t="shared" si="57"/>
        <v>31.564969297130897</v>
      </c>
      <c r="BD51" s="1">
        <f t="shared" si="58"/>
        <v>0.42697847224104163</v>
      </c>
      <c r="BE51" s="1">
        <f t="shared" si="59"/>
        <v>0</v>
      </c>
      <c r="BF51" s="1">
        <f t="shared" si="60"/>
        <v>42.660827336603916</v>
      </c>
      <c r="BG51" s="1">
        <f t="shared" si="61"/>
        <v>0.42697847224104163</v>
      </c>
      <c r="BH51" s="1">
        <f t="shared" si="62"/>
        <v>0</v>
      </c>
      <c r="BI51" s="1">
        <f t="shared" si="63"/>
        <v>42.660827336603916</v>
      </c>
      <c r="BJ51" s="1">
        <f t="shared" si="64"/>
        <v>4.1770824382695828</v>
      </c>
      <c r="BK51" s="1">
        <f t="shared" si="65"/>
        <v>0</v>
      </c>
      <c r="BL51" s="1">
        <f t="shared" si="66"/>
        <v>417.34608242539542</v>
      </c>
      <c r="BM51" s="1">
        <f t="shared" si="67"/>
        <v>4.1770824382695828</v>
      </c>
      <c r="BN51" s="1">
        <f t="shared" si="68"/>
        <v>0</v>
      </c>
      <c r="BO51" s="1">
        <f t="shared" si="69"/>
        <v>417.34608242539542</v>
      </c>
      <c r="BQ51" s="9">
        <v>3.14</v>
      </c>
      <c r="BR51" s="10">
        <v>0.22181100240000001</v>
      </c>
      <c r="BS51" s="9">
        <v>0.18104824</v>
      </c>
      <c r="BU51" s="10">
        <f t="shared" si="70"/>
        <v>4.1770824382695828</v>
      </c>
      <c r="BV51" s="10">
        <f t="shared" si="71"/>
        <v>0</v>
      </c>
      <c r="BW51" s="10">
        <f t="shared" si="72"/>
        <v>4.1770824382695828</v>
      </c>
      <c r="BY51" s="10">
        <f t="shared" si="73"/>
        <v>3.14</v>
      </c>
      <c r="BZ51" s="10">
        <f t="shared" si="74"/>
        <v>0.40280088264951763</v>
      </c>
      <c r="CA51" s="10">
        <f t="shared" si="75"/>
        <v>2.4177589591523982E-2</v>
      </c>
      <c r="CB51" s="10">
        <f t="shared" si="76"/>
        <v>0</v>
      </c>
      <c r="CC51" s="10">
        <f t="shared" si="77"/>
        <v>0.61010396602854122</v>
      </c>
      <c r="CD51" s="10">
        <f t="shared" si="78"/>
        <v>4.1770824382695828</v>
      </c>
      <c r="CF51" s="1">
        <f t="shared" si="79"/>
        <v>0</v>
      </c>
    </row>
    <row r="52" spans="2:84" x14ac:dyDescent="0.2">
      <c r="B52" s="14" t="s">
        <v>127</v>
      </c>
      <c r="C52" s="13" t="s">
        <v>78</v>
      </c>
      <c r="D52" s="13">
        <v>0</v>
      </c>
      <c r="E52" s="13">
        <v>0</v>
      </c>
      <c r="F52" s="13">
        <v>8.0529664380000008E-3</v>
      </c>
      <c r="G52" s="13">
        <v>5.3101897240000001E-2</v>
      </c>
      <c r="H52" s="13">
        <v>2.270169876E-2</v>
      </c>
      <c r="I52" s="13">
        <v>0</v>
      </c>
      <c r="J52" s="13">
        <v>2.4105122600000001E-2</v>
      </c>
      <c r="K52" s="13">
        <v>2.6783469549999999E-3</v>
      </c>
      <c r="L52" s="13">
        <v>106875.1697</v>
      </c>
      <c r="M52" s="13">
        <v>58496.387280000003</v>
      </c>
      <c r="N52" s="13">
        <v>1.8072240850000001</v>
      </c>
      <c r="O52" s="11">
        <f t="shared" si="40"/>
        <v>0.19808570329970068</v>
      </c>
      <c r="Q52" s="16">
        <v>99.913297999999998</v>
      </c>
      <c r="R52" s="16">
        <v>-21.727401</v>
      </c>
      <c r="S52" s="16">
        <v>66.936656999999997</v>
      </c>
      <c r="T52" s="16">
        <v>41.693038999999999</v>
      </c>
      <c r="U52" s="16">
        <v>41.333942999999998</v>
      </c>
      <c r="V52" s="11">
        <v>21.986353300000001</v>
      </c>
      <c r="W52" s="17"/>
      <c r="X52" s="17"/>
      <c r="Y52" s="16">
        <v>20.978031999999999</v>
      </c>
      <c r="Z52" s="16">
        <v>12.546751</v>
      </c>
      <c r="AA52" s="16"/>
      <c r="AB52" s="17"/>
      <c r="AC52" s="17"/>
      <c r="AD52" s="17"/>
      <c r="AE52" s="17"/>
      <c r="AF52" s="17"/>
      <c r="AG52" s="17"/>
      <c r="AH52" s="16">
        <v>5.8887289999999997</v>
      </c>
      <c r="AI52" s="16">
        <v>0</v>
      </c>
      <c r="AJ52" s="16">
        <v>796.73600799999997</v>
      </c>
      <c r="AK52" s="16">
        <v>0</v>
      </c>
      <c r="AM52" s="1" t="str">
        <f t="shared" si="41"/>
        <v>NE_TSC+CC90</v>
      </c>
      <c r="AN52" s="1" t="str">
        <f t="shared" si="42"/>
        <v>Ethane</v>
      </c>
      <c r="AO52" s="12">
        <f t="shared" si="43"/>
        <v>863.68160344629393</v>
      </c>
      <c r="AP52" s="12">
        <f t="shared" si="44"/>
        <v>863.68160344629393</v>
      </c>
      <c r="AQ52" s="5">
        <f t="shared" si="45"/>
        <v>0</v>
      </c>
      <c r="AR52" s="12">
        <f t="shared" si="46"/>
        <v>1238.3668585485275</v>
      </c>
      <c r="AS52" s="12">
        <f t="shared" si="47"/>
        <v>1238.3668585485275</v>
      </c>
      <c r="AT52" s="5">
        <f t="shared" si="48"/>
        <v>0</v>
      </c>
      <c r="AU52" s="5">
        <f t="shared" si="49"/>
        <v>0</v>
      </c>
      <c r="AV52" s="1">
        <f t="shared" si="50"/>
        <v>0</v>
      </c>
      <c r="AW52" s="1">
        <f t="shared" si="51"/>
        <v>3.1813437261529005</v>
      </c>
      <c r="AX52" s="1">
        <f t="shared" si="52"/>
        <v>414.04082420313915</v>
      </c>
      <c r="AY52" s="1">
        <f t="shared" si="53"/>
        <v>2.5175023640506753</v>
      </c>
      <c r="AZ52" s="1">
        <f t="shared" si="54"/>
        <v>0</v>
      </c>
      <c r="BA52" s="1">
        <f t="shared" si="55"/>
        <v>255.2819824195449</v>
      </c>
      <c r="BB52" s="1">
        <f t="shared" si="56"/>
        <v>139.72444442555911</v>
      </c>
      <c r="BC52" s="1">
        <f t="shared" si="57"/>
        <v>34.033135894034963</v>
      </c>
      <c r="BD52" s="1">
        <f t="shared" si="58"/>
        <v>0.50437876887805144</v>
      </c>
      <c r="BE52" s="1">
        <f t="shared" si="59"/>
        <v>-35.491775825973711</v>
      </c>
      <c r="BF52" s="1">
        <f t="shared" si="60"/>
        <v>50.394146239785876</v>
      </c>
      <c r="BG52" s="1">
        <f t="shared" si="61"/>
        <v>5.0437876878389284E-2</v>
      </c>
      <c r="BH52" s="1">
        <f t="shared" si="62"/>
        <v>9.8629557907743521</v>
      </c>
      <c r="BI52" s="1">
        <f t="shared" si="63"/>
        <v>5.0394146230378185</v>
      </c>
      <c r="BJ52" s="1">
        <f t="shared" si="64"/>
        <v>4.2544827350411296</v>
      </c>
      <c r="BK52" s="1">
        <f t="shared" si="65"/>
        <v>-35.491775825973711</v>
      </c>
      <c r="BL52" s="1">
        <f t="shared" si="66"/>
        <v>425.07940134201942</v>
      </c>
      <c r="BM52" s="1">
        <f t="shared" si="67"/>
        <v>3.8005418430414672</v>
      </c>
      <c r="BN52" s="1">
        <f t="shared" si="68"/>
        <v>9.8629557907743521</v>
      </c>
      <c r="BO52" s="1">
        <f t="shared" si="69"/>
        <v>379.72466972527133</v>
      </c>
      <c r="BQ52" s="9">
        <v>3.14</v>
      </c>
      <c r="BR52" s="10">
        <v>0.22181100240000001</v>
      </c>
      <c r="BS52" s="9">
        <v>0.18104824</v>
      </c>
      <c r="BU52" s="10">
        <f t="shared" si="70"/>
        <v>4.1770824382695828</v>
      </c>
      <c r="BV52" s="10">
        <f t="shared" si="71"/>
        <v>7.7400296771546806E-2</v>
      </c>
      <c r="BW52" s="10">
        <f t="shared" si="72"/>
        <v>4.2544827350411296</v>
      </c>
      <c r="BY52" s="10">
        <f t="shared" si="73"/>
        <v>3.14</v>
      </c>
      <c r="BZ52" s="10">
        <f t="shared" si="74"/>
        <v>0</v>
      </c>
      <c r="CA52" s="10">
        <f t="shared" si="75"/>
        <v>5.0437876878389284E-2</v>
      </c>
      <c r="CB52" s="10">
        <f t="shared" si="76"/>
        <v>0.4539408919996622</v>
      </c>
      <c r="CC52" s="10">
        <f t="shared" si="77"/>
        <v>0.61010396616307805</v>
      </c>
      <c r="CD52" s="10">
        <f t="shared" si="78"/>
        <v>4.2544827350411296</v>
      </c>
      <c r="CF52" s="1">
        <f t="shared" si="79"/>
        <v>0</v>
      </c>
    </row>
    <row r="53" spans="2:84" x14ac:dyDescent="0.2">
      <c r="B53" s="14" t="s">
        <v>128</v>
      </c>
      <c r="C53" s="13" t="s">
        <v>78</v>
      </c>
      <c r="D53" s="13">
        <v>0</v>
      </c>
      <c r="E53" s="13">
        <v>0.15985314340000001</v>
      </c>
      <c r="F53" s="13">
        <v>0</v>
      </c>
      <c r="G53" s="13">
        <v>5.3101897240000001E-2</v>
      </c>
      <c r="H53" s="13">
        <v>0.13183228590000001</v>
      </c>
      <c r="I53" s="13">
        <v>0</v>
      </c>
      <c r="J53" s="13">
        <v>0</v>
      </c>
      <c r="K53" s="13">
        <v>4.6541370280000001E-2</v>
      </c>
      <c r="L53" s="13">
        <v>99124.320160000003</v>
      </c>
      <c r="M53" s="13">
        <v>54251.997770000002</v>
      </c>
      <c r="N53" s="13">
        <v>1.6761597559999999</v>
      </c>
      <c r="O53" s="11">
        <f t="shared" si="40"/>
        <v>0.19808570334166625</v>
      </c>
      <c r="Q53" s="16">
        <v>99.913297999999998</v>
      </c>
      <c r="R53" s="16">
        <v>-21.727401</v>
      </c>
      <c r="S53" s="16">
        <v>66.936656999999997</v>
      </c>
      <c r="T53" s="16">
        <v>41.693038999999999</v>
      </c>
      <c r="U53" s="16">
        <v>41.333942999999998</v>
      </c>
      <c r="V53" s="11">
        <v>21.986353300000001</v>
      </c>
      <c r="W53" s="17"/>
      <c r="X53" s="17"/>
      <c r="Y53" s="16">
        <v>20.978031999999999</v>
      </c>
      <c r="Z53" s="16">
        <v>12.546751</v>
      </c>
      <c r="AA53" s="16"/>
      <c r="AB53" s="17"/>
      <c r="AC53" s="17"/>
      <c r="AD53" s="17"/>
      <c r="AE53" s="17"/>
      <c r="AF53" s="17"/>
      <c r="AG53" s="17"/>
      <c r="AH53" s="16">
        <v>5.8887289999999997</v>
      </c>
      <c r="AI53" s="16">
        <v>0</v>
      </c>
      <c r="AJ53" s="16">
        <v>796.73600799999997</v>
      </c>
      <c r="AK53" s="16">
        <v>0</v>
      </c>
      <c r="AM53" s="1" t="str">
        <f t="shared" si="41"/>
        <v>NE_TSC:H2</v>
      </c>
      <c r="AN53" s="1" t="str">
        <f t="shared" si="42"/>
        <v>Ethane</v>
      </c>
      <c r="AO53" s="12">
        <f t="shared" si="43"/>
        <v>876.3797310155519</v>
      </c>
      <c r="AP53" s="12">
        <f t="shared" si="44"/>
        <v>876.3797310155519</v>
      </c>
      <c r="AQ53" s="5">
        <f t="shared" si="45"/>
        <v>0</v>
      </c>
      <c r="AR53" s="12">
        <f t="shared" si="46"/>
        <v>1251.0649861306997</v>
      </c>
      <c r="AS53" s="12">
        <f t="shared" si="47"/>
        <v>1251.0649861306997</v>
      </c>
      <c r="AT53" s="5">
        <f t="shared" si="48"/>
        <v>0</v>
      </c>
      <c r="AU53" s="5">
        <f t="shared" si="49"/>
        <v>0</v>
      </c>
      <c r="AV53" s="1">
        <f t="shared" si="50"/>
        <v>-37.769603179004861</v>
      </c>
      <c r="AW53" s="1">
        <f t="shared" si="51"/>
        <v>0</v>
      </c>
      <c r="AX53" s="1">
        <f t="shared" si="52"/>
        <v>414.04082420313915</v>
      </c>
      <c r="AY53" s="1">
        <f t="shared" si="53"/>
        <v>14.619526711200821</v>
      </c>
      <c r="AZ53" s="1">
        <f t="shared" si="54"/>
        <v>0</v>
      </c>
      <c r="BA53" s="1">
        <f t="shared" si="55"/>
        <v>236.76830668400294</v>
      </c>
      <c r="BB53" s="1">
        <f t="shared" si="56"/>
        <v>129.58629754527846</v>
      </c>
      <c r="BC53" s="1">
        <f t="shared" si="57"/>
        <v>31.564969297130897</v>
      </c>
      <c r="BD53" s="1">
        <f t="shared" si="58"/>
        <v>0.8764540006857201</v>
      </c>
      <c r="BE53" s="1">
        <f t="shared" si="59"/>
        <v>0</v>
      </c>
      <c r="BF53" s="1">
        <f t="shared" si="60"/>
        <v>87.56940975380455</v>
      </c>
      <c r="BG53" s="1">
        <f t="shared" si="61"/>
        <v>0.8764540006857201</v>
      </c>
      <c r="BH53" s="1">
        <f t="shared" si="62"/>
        <v>0</v>
      </c>
      <c r="BI53" s="1">
        <f t="shared" si="63"/>
        <v>87.56940975380455</v>
      </c>
      <c r="BJ53" s="1">
        <f t="shared" si="64"/>
        <v>4.6265579669780523</v>
      </c>
      <c r="BK53" s="1">
        <f t="shared" si="65"/>
        <v>0</v>
      </c>
      <c r="BL53" s="1">
        <f t="shared" si="66"/>
        <v>462.25466486895232</v>
      </c>
      <c r="BM53" s="1">
        <f t="shared" si="67"/>
        <v>4.6265579669780523</v>
      </c>
      <c r="BN53" s="1">
        <f t="shared" si="68"/>
        <v>0</v>
      </c>
      <c r="BO53" s="1">
        <f t="shared" si="69"/>
        <v>462.25466486895232</v>
      </c>
      <c r="BQ53" s="9">
        <v>3.14</v>
      </c>
      <c r="BR53" s="10">
        <v>0.22181100240000001</v>
      </c>
      <c r="BS53" s="9">
        <v>0.18104824</v>
      </c>
      <c r="BU53" s="10">
        <f t="shared" si="70"/>
        <v>4.1770824382695828</v>
      </c>
      <c r="BV53" s="10">
        <f t="shared" si="71"/>
        <v>0.44947552870846952</v>
      </c>
      <c r="BW53" s="10">
        <f t="shared" si="72"/>
        <v>4.6265579669780523</v>
      </c>
      <c r="BY53" s="10">
        <f t="shared" si="73"/>
        <v>3.14</v>
      </c>
      <c r="BZ53" s="10">
        <f t="shared" si="74"/>
        <v>0</v>
      </c>
      <c r="CA53" s="10">
        <f t="shared" si="75"/>
        <v>0.8764540006857201</v>
      </c>
      <c r="CB53" s="10">
        <f t="shared" si="76"/>
        <v>0</v>
      </c>
      <c r="CC53" s="10">
        <f t="shared" si="77"/>
        <v>0.61010396629233199</v>
      </c>
      <c r="CD53" s="10">
        <f t="shared" si="78"/>
        <v>4.6265579669780523</v>
      </c>
      <c r="CF53" s="1">
        <f t="shared" si="79"/>
        <v>0</v>
      </c>
    </row>
    <row r="54" spans="2:84" x14ac:dyDescent="0.2">
      <c r="B54" s="14" t="s">
        <v>129</v>
      </c>
      <c r="C54" s="13" t="s">
        <v>78</v>
      </c>
      <c r="D54" s="13">
        <v>0</v>
      </c>
      <c r="E54" s="13">
        <v>0.15985314340000001</v>
      </c>
      <c r="F54" s="13">
        <v>9.3887366979999998E-3</v>
      </c>
      <c r="G54" s="13">
        <v>5.3101897240000001E-2</v>
      </c>
      <c r="H54" s="13">
        <v>0.13183228590000001</v>
      </c>
      <c r="I54" s="13">
        <v>0</v>
      </c>
      <c r="J54" s="13">
        <v>4.1887233259999997E-2</v>
      </c>
      <c r="K54" s="13">
        <v>4.6541370279999999E-3</v>
      </c>
      <c r="L54" s="13">
        <v>106900.97410000001</v>
      </c>
      <c r="M54" s="13">
        <v>58510.185810000003</v>
      </c>
      <c r="N54" s="13">
        <v>1.807660423</v>
      </c>
      <c r="O54" s="11">
        <f t="shared" si="40"/>
        <v>0.19808570329275269</v>
      </c>
      <c r="Q54" s="16">
        <v>99.913297999999998</v>
      </c>
      <c r="R54" s="16">
        <v>-21.727401</v>
      </c>
      <c r="S54" s="16">
        <v>66.936656999999997</v>
      </c>
      <c r="T54" s="16">
        <v>41.693038999999999</v>
      </c>
      <c r="U54" s="16">
        <v>41.333942999999998</v>
      </c>
      <c r="V54" s="11">
        <v>21.986353300000001</v>
      </c>
      <c r="W54" s="17"/>
      <c r="X54" s="17"/>
      <c r="Y54" s="16">
        <v>20.978031999999999</v>
      </c>
      <c r="Z54" s="16">
        <v>12.546751</v>
      </c>
      <c r="AA54" s="16"/>
      <c r="AB54" s="17"/>
      <c r="AC54" s="17"/>
      <c r="AD54" s="17"/>
      <c r="AE54" s="17"/>
      <c r="AF54" s="17"/>
      <c r="AG54" s="17"/>
      <c r="AH54" s="16">
        <v>5.8887289999999997</v>
      </c>
      <c r="AI54" s="16">
        <v>0</v>
      </c>
      <c r="AJ54" s="16">
        <v>796.73600799999997</v>
      </c>
      <c r="AK54" s="16">
        <v>0</v>
      </c>
      <c r="AM54" s="1" t="str">
        <f t="shared" si="41"/>
        <v>NE_TSC+CC90:H2</v>
      </c>
      <c r="AN54" s="1" t="str">
        <f t="shared" si="42"/>
        <v>Ethane</v>
      </c>
      <c r="AO54" s="12">
        <f t="shared" si="43"/>
        <v>849.63786774086236</v>
      </c>
      <c r="AP54" s="12">
        <f t="shared" si="44"/>
        <v>849.63786774086236</v>
      </c>
      <c r="AQ54" s="5">
        <f t="shared" si="45"/>
        <v>0</v>
      </c>
      <c r="AR54" s="12">
        <f t="shared" si="46"/>
        <v>1224.3231228409577</v>
      </c>
      <c r="AS54" s="12">
        <f t="shared" si="47"/>
        <v>1224.3231228409577</v>
      </c>
      <c r="AT54" s="5">
        <f t="shared" si="48"/>
        <v>0</v>
      </c>
      <c r="AU54" s="5">
        <f t="shared" si="49"/>
        <v>0</v>
      </c>
      <c r="AV54" s="1">
        <f t="shared" si="50"/>
        <v>-37.769603179004861</v>
      </c>
      <c r="AW54" s="1">
        <f t="shared" si="51"/>
        <v>3.7090429744920037</v>
      </c>
      <c r="AX54" s="1">
        <f t="shared" si="52"/>
        <v>414.04082420313915</v>
      </c>
      <c r="AY54" s="1">
        <f t="shared" si="53"/>
        <v>14.619526711200821</v>
      </c>
      <c r="AZ54" s="1">
        <f t="shared" si="54"/>
        <v>0</v>
      </c>
      <c r="BA54" s="1">
        <f t="shared" si="55"/>
        <v>255.34361879781346</v>
      </c>
      <c r="BB54" s="1">
        <f t="shared" si="56"/>
        <v>139.75740358812948</v>
      </c>
      <c r="BC54" s="1">
        <f t="shared" si="57"/>
        <v>34.041352888580896</v>
      </c>
      <c r="BD54" s="1">
        <f t="shared" si="58"/>
        <v>0.87645400083637381</v>
      </c>
      <c r="BE54" s="1">
        <f t="shared" si="59"/>
        <v>-61.673708012345465</v>
      </c>
      <c r="BF54" s="1">
        <f t="shared" si="60"/>
        <v>87.569409768856858</v>
      </c>
      <c r="BG54" s="1">
        <f t="shared" si="61"/>
        <v>8.7645400068572007E-2</v>
      </c>
      <c r="BH54" s="1">
        <f t="shared" si="62"/>
        <v>17.138760781130937</v>
      </c>
      <c r="BI54" s="1">
        <f t="shared" si="63"/>
        <v>8.7569409753804557</v>
      </c>
      <c r="BJ54" s="1">
        <f t="shared" si="64"/>
        <v>4.6265579669780523</v>
      </c>
      <c r="BK54" s="1">
        <f t="shared" si="65"/>
        <v>-61.673708012345465</v>
      </c>
      <c r="BL54" s="1">
        <f t="shared" si="66"/>
        <v>462.25466486895232</v>
      </c>
      <c r="BM54" s="1">
        <f t="shared" si="67"/>
        <v>3.8377493662102502</v>
      </c>
      <c r="BN54" s="1">
        <f t="shared" si="68"/>
        <v>17.138760781130937</v>
      </c>
      <c r="BO54" s="1">
        <f t="shared" si="69"/>
        <v>383.44219607547586</v>
      </c>
      <c r="BQ54" s="9">
        <v>3.14</v>
      </c>
      <c r="BR54" s="10">
        <v>0.22181100240000001</v>
      </c>
      <c r="BS54" s="9">
        <v>0.18104824</v>
      </c>
      <c r="BU54" s="10">
        <f t="shared" si="70"/>
        <v>4.1770824382695828</v>
      </c>
      <c r="BV54" s="10">
        <f t="shared" si="71"/>
        <v>0.44947552870846952</v>
      </c>
      <c r="BW54" s="10">
        <f t="shared" si="72"/>
        <v>4.6265579669780523</v>
      </c>
      <c r="BY54" s="10">
        <f t="shared" si="73"/>
        <v>3.14</v>
      </c>
      <c r="BZ54" s="10">
        <f t="shared" si="74"/>
        <v>0</v>
      </c>
      <c r="CA54" s="10">
        <f t="shared" si="75"/>
        <v>8.7645400068572007E-2</v>
      </c>
      <c r="CB54" s="10">
        <f t="shared" si="76"/>
        <v>0.78880860076780179</v>
      </c>
      <c r="CC54" s="10">
        <f t="shared" si="77"/>
        <v>0.61010396614167828</v>
      </c>
      <c r="CD54" s="10">
        <f t="shared" si="78"/>
        <v>4.6265579669780523</v>
      </c>
      <c r="CF54" s="1">
        <f t="shared" si="79"/>
        <v>0</v>
      </c>
    </row>
    <row r="55" spans="2:84" x14ac:dyDescent="0.2">
      <c r="B55" s="14" t="s">
        <v>130</v>
      </c>
      <c r="C55" s="13" t="s">
        <v>78</v>
      </c>
      <c r="D55" s="13">
        <v>2.226644157E-2</v>
      </c>
      <c r="E55" s="13">
        <v>0</v>
      </c>
      <c r="F55" s="13">
        <v>0</v>
      </c>
      <c r="G55" s="13">
        <v>5.3101897240000001E-2</v>
      </c>
      <c r="H55" s="13">
        <v>0</v>
      </c>
      <c r="I55" s="13">
        <v>0</v>
      </c>
      <c r="J55" s="13">
        <v>0</v>
      </c>
      <c r="K55" s="13">
        <v>2.2673366949999999E-2</v>
      </c>
      <c r="L55" s="13">
        <v>99124.320160000003</v>
      </c>
      <c r="M55" s="13">
        <v>54251.997770000002</v>
      </c>
      <c r="N55" s="13">
        <v>1.6761597559999999</v>
      </c>
      <c r="O55" s="11">
        <f t="shared" si="40"/>
        <v>0.19808570329659347</v>
      </c>
      <c r="Q55" s="16">
        <v>99.913297999999998</v>
      </c>
      <c r="R55" s="16">
        <v>-21.727401</v>
      </c>
      <c r="S55" s="16">
        <v>66.936656999999997</v>
      </c>
      <c r="T55" s="16">
        <v>41.693038999999999</v>
      </c>
      <c r="U55" s="16">
        <v>41.333942999999998</v>
      </c>
      <c r="V55" s="11">
        <v>21.986353300000001</v>
      </c>
      <c r="W55" s="17"/>
      <c r="X55" s="17"/>
      <c r="Y55" s="16">
        <v>20.978031999999999</v>
      </c>
      <c r="Z55" s="16">
        <v>12.546751</v>
      </c>
      <c r="AA55" s="16"/>
      <c r="AB55" s="17"/>
      <c r="AC55" s="17"/>
      <c r="AD55" s="17"/>
      <c r="AE55" s="17"/>
      <c r="AF55" s="17"/>
      <c r="AG55" s="17"/>
      <c r="AH55" s="16">
        <v>5.8887289999999997</v>
      </c>
      <c r="AI55" s="16">
        <v>0</v>
      </c>
      <c r="AJ55" s="16">
        <v>796.73600799999997</v>
      </c>
      <c r="AK55" s="16">
        <v>0</v>
      </c>
      <c r="AM55" s="1" t="str">
        <f t="shared" si="41"/>
        <v>NE_TSC+H2in</v>
      </c>
      <c r="AN55" s="1" t="str">
        <f t="shared" si="42"/>
        <v>Ethane</v>
      </c>
      <c r="AO55" s="12">
        <f t="shared" si="43"/>
        <v>859.8822705634409</v>
      </c>
      <c r="AP55" s="12">
        <f t="shared" si="44"/>
        <v>859.8822705634409</v>
      </c>
      <c r="AQ55" s="5">
        <f t="shared" si="45"/>
        <v>0</v>
      </c>
      <c r="AR55" s="12">
        <f t="shared" si="46"/>
        <v>1234.5675256647182</v>
      </c>
      <c r="AS55" s="12">
        <f t="shared" si="47"/>
        <v>1234.5675256647182</v>
      </c>
      <c r="AT55" s="5">
        <f t="shared" si="48"/>
        <v>0</v>
      </c>
      <c r="AU55" s="5">
        <f t="shared" si="49"/>
        <v>5.2610455097713018</v>
      </c>
      <c r="AV55" s="1">
        <f t="shared" si="50"/>
        <v>0</v>
      </c>
      <c r="AW55" s="1">
        <f t="shared" si="51"/>
        <v>0</v>
      </c>
      <c r="AX55" s="1">
        <f t="shared" si="52"/>
        <v>414.04082420313915</v>
      </c>
      <c r="AY55" s="1">
        <f t="shared" si="53"/>
        <v>0</v>
      </c>
      <c r="AZ55" s="1">
        <f t="shared" si="54"/>
        <v>0</v>
      </c>
      <c r="BA55" s="1">
        <f t="shared" si="55"/>
        <v>236.76830668400294</v>
      </c>
      <c r="BB55" s="1">
        <f t="shared" si="56"/>
        <v>129.58629754527846</v>
      </c>
      <c r="BC55" s="1">
        <f t="shared" si="57"/>
        <v>31.564969297130897</v>
      </c>
      <c r="BD55" s="1">
        <f t="shared" si="58"/>
        <v>0.42697847211607459</v>
      </c>
      <c r="BE55" s="1">
        <f t="shared" si="59"/>
        <v>0</v>
      </c>
      <c r="BF55" s="1">
        <f t="shared" si="60"/>
        <v>42.660827324118053</v>
      </c>
      <c r="BG55" s="1">
        <f t="shared" si="61"/>
        <v>0.42697847211607459</v>
      </c>
      <c r="BH55" s="1">
        <f t="shared" si="62"/>
        <v>0</v>
      </c>
      <c r="BI55" s="1">
        <f t="shared" si="63"/>
        <v>42.660827324118053</v>
      </c>
      <c r="BJ55" s="1">
        <f t="shared" si="64"/>
        <v>4.1770824382695828</v>
      </c>
      <c r="BK55" s="1">
        <f t="shared" si="65"/>
        <v>0</v>
      </c>
      <c r="BL55" s="1">
        <f t="shared" si="66"/>
        <v>417.34608242539542</v>
      </c>
      <c r="BM55" s="1">
        <f t="shared" si="67"/>
        <v>4.1770824382695828</v>
      </c>
      <c r="BN55" s="1">
        <f t="shared" si="68"/>
        <v>0</v>
      </c>
      <c r="BO55" s="1">
        <f t="shared" si="69"/>
        <v>417.34608242539542</v>
      </c>
      <c r="BQ55" s="9">
        <v>3.14</v>
      </c>
      <c r="BR55" s="10">
        <v>0.22181100240000001</v>
      </c>
      <c r="BS55" s="9">
        <v>0.18104824</v>
      </c>
      <c r="BU55" s="10">
        <f t="shared" si="70"/>
        <v>4.1770824382695828</v>
      </c>
      <c r="BV55" s="10">
        <f t="shared" si="71"/>
        <v>0</v>
      </c>
      <c r="BW55" s="10">
        <f t="shared" si="72"/>
        <v>4.1770824382695828</v>
      </c>
      <c r="BY55" s="10">
        <f t="shared" si="73"/>
        <v>3.14</v>
      </c>
      <c r="BZ55" s="10">
        <f t="shared" si="74"/>
        <v>0</v>
      </c>
      <c r="CA55" s="10">
        <f t="shared" si="75"/>
        <v>0.42697847211607459</v>
      </c>
      <c r="CB55" s="10">
        <f t="shared" si="76"/>
        <v>0</v>
      </c>
      <c r="CC55" s="10">
        <f t="shared" si="77"/>
        <v>0.61010396615350793</v>
      </c>
      <c r="CD55" s="10">
        <f t="shared" si="78"/>
        <v>4.1770824382695828</v>
      </c>
      <c r="CF55" s="1">
        <f t="shared" si="79"/>
        <v>0</v>
      </c>
    </row>
    <row r="56" spans="2:84" x14ac:dyDescent="0.2">
      <c r="B56" s="14" t="s">
        <v>131</v>
      </c>
      <c r="C56" s="13" t="s">
        <v>78</v>
      </c>
      <c r="D56" s="13">
        <v>0.1375867019</v>
      </c>
      <c r="E56" s="13">
        <v>0</v>
      </c>
      <c r="F56" s="13">
        <v>0</v>
      </c>
      <c r="G56" s="13">
        <v>5.3101897240000001E-2</v>
      </c>
      <c r="H56" s="13">
        <v>0</v>
      </c>
      <c r="I56" s="13">
        <v>0.11814249659999999</v>
      </c>
      <c r="J56" s="13">
        <v>0</v>
      </c>
      <c r="K56" s="13">
        <v>1.283875878E-3</v>
      </c>
      <c r="L56" s="13">
        <v>99124.320160000003</v>
      </c>
      <c r="M56" s="13">
        <v>54251.997770000002</v>
      </c>
      <c r="N56" s="13">
        <v>1.6761597559999999</v>
      </c>
      <c r="O56" s="11">
        <f t="shared" si="40"/>
        <v>0.19808570325601987</v>
      </c>
      <c r="Q56" s="16">
        <v>99.913297999999998</v>
      </c>
      <c r="R56" s="16">
        <v>-21.727401</v>
      </c>
      <c r="S56" s="16">
        <v>66.936656999999997</v>
      </c>
      <c r="T56" s="16">
        <v>41.693038999999999</v>
      </c>
      <c r="U56" s="16">
        <v>41.333942999999998</v>
      </c>
      <c r="V56" s="11">
        <v>21.986353300000001</v>
      </c>
      <c r="W56" s="17"/>
      <c r="X56" s="17"/>
      <c r="Y56" s="16">
        <v>20.978031999999999</v>
      </c>
      <c r="Z56" s="16">
        <v>12.546751</v>
      </c>
      <c r="AA56" s="16"/>
      <c r="AB56" s="17"/>
      <c r="AC56" s="17"/>
      <c r="AD56" s="17"/>
      <c r="AE56" s="17"/>
      <c r="AF56" s="17"/>
      <c r="AG56" s="17"/>
      <c r="AH56" s="16">
        <v>5.8887289999999997</v>
      </c>
      <c r="AI56" s="16">
        <v>0</v>
      </c>
      <c r="AJ56" s="16">
        <v>796.73600799999997</v>
      </c>
      <c r="AK56" s="16">
        <v>0</v>
      </c>
      <c r="AM56" s="1" t="str">
        <f t="shared" si="41"/>
        <v>NE_TSC+H2in:CH4</v>
      </c>
      <c r="AN56" s="1" t="str">
        <f t="shared" si="42"/>
        <v>Ethane</v>
      </c>
      <c r="AO56" s="12">
        <f t="shared" si="43"/>
        <v>874.02838370555367</v>
      </c>
      <c r="AP56" s="12">
        <f t="shared" si="44"/>
        <v>874.02838370555367</v>
      </c>
      <c r="AQ56" s="5">
        <f t="shared" si="45"/>
        <v>0</v>
      </c>
      <c r="AR56" s="12">
        <f t="shared" si="46"/>
        <v>1248.7136387943451</v>
      </c>
      <c r="AS56" s="12">
        <f t="shared" si="47"/>
        <v>1248.7136387943451</v>
      </c>
      <c r="AT56" s="5">
        <f t="shared" si="48"/>
        <v>0</v>
      </c>
      <c r="AU56" s="5">
        <f t="shared" si="49"/>
        <v>32.508557685772942</v>
      </c>
      <c r="AV56" s="1">
        <f t="shared" si="50"/>
        <v>0</v>
      </c>
      <c r="AW56" s="1">
        <f t="shared" si="51"/>
        <v>0</v>
      </c>
      <c r="AX56" s="1">
        <f t="shared" si="52"/>
        <v>414.04082420313915</v>
      </c>
      <c r="AY56" s="1">
        <f t="shared" si="53"/>
        <v>0</v>
      </c>
      <c r="AZ56" s="1">
        <f t="shared" si="54"/>
        <v>-13.101399046374663</v>
      </c>
      <c r="BA56" s="1">
        <f t="shared" si="55"/>
        <v>236.76830668400294</v>
      </c>
      <c r="BB56" s="1">
        <f t="shared" si="56"/>
        <v>129.58629754527846</v>
      </c>
      <c r="BC56" s="1">
        <f t="shared" si="57"/>
        <v>31.564969297130897</v>
      </c>
      <c r="BD56" s="1">
        <f t="shared" si="58"/>
        <v>0.42697847224104163</v>
      </c>
      <c r="BE56" s="1">
        <f t="shared" si="59"/>
        <v>0</v>
      </c>
      <c r="BF56" s="1">
        <f t="shared" si="60"/>
        <v>42.660827336603916</v>
      </c>
      <c r="BG56" s="1">
        <f t="shared" si="61"/>
        <v>0.42697847224104163</v>
      </c>
      <c r="BH56" s="1">
        <f t="shared" si="62"/>
        <v>0</v>
      </c>
      <c r="BI56" s="1">
        <f t="shared" si="63"/>
        <v>42.660827336603916</v>
      </c>
      <c r="BJ56" s="1">
        <f t="shared" si="64"/>
        <v>4.1770824382695828</v>
      </c>
      <c r="BK56" s="1">
        <f t="shared" si="65"/>
        <v>0</v>
      </c>
      <c r="BL56" s="1">
        <f t="shared" si="66"/>
        <v>417.34608242539542</v>
      </c>
      <c r="BM56" s="1">
        <f t="shared" si="67"/>
        <v>4.1770824382695828</v>
      </c>
      <c r="BN56" s="1">
        <f t="shared" si="68"/>
        <v>0</v>
      </c>
      <c r="BO56" s="1">
        <f t="shared" si="69"/>
        <v>417.34608242539542</v>
      </c>
      <c r="BQ56" s="9">
        <v>3.14</v>
      </c>
      <c r="BR56" s="10">
        <v>0.22181100240000001</v>
      </c>
      <c r="BS56" s="9">
        <v>0.18104824</v>
      </c>
      <c r="BU56" s="10">
        <f t="shared" si="70"/>
        <v>4.1770824382695828</v>
      </c>
      <c r="BV56" s="10">
        <f t="shared" si="71"/>
        <v>0</v>
      </c>
      <c r="BW56" s="10">
        <f t="shared" si="72"/>
        <v>4.1770824382695828</v>
      </c>
      <c r="BY56" s="10">
        <f t="shared" si="73"/>
        <v>3.14</v>
      </c>
      <c r="BZ56" s="10">
        <f t="shared" si="74"/>
        <v>0.40280088264951763</v>
      </c>
      <c r="CA56" s="10">
        <f t="shared" si="75"/>
        <v>2.4177589591523982E-2</v>
      </c>
      <c r="CB56" s="10">
        <f t="shared" si="76"/>
        <v>0</v>
      </c>
      <c r="CC56" s="10">
        <f t="shared" si="77"/>
        <v>0.61010396602854122</v>
      </c>
      <c r="CD56" s="10">
        <f t="shared" si="78"/>
        <v>4.1770824382695828</v>
      </c>
      <c r="CF56" s="1">
        <f t="shared" si="79"/>
        <v>0</v>
      </c>
    </row>
    <row r="57" spans="2:84" x14ac:dyDescent="0.2">
      <c r="B57" s="14" t="s">
        <v>132</v>
      </c>
      <c r="C57" s="13" t="s">
        <v>78</v>
      </c>
      <c r="D57" s="13">
        <v>0</v>
      </c>
      <c r="E57" s="13">
        <v>0.15985314340000001</v>
      </c>
      <c r="F57" s="13">
        <v>0.19138279329999999</v>
      </c>
      <c r="G57" s="13">
        <v>5.3101897240000001E-2</v>
      </c>
      <c r="H57" s="13">
        <v>0</v>
      </c>
      <c r="I57" s="13">
        <v>0.11814249659999999</v>
      </c>
      <c r="J57" s="13">
        <v>0</v>
      </c>
      <c r="K57" s="13">
        <v>1.283875878E-3</v>
      </c>
      <c r="L57" s="13">
        <v>131324.11480000001</v>
      </c>
      <c r="M57" s="13">
        <v>71875.354000000007</v>
      </c>
      <c r="N57" s="13">
        <v>2.2206477329999998</v>
      </c>
      <c r="O57" s="11">
        <f t="shared" si="40"/>
        <v>0.19808570325601987</v>
      </c>
      <c r="Q57" s="17">
        <v>99.913297999999998</v>
      </c>
      <c r="R57" s="17">
        <v>-5.387721</v>
      </c>
      <c r="S57" s="16">
        <v>69.443859000000003</v>
      </c>
      <c r="T57" s="16">
        <v>44.089523</v>
      </c>
      <c r="U57" s="16">
        <v>38.115627000000003</v>
      </c>
      <c r="V57" s="11">
        <v>21.986353300000001</v>
      </c>
      <c r="W57" s="17"/>
      <c r="X57" s="17"/>
      <c r="Y57" s="16">
        <v>19.219857999999999</v>
      </c>
      <c r="Z57" s="16">
        <v>4.6412560000000003</v>
      </c>
      <c r="AA57" s="17"/>
      <c r="AB57" s="17"/>
      <c r="AC57" s="17"/>
      <c r="AD57" s="17"/>
      <c r="AE57" s="17"/>
      <c r="AF57" s="17"/>
      <c r="AG57" s="17"/>
      <c r="AH57" s="16">
        <v>-3.1358760000000001</v>
      </c>
      <c r="AI57" s="16">
        <v>-4.5195569999999998</v>
      </c>
      <c r="AJ57" s="16">
        <v>796.73600799999997</v>
      </c>
      <c r="AK57" s="16">
        <v>0</v>
      </c>
      <c r="AM57" s="1" t="str">
        <f t="shared" si="41"/>
        <v>CA_ESC</v>
      </c>
      <c r="AN57" s="1" t="str">
        <f t="shared" si="42"/>
        <v>Ethane</v>
      </c>
      <c r="AO57" s="12">
        <f t="shared" si="43"/>
        <v>1046.1572430901124</v>
      </c>
      <c r="AP57" s="12">
        <f t="shared" si="44"/>
        <v>1046.1572430901124</v>
      </c>
      <c r="AQ57" s="5">
        <f t="shared" si="45"/>
        <v>0</v>
      </c>
      <c r="AR57" s="12">
        <f t="shared" si="46"/>
        <v>1420.842498178904</v>
      </c>
      <c r="AS57" s="12">
        <f t="shared" si="47"/>
        <v>1420.842498178904</v>
      </c>
      <c r="AT57" s="5">
        <f t="shared" si="48"/>
        <v>0</v>
      </c>
      <c r="AU57" s="5">
        <f t="shared" si="49"/>
        <v>0</v>
      </c>
      <c r="AV57" s="1">
        <f t="shared" si="50"/>
        <v>-13.97161682511874</v>
      </c>
      <c r="AW57" s="1">
        <f t="shared" si="51"/>
        <v>69.26965517342316</v>
      </c>
      <c r="AX57" s="1">
        <f t="shared" si="52"/>
        <v>414.04082420313915</v>
      </c>
      <c r="AY57" s="1">
        <f t="shared" si="53"/>
        <v>0</v>
      </c>
      <c r="AZ57" s="1">
        <f t="shared" si="54"/>
        <v>6.9767793416795367</v>
      </c>
      <c r="BA57" s="1">
        <f t="shared" si="55"/>
        <v>313.68072172180047</v>
      </c>
      <c r="BB57" s="1">
        <f t="shared" si="56"/>
        <v>171.68143833344078</v>
      </c>
      <c r="BC57" s="1">
        <f t="shared" si="57"/>
        <v>41.818613805143954</v>
      </c>
      <c r="BD57" s="1">
        <f t="shared" si="58"/>
        <v>0.42697847224104163</v>
      </c>
      <c r="BE57" s="1">
        <f t="shared" si="59"/>
        <v>0</v>
      </c>
      <c r="BF57" s="1">
        <f t="shared" si="60"/>
        <v>42.660827336603916</v>
      </c>
      <c r="BG57" s="1">
        <f t="shared" si="61"/>
        <v>0.42697847224104163</v>
      </c>
      <c r="BH57" s="1">
        <f t="shared" si="62"/>
        <v>0</v>
      </c>
      <c r="BI57" s="1">
        <f t="shared" si="63"/>
        <v>42.660827336603916</v>
      </c>
      <c r="BJ57" s="1">
        <f t="shared" si="64"/>
        <v>4.1770824382695828</v>
      </c>
      <c r="BK57" s="1">
        <f t="shared" si="65"/>
        <v>0</v>
      </c>
      <c r="BL57" s="1">
        <f t="shared" si="66"/>
        <v>417.34608242539542</v>
      </c>
      <c r="BM57" s="1">
        <f t="shared" si="67"/>
        <v>4.1770824382695828</v>
      </c>
      <c r="BN57" s="1">
        <f t="shared" si="68"/>
        <v>0</v>
      </c>
      <c r="BO57" s="1">
        <f t="shared" si="69"/>
        <v>417.34608242539542</v>
      </c>
      <c r="BQ57" s="9">
        <v>3.14</v>
      </c>
      <c r="BR57" s="10">
        <v>0.22181100240000001</v>
      </c>
      <c r="BS57" s="9">
        <v>0.18104824</v>
      </c>
      <c r="BU57" s="10">
        <f t="shared" si="70"/>
        <v>4.1770824382695828</v>
      </c>
      <c r="BV57" s="10">
        <f t="shared" si="71"/>
        <v>0</v>
      </c>
      <c r="BW57" s="10">
        <f t="shared" si="72"/>
        <v>4.1770824382695828</v>
      </c>
      <c r="BY57" s="10">
        <f t="shared" si="73"/>
        <v>3.14</v>
      </c>
      <c r="BZ57" s="10">
        <f t="shared" si="74"/>
        <v>0.40280088264951763</v>
      </c>
      <c r="CA57" s="10">
        <f t="shared" si="75"/>
        <v>2.4177589591523982E-2</v>
      </c>
      <c r="CB57" s="10">
        <f t="shared" si="76"/>
        <v>0</v>
      </c>
      <c r="CC57" s="10">
        <f t="shared" si="77"/>
        <v>0.61010396602854122</v>
      </c>
      <c r="CD57" s="10">
        <f t="shared" si="78"/>
        <v>4.1770824382695828</v>
      </c>
      <c r="CF57" s="1">
        <f t="shared" si="79"/>
        <v>0</v>
      </c>
    </row>
    <row r="58" spans="2:84" x14ac:dyDescent="0.2">
      <c r="B58" s="14" t="s">
        <v>133</v>
      </c>
      <c r="C58" s="13" t="s">
        <v>78</v>
      </c>
      <c r="D58" s="13">
        <v>0</v>
      </c>
      <c r="E58" s="13">
        <v>0.15985314340000001</v>
      </c>
      <c r="F58" s="13">
        <v>0.19138279329999999</v>
      </c>
      <c r="G58" s="13">
        <v>5.3101897240000001E-2</v>
      </c>
      <c r="H58" s="13">
        <v>0</v>
      </c>
      <c r="I58" s="13">
        <v>0.11814249659999999</v>
      </c>
      <c r="J58" s="13">
        <v>0</v>
      </c>
      <c r="K58" s="13">
        <v>1.283875878E-3</v>
      </c>
      <c r="L58" s="13">
        <v>131324.11480000001</v>
      </c>
      <c r="M58" s="13">
        <v>71875.354000000007</v>
      </c>
      <c r="N58" s="13">
        <v>2.2206477329999998</v>
      </c>
      <c r="O58" s="11">
        <f t="shared" si="40"/>
        <v>0.19808570325601987</v>
      </c>
      <c r="Q58" s="17">
        <v>99.913297999999998</v>
      </c>
      <c r="R58" s="17">
        <v>-5.3212060000000001</v>
      </c>
      <c r="S58" s="16">
        <v>65.718463999999997</v>
      </c>
      <c r="T58" s="16">
        <v>44.094475000000003</v>
      </c>
      <c r="U58" s="16">
        <v>41.170529999999999</v>
      </c>
      <c r="V58" s="11">
        <v>21.986353300000001</v>
      </c>
      <c r="W58" s="17"/>
      <c r="X58" s="17"/>
      <c r="Y58" s="16">
        <v>20.088657000000001</v>
      </c>
      <c r="Z58" s="16">
        <v>6.2383220000000001</v>
      </c>
      <c r="AA58" s="17"/>
      <c r="AB58" s="17"/>
      <c r="AC58" s="17"/>
      <c r="AD58" s="17"/>
      <c r="AE58" s="17"/>
      <c r="AF58" s="17"/>
      <c r="AG58" s="17"/>
      <c r="AH58" s="16">
        <v>-1.2778670000000001</v>
      </c>
      <c r="AI58" s="16">
        <v>-3.0209890000000001</v>
      </c>
      <c r="AJ58" s="16">
        <v>796.73600799999997</v>
      </c>
      <c r="AK58" s="16">
        <v>0</v>
      </c>
      <c r="AM58" s="1" t="str">
        <f t="shared" si="41"/>
        <v>SW_ESC</v>
      </c>
      <c r="AN58" s="1" t="str">
        <f t="shared" si="42"/>
        <v>Ethane</v>
      </c>
      <c r="AO58" s="12">
        <f t="shared" si="43"/>
        <v>1040.3470427228478</v>
      </c>
      <c r="AP58" s="12">
        <f t="shared" si="44"/>
        <v>1040.3470427228478</v>
      </c>
      <c r="AQ58" s="5">
        <f t="shared" si="45"/>
        <v>0</v>
      </c>
      <c r="AR58" s="12">
        <f t="shared" si="46"/>
        <v>1415.0322978116394</v>
      </c>
      <c r="AS58" s="12">
        <f t="shared" si="47"/>
        <v>1415.0322978116394</v>
      </c>
      <c r="AT58" s="5">
        <f t="shared" si="48"/>
        <v>0</v>
      </c>
      <c r="AU58" s="5">
        <f t="shared" si="49"/>
        <v>0</v>
      </c>
      <c r="AV58" s="1">
        <f t="shared" si="50"/>
        <v>-18.779279706981988</v>
      </c>
      <c r="AW58" s="1">
        <f t="shared" si="51"/>
        <v>72.400864943287999</v>
      </c>
      <c r="AX58" s="1">
        <f t="shared" si="52"/>
        <v>414.04082420313915</v>
      </c>
      <c r="AY58" s="1">
        <f t="shared" si="53"/>
        <v>0</v>
      </c>
      <c r="AZ58" s="1">
        <f t="shared" si="54"/>
        <v>2.843032086413495</v>
      </c>
      <c r="BA58" s="1">
        <f t="shared" si="55"/>
        <v>313.68072172180047</v>
      </c>
      <c r="BB58" s="1">
        <f t="shared" si="56"/>
        <v>171.68143833344078</v>
      </c>
      <c r="BC58" s="1">
        <f t="shared" si="57"/>
        <v>41.818613805143954</v>
      </c>
      <c r="BD58" s="1">
        <f t="shared" si="58"/>
        <v>0.42697847224104163</v>
      </c>
      <c r="BE58" s="1">
        <f t="shared" si="59"/>
        <v>0</v>
      </c>
      <c r="BF58" s="1">
        <f t="shared" si="60"/>
        <v>42.660827336603916</v>
      </c>
      <c r="BG58" s="1">
        <f t="shared" si="61"/>
        <v>0.42697847224104163</v>
      </c>
      <c r="BH58" s="1">
        <f t="shared" si="62"/>
        <v>0</v>
      </c>
      <c r="BI58" s="1">
        <f t="shared" si="63"/>
        <v>42.660827336603916</v>
      </c>
      <c r="BJ58" s="1">
        <f t="shared" si="64"/>
        <v>4.1770824382695828</v>
      </c>
      <c r="BK58" s="1">
        <f t="shared" si="65"/>
        <v>0</v>
      </c>
      <c r="BL58" s="1">
        <f t="shared" si="66"/>
        <v>417.34608242539542</v>
      </c>
      <c r="BM58" s="1">
        <f t="shared" si="67"/>
        <v>4.1770824382695828</v>
      </c>
      <c r="BN58" s="1">
        <f t="shared" si="68"/>
        <v>0</v>
      </c>
      <c r="BO58" s="1">
        <f t="shared" si="69"/>
        <v>417.34608242539542</v>
      </c>
      <c r="BQ58" s="9">
        <v>3.14</v>
      </c>
      <c r="BR58" s="10">
        <v>0.22181100240000001</v>
      </c>
      <c r="BS58" s="9">
        <v>0.18104824</v>
      </c>
      <c r="BU58" s="10">
        <f t="shared" si="70"/>
        <v>4.1770824382695828</v>
      </c>
      <c r="BV58" s="10">
        <f t="shared" si="71"/>
        <v>0</v>
      </c>
      <c r="BW58" s="10">
        <f t="shared" si="72"/>
        <v>4.1770824382695828</v>
      </c>
      <c r="BY58" s="10">
        <f t="shared" si="73"/>
        <v>3.14</v>
      </c>
      <c r="BZ58" s="10">
        <f t="shared" si="74"/>
        <v>0.40280088264951763</v>
      </c>
      <c r="CA58" s="10">
        <f t="shared" si="75"/>
        <v>2.4177589591523982E-2</v>
      </c>
      <c r="CB58" s="10">
        <f t="shared" si="76"/>
        <v>0</v>
      </c>
      <c r="CC58" s="10">
        <f t="shared" si="77"/>
        <v>0.61010396602854122</v>
      </c>
      <c r="CD58" s="10">
        <f t="shared" si="78"/>
        <v>4.1770824382695828</v>
      </c>
      <c r="CF58" s="1">
        <f t="shared" si="79"/>
        <v>0</v>
      </c>
    </row>
    <row r="59" spans="2:84" x14ac:dyDescent="0.2">
      <c r="B59" s="14" t="s">
        <v>134</v>
      </c>
      <c r="C59" s="13" t="s">
        <v>78</v>
      </c>
      <c r="D59" s="13">
        <v>0</v>
      </c>
      <c r="E59" s="13">
        <v>0.15985314340000001</v>
      </c>
      <c r="F59" s="13">
        <v>0.19138279329999999</v>
      </c>
      <c r="G59" s="13">
        <v>5.3101897240000001E-2</v>
      </c>
      <c r="H59" s="13">
        <v>0</v>
      </c>
      <c r="I59" s="13">
        <v>0.11814249659999999</v>
      </c>
      <c r="J59" s="13">
        <v>0</v>
      </c>
      <c r="K59" s="13">
        <v>1.283875878E-3</v>
      </c>
      <c r="L59" s="13">
        <v>131324.11480000001</v>
      </c>
      <c r="M59" s="13">
        <v>71875.354000000007</v>
      </c>
      <c r="N59" s="13">
        <v>2.2206477329999998</v>
      </c>
      <c r="O59" s="11">
        <f t="shared" si="40"/>
        <v>0.19808570325601987</v>
      </c>
      <c r="Q59" s="17">
        <v>99.913297999999998</v>
      </c>
      <c r="R59" s="17">
        <v>-5.2801289999999996</v>
      </c>
      <c r="S59" s="16">
        <v>67.915679999999995</v>
      </c>
      <c r="T59" s="16">
        <v>44.074162000000001</v>
      </c>
      <c r="U59" s="16">
        <v>42.063156999999997</v>
      </c>
      <c r="V59" s="11">
        <v>21.986353300000001</v>
      </c>
      <c r="W59" s="17"/>
      <c r="X59" s="17"/>
      <c r="Y59" s="16">
        <v>19.074368</v>
      </c>
      <c r="Z59" s="16">
        <v>5.2387449999999998</v>
      </c>
      <c r="AA59" s="17"/>
      <c r="AB59" s="17"/>
      <c r="AC59" s="17"/>
      <c r="AD59" s="17"/>
      <c r="AE59" s="17"/>
      <c r="AF59" s="17"/>
      <c r="AG59" s="17"/>
      <c r="AH59" s="16">
        <v>-2.438704</v>
      </c>
      <c r="AI59" s="16">
        <v>-3.9563220000000001</v>
      </c>
      <c r="AJ59" s="16">
        <v>796.73600799999997</v>
      </c>
      <c r="AK59" s="16">
        <v>0</v>
      </c>
      <c r="AM59" s="1" t="str">
        <f t="shared" si="41"/>
        <v>NW_ESC</v>
      </c>
      <c r="AN59" s="1" t="str">
        <f t="shared" si="42"/>
        <v>Ethane</v>
      </c>
      <c r="AO59" s="12">
        <f t="shared" si="43"/>
        <v>1042.2831740129948</v>
      </c>
      <c r="AP59" s="12">
        <f t="shared" si="44"/>
        <v>1042.2831740129948</v>
      </c>
      <c r="AQ59" s="5">
        <f t="shared" si="45"/>
        <v>0</v>
      </c>
      <c r="AR59" s="12">
        <f t="shared" si="46"/>
        <v>1416.9684291017863</v>
      </c>
      <c r="AS59" s="12">
        <f t="shared" si="47"/>
        <v>1416.9684291017863</v>
      </c>
      <c r="AT59" s="5">
        <f t="shared" si="48"/>
        <v>0</v>
      </c>
      <c r="AU59" s="5">
        <f t="shared" si="49"/>
        <v>0</v>
      </c>
      <c r="AV59" s="1">
        <f t="shared" si="50"/>
        <v>-15.770243611752223</v>
      </c>
      <c r="AW59" s="1">
        <f t="shared" si="51"/>
        <v>68.745299471566184</v>
      </c>
      <c r="AX59" s="1">
        <f t="shared" si="52"/>
        <v>414.04082420313915</v>
      </c>
      <c r="AY59" s="1">
        <f t="shared" si="53"/>
        <v>0</v>
      </c>
      <c r="AZ59" s="1">
        <f t="shared" si="54"/>
        <v>5.4256927530524974</v>
      </c>
      <c r="BA59" s="1">
        <f t="shared" si="55"/>
        <v>313.68072172180047</v>
      </c>
      <c r="BB59" s="1">
        <f t="shared" si="56"/>
        <v>171.68143833344078</v>
      </c>
      <c r="BC59" s="1">
        <f t="shared" si="57"/>
        <v>41.818613805143954</v>
      </c>
      <c r="BD59" s="1">
        <f t="shared" si="58"/>
        <v>0.42697847224104163</v>
      </c>
      <c r="BE59" s="1">
        <f t="shared" si="59"/>
        <v>0</v>
      </c>
      <c r="BF59" s="1">
        <f t="shared" si="60"/>
        <v>42.660827336603916</v>
      </c>
      <c r="BG59" s="1">
        <f t="shared" si="61"/>
        <v>0.42697847224104163</v>
      </c>
      <c r="BH59" s="1">
        <f t="shared" si="62"/>
        <v>0</v>
      </c>
      <c r="BI59" s="1">
        <f t="shared" si="63"/>
        <v>42.660827336603916</v>
      </c>
      <c r="BJ59" s="1">
        <f t="shared" si="64"/>
        <v>4.1770824382695828</v>
      </c>
      <c r="BK59" s="1">
        <f t="shared" si="65"/>
        <v>0</v>
      </c>
      <c r="BL59" s="1">
        <f t="shared" si="66"/>
        <v>417.34608242539542</v>
      </c>
      <c r="BM59" s="1">
        <f t="shared" si="67"/>
        <v>4.1770824382695828</v>
      </c>
      <c r="BN59" s="1">
        <f t="shared" si="68"/>
        <v>0</v>
      </c>
      <c r="BO59" s="1">
        <f t="shared" si="69"/>
        <v>417.34608242539542</v>
      </c>
      <c r="BQ59" s="9">
        <v>3.14</v>
      </c>
      <c r="BR59" s="10">
        <v>0.22181100240000001</v>
      </c>
      <c r="BS59" s="9">
        <v>0.18104824</v>
      </c>
      <c r="BU59" s="10">
        <f t="shared" si="70"/>
        <v>4.1770824382695828</v>
      </c>
      <c r="BV59" s="10">
        <f t="shared" si="71"/>
        <v>0</v>
      </c>
      <c r="BW59" s="10">
        <f t="shared" si="72"/>
        <v>4.1770824382695828</v>
      </c>
      <c r="BY59" s="10">
        <f t="shared" si="73"/>
        <v>3.14</v>
      </c>
      <c r="BZ59" s="10">
        <f t="shared" si="74"/>
        <v>0.40280088264951763</v>
      </c>
      <c r="CA59" s="10">
        <f t="shared" si="75"/>
        <v>2.4177589591523982E-2</v>
      </c>
      <c r="CB59" s="10">
        <f t="shared" si="76"/>
        <v>0</v>
      </c>
      <c r="CC59" s="10">
        <f t="shared" si="77"/>
        <v>0.61010396602854122</v>
      </c>
      <c r="CD59" s="10">
        <f t="shared" si="78"/>
        <v>4.1770824382695828</v>
      </c>
      <c r="CF59" s="1">
        <f t="shared" si="79"/>
        <v>0</v>
      </c>
    </row>
    <row r="60" spans="2:84" x14ac:dyDescent="0.2">
      <c r="B60" s="14" t="s">
        <v>135</v>
      </c>
      <c r="C60" s="13" t="s">
        <v>78</v>
      </c>
      <c r="D60" s="13">
        <v>0</v>
      </c>
      <c r="E60" s="13">
        <v>0.15985314340000001</v>
      </c>
      <c r="F60" s="13">
        <v>0.19138279329999999</v>
      </c>
      <c r="G60" s="13">
        <v>5.3101897240000001E-2</v>
      </c>
      <c r="H60" s="13">
        <v>0</v>
      </c>
      <c r="I60" s="13">
        <v>0.11814249659999999</v>
      </c>
      <c r="J60" s="13">
        <v>0</v>
      </c>
      <c r="K60" s="13">
        <v>1.283875878E-3</v>
      </c>
      <c r="L60" s="13">
        <v>131324.11480000001</v>
      </c>
      <c r="M60" s="13">
        <v>71875.354000000007</v>
      </c>
      <c r="N60" s="13">
        <v>2.2206477329999998</v>
      </c>
      <c r="O60" s="11">
        <f t="shared" si="40"/>
        <v>0.19808570325601987</v>
      </c>
      <c r="Q60" s="17">
        <v>99.913297999999998</v>
      </c>
      <c r="R60" s="17">
        <v>-4.9988429999999999</v>
      </c>
      <c r="S60" s="16">
        <v>65.086748999999998</v>
      </c>
      <c r="T60" s="16">
        <v>44.879451000000003</v>
      </c>
      <c r="U60" s="16">
        <v>38.220582</v>
      </c>
      <c r="V60" s="11">
        <v>21.986353300000001</v>
      </c>
      <c r="W60" s="17"/>
      <c r="X60" s="17"/>
      <c r="Y60" s="16">
        <v>20.958410000000001</v>
      </c>
      <c r="Z60" s="16">
        <v>6.0598489999999998</v>
      </c>
      <c r="AA60" s="17"/>
      <c r="AB60" s="17"/>
      <c r="AC60" s="17"/>
      <c r="AD60" s="17"/>
      <c r="AE60" s="17"/>
      <c r="AF60" s="17"/>
      <c r="AG60" s="17"/>
      <c r="AH60" s="16">
        <v>-1.4811879999999999</v>
      </c>
      <c r="AI60" s="16">
        <v>-3.2138800000000001</v>
      </c>
      <c r="AJ60" s="16">
        <v>796.73600799999997</v>
      </c>
      <c r="AK60" s="16">
        <v>796.73600799999997</v>
      </c>
      <c r="AM60" s="1" t="str">
        <f t="shared" si="41"/>
        <v>TX_ESC</v>
      </c>
      <c r="AN60" s="1" t="str">
        <f t="shared" si="42"/>
        <v>Ethane</v>
      </c>
      <c r="AO60" s="12">
        <f t="shared" si="43"/>
        <v>1044.471303636624</v>
      </c>
      <c r="AP60" s="12">
        <f t="shared" si="44"/>
        <v>1044.471303636624</v>
      </c>
      <c r="AQ60" s="5">
        <f t="shared" si="45"/>
        <v>0</v>
      </c>
      <c r="AR60" s="12">
        <f t="shared" si="46"/>
        <v>1419.1565587254156</v>
      </c>
      <c r="AS60" s="12">
        <f t="shared" si="47"/>
        <v>1419.1565587254156</v>
      </c>
      <c r="AT60" s="5">
        <f t="shared" si="48"/>
        <v>0</v>
      </c>
      <c r="AU60" s="5">
        <f t="shared" si="49"/>
        <v>0</v>
      </c>
      <c r="AV60" s="1">
        <f t="shared" si="50"/>
        <v>-18.242020747418149</v>
      </c>
      <c r="AW60" s="1">
        <f t="shared" si="51"/>
        <v>75.535512993031674</v>
      </c>
      <c r="AX60" s="1">
        <f t="shared" si="52"/>
        <v>414.04082420313915</v>
      </c>
      <c r="AY60" s="1">
        <f t="shared" si="53"/>
        <v>0</v>
      </c>
      <c r="AZ60" s="1">
        <f t="shared" si="54"/>
        <v>3.2953859908821741</v>
      </c>
      <c r="BA60" s="1">
        <f t="shared" si="55"/>
        <v>313.68072172180047</v>
      </c>
      <c r="BB60" s="1">
        <f t="shared" si="56"/>
        <v>171.68143833344078</v>
      </c>
      <c r="BC60" s="1">
        <f t="shared" si="57"/>
        <v>41.818613805143954</v>
      </c>
      <c r="BD60" s="1">
        <f t="shared" si="58"/>
        <v>0.42697847224104163</v>
      </c>
      <c r="BE60" s="1">
        <f t="shared" si="59"/>
        <v>0</v>
      </c>
      <c r="BF60" s="1">
        <f t="shared" si="60"/>
        <v>42.660827336603916</v>
      </c>
      <c r="BG60" s="1">
        <f t="shared" si="61"/>
        <v>0.42697847224104163</v>
      </c>
      <c r="BH60" s="1">
        <f t="shared" si="62"/>
        <v>0</v>
      </c>
      <c r="BI60" s="1">
        <f t="shared" si="63"/>
        <v>42.660827336603916</v>
      </c>
      <c r="BJ60" s="1">
        <f t="shared" si="64"/>
        <v>4.1770824382695828</v>
      </c>
      <c r="BK60" s="1">
        <f t="shared" si="65"/>
        <v>0</v>
      </c>
      <c r="BL60" s="1">
        <f t="shared" si="66"/>
        <v>417.34608242539542</v>
      </c>
      <c r="BM60" s="1">
        <f t="shared" si="67"/>
        <v>4.1770824382695828</v>
      </c>
      <c r="BN60" s="1">
        <f t="shared" si="68"/>
        <v>0</v>
      </c>
      <c r="BO60" s="1">
        <f t="shared" si="69"/>
        <v>417.34608242539542</v>
      </c>
      <c r="BQ60" s="9">
        <v>3.14</v>
      </c>
      <c r="BR60" s="10">
        <v>0.22181100240000001</v>
      </c>
      <c r="BS60" s="9">
        <v>0.18104824</v>
      </c>
      <c r="BU60" s="10">
        <f t="shared" si="70"/>
        <v>4.1770824382695828</v>
      </c>
      <c r="BV60" s="10">
        <f t="shared" si="71"/>
        <v>0</v>
      </c>
      <c r="BW60" s="10">
        <f t="shared" si="72"/>
        <v>4.1770824382695828</v>
      </c>
      <c r="BY60" s="10">
        <f t="shared" si="73"/>
        <v>3.14</v>
      </c>
      <c r="BZ60" s="10">
        <f t="shared" si="74"/>
        <v>0.40280088264951763</v>
      </c>
      <c r="CA60" s="10">
        <f t="shared" si="75"/>
        <v>2.4177589591523982E-2</v>
      </c>
      <c r="CB60" s="10">
        <f t="shared" si="76"/>
        <v>0</v>
      </c>
      <c r="CC60" s="10">
        <f t="shared" si="77"/>
        <v>0.61010396602854122</v>
      </c>
      <c r="CD60" s="10">
        <f t="shared" si="78"/>
        <v>4.1770824382695828</v>
      </c>
      <c r="CF60" s="1">
        <f t="shared" si="79"/>
        <v>0</v>
      </c>
    </row>
    <row r="61" spans="2:84" x14ac:dyDescent="0.2">
      <c r="B61" s="14" t="s">
        <v>136</v>
      </c>
      <c r="C61" s="13" t="s">
        <v>78</v>
      </c>
      <c r="D61" s="13">
        <v>0</v>
      </c>
      <c r="E61" s="13">
        <v>0.15985314340000001</v>
      </c>
      <c r="F61" s="13">
        <v>0.19138279329999999</v>
      </c>
      <c r="G61" s="13">
        <v>5.3101897240000001E-2</v>
      </c>
      <c r="H61" s="13">
        <v>0</v>
      </c>
      <c r="I61" s="13">
        <v>0.11814249659999999</v>
      </c>
      <c r="J61" s="13">
        <v>0</v>
      </c>
      <c r="K61" s="13">
        <v>1.283875878E-3</v>
      </c>
      <c r="L61" s="13">
        <v>131324.11480000001</v>
      </c>
      <c r="M61" s="13">
        <v>71875.354000000007</v>
      </c>
      <c r="N61" s="13">
        <v>2.2206477329999998</v>
      </c>
      <c r="O61" s="11">
        <f t="shared" si="40"/>
        <v>0.19808570325601987</v>
      </c>
      <c r="Q61" s="17">
        <v>99.913297999999998</v>
      </c>
      <c r="R61" s="17">
        <v>-6.0888099999999996</v>
      </c>
      <c r="S61" s="16">
        <v>66.120495000000005</v>
      </c>
      <c r="T61" s="16">
        <v>43.630616000000003</v>
      </c>
      <c r="U61" s="16">
        <v>43.105328999999998</v>
      </c>
      <c r="V61" s="11">
        <v>21.986353300000001</v>
      </c>
      <c r="W61" s="17"/>
      <c r="X61" s="17"/>
      <c r="Y61" s="16">
        <v>22.136932000000002</v>
      </c>
      <c r="Z61" s="16">
        <v>6.8015340000000002</v>
      </c>
      <c r="AA61" s="17"/>
      <c r="AB61" s="17"/>
      <c r="AC61" s="17"/>
      <c r="AD61" s="17"/>
      <c r="AE61" s="17"/>
      <c r="AF61" s="17"/>
      <c r="AG61" s="17"/>
      <c r="AH61" s="16">
        <v>-0.82477800000000001</v>
      </c>
      <c r="AI61" s="16">
        <v>-3.075704</v>
      </c>
      <c r="AJ61" s="16">
        <v>796.73600799999997</v>
      </c>
      <c r="AK61" s="16">
        <v>796.73600799999997</v>
      </c>
      <c r="AM61" s="1" t="str">
        <f t="shared" si="41"/>
        <v>NCEN_ESC</v>
      </c>
      <c r="AN61" s="1" t="str">
        <f t="shared" si="42"/>
        <v>Ethane</v>
      </c>
      <c r="AO61" s="12">
        <f t="shared" si="43"/>
        <v>1045.0256762485219</v>
      </c>
      <c r="AP61" s="12">
        <f t="shared" si="44"/>
        <v>1045.0256762485219</v>
      </c>
      <c r="AQ61" s="5">
        <f t="shared" si="45"/>
        <v>0</v>
      </c>
      <c r="AR61" s="12">
        <f t="shared" si="46"/>
        <v>1419.7109313373135</v>
      </c>
      <c r="AS61" s="12">
        <f t="shared" si="47"/>
        <v>1419.7109313373135</v>
      </c>
      <c r="AT61" s="5">
        <f t="shared" si="48"/>
        <v>0</v>
      </c>
      <c r="AU61" s="5">
        <f t="shared" si="49"/>
        <v>0</v>
      </c>
      <c r="AV61" s="1">
        <f t="shared" si="50"/>
        <v>-20.474722116387714</v>
      </c>
      <c r="AW61" s="1">
        <f t="shared" si="51"/>
        <v>79.782985193621968</v>
      </c>
      <c r="AX61" s="1">
        <f t="shared" si="52"/>
        <v>414.04082420313915</v>
      </c>
      <c r="AY61" s="1">
        <f t="shared" si="53"/>
        <v>0</v>
      </c>
      <c r="AZ61" s="1">
        <f t="shared" si="54"/>
        <v>1.8349877711592439</v>
      </c>
      <c r="BA61" s="1">
        <f t="shared" si="55"/>
        <v>313.68072172180047</v>
      </c>
      <c r="BB61" s="1">
        <f t="shared" si="56"/>
        <v>171.68143833344078</v>
      </c>
      <c r="BC61" s="1">
        <f t="shared" si="57"/>
        <v>41.818613805143954</v>
      </c>
      <c r="BD61" s="1">
        <f t="shared" si="58"/>
        <v>0.42697847224104163</v>
      </c>
      <c r="BE61" s="1">
        <f t="shared" si="59"/>
        <v>0</v>
      </c>
      <c r="BF61" s="1">
        <f t="shared" si="60"/>
        <v>42.660827336603916</v>
      </c>
      <c r="BG61" s="1">
        <f t="shared" si="61"/>
        <v>0.42697847224104163</v>
      </c>
      <c r="BH61" s="1">
        <f t="shared" si="62"/>
        <v>0</v>
      </c>
      <c r="BI61" s="1">
        <f t="shared" si="63"/>
        <v>42.660827336603916</v>
      </c>
      <c r="BJ61" s="1">
        <f t="shared" si="64"/>
        <v>4.1770824382695828</v>
      </c>
      <c r="BK61" s="1">
        <f t="shared" si="65"/>
        <v>0</v>
      </c>
      <c r="BL61" s="1">
        <f t="shared" si="66"/>
        <v>417.34608242539542</v>
      </c>
      <c r="BM61" s="1">
        <f t="shared" si="67"/>
        <v>4.1770824382695828</v>
      </c>
      <c r="BN61" s="1">
        <f t="shared" si="68"/>
        <v>0</v>
      </c>
      <c r="BO61" s="1">
        <f t="shared" si="69"/>
        <v>417.34608242539542</v>
      </c>
      <c r="BQ61" s="9">
        <v>3.14</v>
      </c>
      <c r="BR61" s="10">
        <v>0.22181100240000001</v>
      </c>
      <c r="BS61" s="9">
        <v>0.18104824</v>
      </c>
      <c r="BU61" s="10">
        <f t="shared" si="70"/>
        <v>4.1770824382695828</v>
      </c>
      <c r="BV61" s="10">
        <f t="shared" si="71"/>
        <v>0</v>
      </c>
      <c r="BW61" s="10">
        <f t="shared" si="72"/>
        <v>4.1770824382695828</v>
      </c>
      <c r="BY61" s="10">
        <f t="shared" si="73"/>
        <v>3.14</v>
      </c>
      <c r="BZ61" s="10">
        <f t="shared" si="74"/>
        <v>0.40280088264951763</v>
      </c>
      <c r="CA61" s="10">
        <f t="shared" si="75"/>
        <v>2.4177589591523982E-2</v>
      </c>
      <c r="CB61" s="10">
        <f t="shared" si="76"/>
        <v>0</v>
      </c>
      <c r="CC61" s="10">
        <f t="shared" si="77"/>
        <v>0.61010396602854122</v>
      </c>
      <c r="CD61" s="10">
        <f t="shared" si="78"/>
        <v>4.1770824382695828</v>
      </c>
      <c r="CF61" s="1">
        <f t="shared" si="79"/>
        <v>0</v>
      </c>
    </row>
    <row r="62" spans="2:84" x14ac:dyDescent="0.2">
      <c r="B62" s="14" t="s">
        <v>137</v>
      </c>
      <c r="C62" s="13" t="s">
        <v>78</v>
      </c>
      <c r="D62" s="13">
        <v>0</v>
      </c>
      <c r="E62" s="13">
        <v>0.15985314340000001</v>
      </c>
      <c r="F62" s="13">
        <v>0.19138279329999999</v>
      </c>
      <c r="G62" s="13">
        <v>5.3101897240000001E-2</v>
      </c>
      <c r="H62" s="13">
        <v>0</v>
      </c>
      <c r="I62" s="13">
        <v>0.11814249659999999</v>
      </c>
      <c r="J62" s="13">
        <v>0</v>
      </c>
      <c r="K62" s="13">
        <v>1.283875878E-3</v>
      </c>
      <c r="L62" s="13">
        <v>131324.11480000001</v>
      </c>
      <c r="M62" s="13">
        <v>71875.354000000007</v>
      </c>
      <c r="N62" s="13">
        <v>2.2206477329999998</v>
      </c>
      <c r="O62" s="11">
        <f t="shared" si="40"/>
        <v>0.19808570325601987</v>
      </c>
      <c r="Q62" s="17">
        <v>99.913297999999998</v>
      </c>
      <c r="R62" s="17">
        <v>-6.197641</v>
      </c>
      <c r="S62" s="16">
        <v>65.135812000000001</v>
      </c>
      <c r="T62" s="16">
        <v>43.372329999999998</v>
      </c>
      <c r="U62" s="16">
        <v>42.438417999999999</v>
      </c>
      <c r="V62" s="11">
        <v>21.986353300000001</v>
      </c>
      <c r="W62" s="17"/>
      <c r="X62" s="17"/>
      <c r="Y62" s="16">
        <v>21.530919000000001</v>
      </c>
      <c r="Z62" s="16">
        <v>6.288532</v>
      </c>
      <c r="AA62" s="17"/>
      <c r="AB62" s="17"/>
      <c r="AC62" s="17"/>
      <c r="AD62" s="17"/>
      <c r="AE62" s="17"/>
      <c r="AF62" s="17"/>
      <c r="AG62" s="17"/>
      <c r="AH62" s="16">
        <v>-1.431457</v>
      </c>
      <c r="AI62" s="16">
        <v>-3.351826</v>
      </c>
      <c r="AJ62" s="16">
        <v>796.73600799999997</v>
      </c>
      <c r="AK62" s="16">
        <v>796.73600799999997</v>
      </c>
      <c r="AM62" s="1" t="str">
        <f t="shared" si="41"/>
        <v>CEN_ESC</v>
      </c>
      <c r="AN62" s="1" t="str">
        <f t="shared" si="42"/>
        <v>Ethane</v>
      </c>
      <c r="AO62" s="12">
        <f t="shared" si="43"/>
        <v>1045.7356149740401</v>
      </c>
      <c r="AP62" s="12">
        <f t="shared" si="44"/>
        <v>1045.7356149740401</v>
      </c>
      <c r="AQ62" s="5">
        <f t="shared" si="45"/>
        <v>0</v>
      </c>
      <c r="AR62" s="12">
        <f t="shared" si="46"/>
        <v>1420.4208700628317</v>
      </c>
      <c r="AS62" s="12">
        <f t="shared" si="47"/>
        <v>1420.4208700628317</v>
      </c>
      <c r="AT62" s="5">
        <f t="shared" si="48"/>
        <v>0</v>
      </c>
      <c r="AU62" s="5">
        <f t="shared" si="49"/>
        <v>0</v>
      </c>
      <c r="AV62" s="1">
        <f t="shared" si="50"/>
        <v>-18.930427344774259</v>
      </c>
      <c r="AW62" s="1">
        <f t="shared" si="51"/>
        <v>77.598873763630564</v>
      </c>
      <c r="AX62" s="1">
        <f t="shared" si="52"/>
        <v>414.04082420313915</v>
      </c>
      <c r="AY62" s="1">
        <f t="shared" si="53"/>
        <v>0</v>
      </c>
      <c r="AZ62" s="1">
        <f t="shared" si="54"/>
        <v>3.1847431550554179</v>
      </c>
      <c r="BA62" s="1">
        <f t="shared" si="55"/>
        <v>313.68072172180047</v>
      </c>
      <c r="BB62" s="1">
        <f t="shared" si="56"/>
        <v>171.68143833344078</v>
      </c>
      <c r="BC62" s="1">
        <f t="shared" si="57"/>
        <v>41.818613805143954</v>
      </c>
      <c r="BD62" s="1">
        <f t="shared" si="58"/>
        <v>0.42697847224104163</v>
      </c>
      <c r="BE62" s="1">
        <f t="shared" si="59"/>
        <v>0</v>
      </c>
      <c r="BF62" s="1">
        <f t="shared" si="60"/>
        <v>42.660827336603916</v>
      </c>
      <c r="BG62" s="1">
        <f t="shared" si="61"/>
        <v>0.42697847224104163</v>
      </c>
      <c r="BH62" s="1">
        <f t="shared" si="62"/>
        <v>0</v>
      </c>
      <c r="BI62" s="1">
        <f t="shared" si="63"/>
        <v>42.660827336603916</v>
      </c>
      <c r="BJ62" s="1">
        <f t="shared" si="64"/>
        <v>4.1770824382695828</v>
      </c>
      <c r="BK62" s="1">
        <f t="shared" si="65"/>
        <v>0</v>
      </c>
      <c r="BL62" s="1">
        <f t="shared" si="66"/>
        <v>417.34608242539542</v>
      </c>
      <c r="BM62" s="1">
        <f t="shared" si="67"/>
        <v>4.1770824382695828</v>
      </c>
      <c r="BN62" s="1">
        <f t="shared" si="68"/>
        <v>0</v>
      </c>
      <c r="BO62" s="1">
        <f t="shared" si="69"/>
        <v>417.34608242539542</v>
      </c>
      <c r="BQ62" s="9">
        <v>3.14</v>
      </c>
      <c r="BR62" s="10">
        <v>0.22181100240000001</v>
      </c>
      <c r="BS62" s="9">
        <v>0.18104824</v>
      </c>
      <c r="BU62" s="10">
        <f t="shared" si="70"/>
        <v>4.1770824382695828</v>
      </c>
      <c r="BV62" s="10">
        <f t="shared" si="71"/>
        <v>0</v>
      </c>
      <c r="BW62" s="10">
        <f t="shared" si="72"/>
        <v>4.1770824382695828</v>
      </c>
      <c r="BY62" s="10">
        <f t="shared" si="73"/>
        <v>3.14</v>
      </c>
      <c r="BZ62" s="10">
        <f t="shared" si="74"/>
        <v>0.40280088264951763</v>
      </c>
      <c r="CA62" s="10">
        <f t="shared" si="75"/>
        <v>2.4177589591523982E-2</v>
      </c>
      <c r="CB62" s="10">
        <f t="shared" si="76"/>
        <v>0</v>
      </c>
      <c r="CC62" s="10">
        <f t="shared" si="77"/>
        <v>0.61010396602854122</v>
      </c>
      <c r="CD62" s="10">
        <f t="shared" si="78"/>
        <v>4.1770824382695828</v>
      </c>
      <c r="CF62" s="1">
        <f t="shared" si="79"/>
        <v>0</v>
      </c>
    </row>
    <row r="63" spans="2:84" x14ac:dyDescent="0.2">
      <c r="B63" s="14" t="s">
        <v>138</v>
      </c>
      <c r="C63" s="13" t="s">
        <v>78</v>
      </c>
      <c r="D63" s="13">
        <v>0</v>
      </c>
      <c r="E63" s="13">
        <v>0.15985314340000001</v>
      </c>
      <c r="F63" s="13">
        <v>0.19138279329999999</v>
      </c>
      <c r="G63" s="13">
        <v>5.3101897240000001E-2</v>
      </c>
      <c r="H63" s="13">
        <v>0</v>
      </c>
      <c r="I63" s="13">
        <v>0.11814249659999999</v>
      </c>
      <c r="J63" s="13">
        <v>0</v>
      </c>
      <c r="K63" s="13">
        <v>1.283875878E-3</v>
      </c>
      <c r="L63" s="13">
        <v>131324.11480000001</v>
      </c>
      <c r="M63" s="13">
        <v>71875.354000000007</v>
      </c>
      <c r="N63" s="13">
        <v>2.2206477329999998</v>
      </c>
      <c r="O63" s="11">
        <f t="shared" si="40"/>
        <v>0.19808570325601987</v>
      </c>
      <c r="Q63" s="17">
        <v>99.913297999999998</v>
      </c>
      <c r="R63" s="17">
        <v>-6.0843480000000003</v>
      </c>
      <c r="S63" s="16">
        <v>64.970397000000006</v>
      </c>
      <c r="T63" s="16">
        <v>43.861592000000002</v>
      </c>
      <c r="U63" s="16">
        <v>39.255600999999999</v>
      </c>
      <c r="V63" s="11">
        <v>21.986353300000001</v>
      </c>
      <c r="W63" s="17"/>
      <c r="X63" s="17"/>
      <c r="Y63" s="16">
        <v>21.109138000000002</v>
      </c>
      <c r="Z63" s="16">
        <v>6.2406389999999998</v>
      </c>
      <c r="AA63" s="17"/>
      <c r="AB63" s="17"/>
      <c r="AC63" s="17"/>
      <c r="AD63" s="17"/>
      <c r="AE63" s="17"/>
      <c r="AF63" s="17"/>
      <c r="AG63" s="17"/>
      <c r="AH63" s="16">
        <v>-1.4523440000000001</v>
      </c>
      <c r="AI63" s="16">
        <v>-3.0715089999999998</v>
      </c>
      <c r="AJ63" s="16">
        <v>796.73600799999997</v>
      </c>
      <c r="AK63" s="16">
        <v>796.73600799999997</v>
      </c>
      <c r="AM63" s="1" t="str">
        <f t="shared" si="41"/>
        <v>SE_ESC</v>
      </c>
      <c r="AN63" s="1" t="str">
        <f t="shared" si="42"/>
        <v>Ethane</v>
      </c>
      <c r="AO63" s="12">
        <f t="shared" si="43"/>
        <v>1044.4061307053623</v>
      </c>
      <c r="AP63" s="12">
        <f t="shared" si="44"/>
        <v>1044.4061307053623</v>
      </c>
      <c r="AQ63" s="5">
        <f t="shared" si="45"/>
        <v>0</v>
      </c>
      <c r="AR63" s="12">
        <f t="shared" si="46"/>
        <v>1419.0913857941539</v>
      </c>
      <c r="AS63" s="12">
        <f t="shared" si="47"/>
        <v>1419.0913857941539</v>
      </c>
      <c r="AT63" s="5">
        <f t="shared" si="48"/>
        <v>0</v>
      </c>
      <c r="AU63" s="5">
        <f t="shared" si="49"/>
        <v>0</v>
      </c>
      <c r="AV63" s="1">
        <f t="shared" si="50"/>
        <v>-18.786254593991838</v>
      </c>
      <c r="AW63" s="1">
        <f t="shared" si="51"/>
        <v>76.078746797619601</v>
      </c>
      <c r="AX63" s="1">
        <f t="shared" si="52"/>
        <v>414.04082420313915</v>
      </c>
      <c r="AY63" s="1">
        <f t="shared" si="53"/>
        <v>0</v>
      </c>
      <c r="AZ63" s="1">
        <f t="shared" si="54"/>
        <v>3.2312131016061305</v>
      </c>
      <c r="BA63" s="1">
        <f t="shared" si="55"/>
        <v>313.68072172180047</v>
      </c>
      <c r="BB63" s="1">
        <f t="shared" si="56"/>
        <v>171.68143833344078</v>
      </c>
      <c r="BC63" s="1">
        <f t="shared" si="57"/>
        <v>41.818613805143954</v>
      </c>
      <c r="BD63" s="1">
        <f t="shared" si="58"/>
        <v>0.42697847224104163</v>
      </c>
      <c r="BE63" s="1">
        <f t="shared" si="59"/>
        <v>0</v>
      </c>
      <c r="BF63" s="1">
        <f t="shared" si="60"/>
        <v>42.660827336603916</v>
      </c>
      <c r="BG63" s="1">
        <f t="shared" si="61"/>
        <v>0.42697847224104163</v>
      </c>
      <c r="BH63" s="1">
        <f t="shared" si="62"/>
        <v>0</v>
      </c>
      <c r="BI63" s="1">
        <f t="shared" si="63"/>
        <v>42.660827336603916</v>
      </c>
      <c r="BJ63" s="1">
        <f t="shared" si="64"/>
        <v>4.1770824382695828</v>
      </c>
      <c r="BK63" s="1">
        <f t="shared" si="65"/>
        <v>0</v>
      </c>
      <c r="BL63" s="1">
        <f t="shared" si="66"/>
        <v>417.34608242539542</v>
      </c>
      <c r="BM63" s="1">
        <f t="shared" si="67"/>
        <v>4.1770824382695828</v>
      </c>
      <c r="BN63" s="1">
        <f t="shared" si="68"/>
        <v>0</v>
      </c>
      <c r="BO63" s="1">
        <f t="shared" si="69"/>
        <v>417.34608242539542</v>
      </c>
      <c r="BQ63" s="9">
        <v>3.14</v>
      </c>
      <c r="BR63" s="10">
        <v>0.22181100240000001</v>
      </c>
      <c r="BS63" s="9">
        <v>0.18104824</v>
      </c>
      <c r="BU63" s="10">
        <f t="shared" si="70"/>
        <v>4.1770824382695828</v>
      </c>
      <c r="BV63" s="10">
        <f t="shared" si="71"/>
        <v>0</v>
      </c>
      <c r="BW63" s="10">
        <f t="shared" si="72"/>
        <v>4.1770824382695828</v>
      </c>
      <c r="BY63" s="10">
        <f t="shared" si="73"/>
        <v>3.14</v>
      </c>
      <c r="BZ63" s="10">
        <f t="shared" si="74"/>
        <v>0.40280088264951763</v>
      </c>
      <c r="CA63" s="10">
        <f t="shared" si="75"/>
        <v>2.4177589591523982E-2</v>
      </c>
      <c r="CB63" s="10">
        <f t="shared" si="76"/>
        <v>0</v>
      </c>
      <c r="CC63" s="10">
        <f t="shared" si="77"/>
        <v>0.61010396602854122</v>
      </c>
      <c r="CD63" s="10">
        <f t="shared" si="78"/>
        <v>4.1770824382695828</v>
      </c>
      <c r="CF63" s="1">
        <f t="shared" si="79"/>
        <v>0</v>
      </c>
    </row>
    <row r="64" spans="2:84" x14ac:dyDescent="0.2">
      <c r="B64" s="14" t="s">
        <v>139</v>
      </c>
      <c r="C64" s="13" t="s">
        <v>78</v>
      </c>
      <c r="D64" s="13">
        <v>0</v>
      </c>
      <c r="E64" s="13">
        <v>0.15985314340000001</v>
      </c>
      <c r="F64" s="13">
        <v>0.19138279329999999</v>
      </c>
      <c r="G64" s="13">
        <v>5.3101897240000001E-2</v>
      </c>
      <c r="H64" s="13">
        <v>0</v>
      </c>
      <c r="I64" s="13">
        <v>0.11814249659999999</v>
      </c>
      <c r="J64" s="13">
        <v>0</v>
      </c>
      <c r="K64" s="13">
        <v>1.283875878E-3</v>
      </c>
      <c r="L64" s="13">
        <v>131324.11480000001</v>
      </c>
      <c r="M64" s="13">
        <v>71875.354000000007</v>
      </c>
      <c r="N64" s="13">
        <v>2.2206477329999998</v>
      </c>
      <c r="O64" s="11">
        <f t="shared" si="40"/>
        <v>0.19808570325601987</v>
      </c>
      <c r="Q64" s="17">
        <v>99.913297999999998</v>
      </c>
      <c r="R64" s="17">
        <v>-15.650257</v>
      </c>
      <c r="S64" s="16">
        <v>63.953341000000002</v>
      </c>
      <c r="T64" s="16">
        <v>39.720461999999998</v>
      </c>
      <c r="U64" s="16">
        <v>40.537579999999998</v>
      </c>
      <c r="V64" s="11">
        <v>21.986353300000001</v>
      </c>
      <c r="W64" s="17"/>
      <c r="X64" s="17"/>
      <c r="Y64" s="16">
        <v>21.699949</v>
      </c>
      <c r="Z64" s="16">
        <v>8.0456090000000007</v>
      </c>
      <c r="AA64" s="17"/>
      <c r="AB64" s="17"/>
      <c r="AC64" s="17"/>
      <c r="AD64" s="17"/>
      <c r="AE64" s="17"/>
      <c r="AF64" s="17"/>
      <c r="AG64" s="17"/>
      <c r="AH64" s="16">
        <v>-0.93022199999999999</v>
      </c>
      <c r="AI64" s="16">
        <v>-2.7812749999999999</v>
      </c>
      <c r="AJ64" s="16">
        <v>796.73600799999997</v>
      </c>
      <c r="AK64" s="16">
        <v>796.73600799999997</v>
      </c>
      <c r="AM64" s="1" t="str">
        <f t="shared" si="41"/>
        <v>MIDAT_ESC</v>
      </c>
      <c r="AN64" s="1" t="str">
        <f t="shared" si="42"/>
        <v>Ethane</v>
      </c>
      <c r="AO64" s="12">
        <f t="shared" si="43"/>
        <v>1039.9403041024384</v>
      </c>
      <c r="AP64" s="12">
        <f t="shared" si="44"/>
        <v>1039.9403041024384</v>
      </c>
      <c r="AQ64" s="5">
        <f t="shared" si="45"/>
        <v>0</v>
      </c>
      <c r="AR64" s="12">
        <f t="shared" si="46"/>
        <v>1414.62555919123</v>
      </c>
      <c r="AS64" s="12">
        <f t="shared" si="47"/>
        <v>1414.62555919123</v>
      </c>
      <c r="AT64" s="5">
        <f t="shared" si="48"/>
        <v>0</v>
      </c>
      <c r="AU64" s="5">
        <f t="shared" si="49"/>
        <v>0</v>
      </c>
      <c r="AV64" s="1">
        <f t="shared" si="50"/>
        <v>-24.219772853022281</v>
      </c>
      <c r="AW64" s="1">
        <f t="shared" si="51"/>
        <v>78.208069201701107</v>
      </c>
      <c r="AX64" s="1">
        <f t="shared" si="52"/>
        <v>414.04082420313915</v>
      </c>
      <c r="AY64" s="1">
        <f t="shared" si="53"/>
        <v>0</v>
      </c>
      <c r="AZ64" s="1">
        <f t="shared" si="54"/>
        <v>2.0695823536312732</v>
      </c>
      <c r="BA64" s="1">
        <f t="shared" si="55"/>
        <v>313.68072172180047</v>
      </c>
      <c r="BB64" s="1">
        <f t="shared" si="56"/>
        <v>171.68143833344078</v>
      </c>
      <c r="BC64" s="1">
        <f t="shared" si="57"/>
        <v>41.818613805143954</v>
      </c>
      <c r="BD64" s="1">
        <f t="shared" si="58"/>
        <v>0.42697847224104163</v>
      </c>
      <c r="BE64" s="1">
        <f t="shared" si="59"/>
        <v>0</v>
      </c>
      <c r="BF64" s="1">
        <f t="shared" si="60"/>
        <v>42.660827336603916</v>
      </c>
      <c r="BG64" s="1">
        <f t="shared" si="61"/>
        <v>0.42697847224104163</v>
      </c>
      <c r="BH64" s="1">
        <f t="shared" si="62"/>
        <v>0</v>
      </c>
      <c r="BI64" s="1">
        <f t="shared" si="63"/>
        <v>42.660827336603916</v>
      </c>
      <c r="BJ64" s="1">
        <f t="shared" si="64"/>
        <v>4.1770824382695828</v>
      </c>
      <c r="BK64" s="1">
        <f t="shared" si="65"/>
        <v>0</v>
      </c>
      <c r="BL64" s="1">
        <f t="shared" si="66"/>
        <v>417.34608242539542</v>
      </c>
      <c r="BM64" s="1">
        <f t="shared" si="67"/>
        <v>4.1770824382695828</v>
      </c>
      <c r="BN64" s="1">
        <f t="shared" si="68"/>
        <v>0</v>
      </c>
      <c r="BO64" s="1">
        <f t="shared" si="69"/>
        <v>417.34608242539542</v>
      </c>
      <c r="BQ64" s="9">
        <v>3.14</v>
      </c>
      <c r="BR64" s="10">
        <v>0.22181100240000001</v>
      </c>
      <c r="BS64" s="9">
        <v>0.18104824</v>
      </c>
      <c r="BU64" s="10">
        <f t="shared" si="70"/>
        <v>4.1770824382695828</v>
      </c>
      <c r="BV64" s="10">
        <f t="shared" si="71"/>
        <v>0</v>
      </c>
      <c r="BW64" s="10">
        <f t="shared" si="72"/>
        <v>4.1770824382695828</v>
      </c>
      <c r="BY64" s="10">
        <f t="shared" si="73"/>
        <v>3.14</v>
      </c>
      <c r="BZ64" s="10">
        <f t="shared" si="74"/>
        <v>0.40280088264951763</v>
      </c>
      <c r="CA64" s="10">
        <f t="shared" si="75"/>
        <v>2.4177589591523982E-2</v>
      </c>
      <c r="CB64" s="10">
        <f t="shared" si="76"/>
        <v>0</v>
      </c>
      <c r="CC64" s="10">
        <f t="shared" si="77"/>
        <v>0.61010396602854122</v>
      </c>
      <c r="CD64" s="10">
        <f t="shared" si="78"/>
        <v>4.1770824382695828</v>
      </c>
      <c r="CF64" s="1">
        <f t="shared" si="79"/>
        <v>0</v>
      </c>
    </row>
    <row r="65" spans="2:84" x14ac:dyDescent="0.2">
      <c r="B65" s="14" t="s">
        <v>140</v>
      </c>
      <c r="C65" s="13" t="s">
        <v>78</v>
      </c>
      <c r="D65" s="13">
        <v>0</v>
      </c>
      <c r="E65" s="13">
        <v>0.15985314340000001</v>
      </c>
      <c r="F65" s="13">
        <v>0.19138279329999999</v>
      </c>
      <c r="G65" s="13">
        <v>5.3101897240000001E-2</v>
      </c>
      <c r="H65" s="13">
        <v>0</v>
      </c>
      <c r="I65" s="13">
        <v>0.11814249659999999</v>
      </c>
      <c r="J65" s="13">
        <v>0</v>
      </c>
      <c r="K65" s="13">
        <v>1.283875878E-3</v>
      </c>
      <c r="L65" s="13">
        <v>131324.11480000001</v>
      </c>
      <c r="M65" s="13">
        <v>71875.354000000007</v>
      </c>
      <c r="N65" s="13">
        <v>2.2206477329999998</v>
      </c>
      <c r="O65" s="11">
        <f t="shared" si="40"/>
        <v>0.19808570325601987</v>
      </c>
      <c r="Q65" s="17">
        <v>99.913297999999998</v>
      </c>
      <c r="R65" s="17">
        <v>-21.727401</v>
      </c>
      <c r="S65" s="16">
        <v>66.936656999999997</v>
      </c>
      <c r="T65" s="16">
        <v>41.693038999999999</v>
      </c>
      <c r="U65" s="16">
        <v>41.333942999999998</v>
      </c>
      <c r="V65" s="11">
        <v>21.986353300000001</v>
      </c>
      <c r="W65" s="17"/>
      <c r="X65" s="17"/>
      <c r="Y65" s="16">
        <v>20.978031999999999</v>
      </c>
      <c r="Z65" s="16">
        <v>12.546751</v>
      </c>
      <c r="AA65" s="17"/>
      <c r="AB65" s="17"/>
      <c r="AC65" s="17"/>
      <c r="AD65" s="17"/>
      <c r="AE65" s="17"/>
      <c r="AF65" s="17"/>
      <c r="AG65" s="17"/>
      <c r="AH65" s="16">
        <v>5.8887289999999997</v>
      </c>
      <c r="AI65" s="16">
        <v>0</v>
      </c>
      <c r="AJ65" s="16">
        <v>796.73600799999997</v>
      </c>
      <c r="AK65" s="16">
        <v>0</v>
      </c>
      <c r="AM65" s="1" t="str">
        <f t="shared" si="41"/>
        <v>NE_ESC</v>
      </c>
      <c r="AN65" s="1" t="str">
        <f t="shared" si="42"/>
        <v>Ethane</v>
      </c>
      <c r="AO65" s="12">
        <f t="shared" si="43"/>
        <v>1008.617655169649</v>
      </c>
      <c r="AP65" s="12">
        <f t="shared" si="44"/>
        <v>1008.617655169649</v>
      </c>
      <c r="AQ65" s="5">
        <f t="shared" si="45"/>
        <v>0</v>
      </c>
      <c r="AR65" s="12">
        <f t="shared" si="46"/>
        <v>1383.3029102584405</v>
      </c>
      <c r="AS65" s="12">
        <f t="shared" si="47"/>
        <v>1383.3029102584405</v>
      </c>
      <c r="AT65" s="5">
        <f t="shared" si="48"/>
        <v>0</v>
      </c>
      <c r="AU65" s="5">
        <f t="shared" si="49"/>
        <v>0</v>
      </c>
      <c r="AV65" s="1">
        <f t="shared" si="50"/>
        <v>-37.769603179004861</v>
      </c>
      <c r="AW65" s="1">
        <f t="shared" si="51"/>
        <v>75.606231994900099</v>
      </c>
      <c r="AX65" s="1">
        <f t="shared" si="52"/>
        <v>414.04082420313915</v>
      </c>
      <c r="AY65" s="1">
        <f t="shared" si="53"/>
        <v>0</v>
      </c>
      <c r="AZ65" s="1">
        <f t="shared" si="54"/>
        <v>-13.101399046374663</v>
      </c>
      <c r="BA65" s="1">
        <f t="shared" si="55"/>
        <v>313.68072172180047</v>
      </c>
      <c r="BB65" s="1">
        <f t="shared" si="56"/>
        <v>171.68143833344078</v>
      </c>
      <c r="BC65" s="1">
        <f t="shared" si="57"/>
        <v>41.818613805143954</v>
      </c>
      <c r="BD65" s="1">
        <f t="shared" si="58"/>
        <v>0.42697847224104163</v>
      </c>
      <c r="BE65" s="1">
        <f t="shared" si="59"/>
        <v>0</v>
      </c>
      <c r="BF65" s="1">
        <f t="shared" si="60"/>
        <v>42.660827336603916</v>
      </c>
      <c r="BG65" s="1">
        <f t="shared" si="61"/>
        <v>0.42697847224104163</v>
      </c>
      <c r="BH65" s="1">
        <f t="shared" si="62"/>
        <v>0</v>
      </c>
      <c r="BI65" s="1">
        <f t="shared" si="63"/>
        <v>42.660827336603916</v>
      </c>
      <c r="BJ65" s="1">
        <f t="shared" si="64"/>
        <v>4.1770824382695828</v>
      </c>
      <c r="BK65" s="1">
        <f t="shared" si="65"/>
        <v>0</v>
      </c>
      <c r="BL65" s="1">
        <f t="shared" si="66"/>
        <v>417.34608242539542</v>
      </c>
      <c r="BM65" s="1">
        <f t="shared" si="67"/>
        <v>4.1770824382695828</v>
      </c>
      <c r="BN65" s="1">
        <f t="shared" si="68"/>
        <v>0</v>
      </c>
      <c r="BO65" s="1">
        <f t="shared" si="69"/>
        <v>417.34608242539542</v>
      </c>
      <c r="BQ65" s="9">
        <v>3.14</v>
      </c>
      <c r="BR65" s="10">
        <v>0.22181100240000001</v>
      </c>
      <c r="BS65" s="9">
        <v>0.18104824</v>
      </c>
      <c r="BU65" s="10">
        <f t="shared" si="70"/>
        <v>4.1770824382695828</v>
      </c>
      <c r="BV65" s="10">
        <f t="shared" si="71"/>
        <v>0</v>
      </c>
      <c r="BW65" s="10">
        <f t="shared" si="72"/>
        <v>4.1770824382695828</v>
      </c>
      <c r="BY65" s="10">
        <f t="shared" si="73"/>
        <v>3.14</v>
      </c>
      <c r="BZ65" s="10">
        <f t="shared" si="74"/>
        <v>0.40280088264951763</v>
      </c>
      <c r="CA65" s="10">
        <f t="shared" si="75"/>
        <v>2.4177589591523982E-2</v>
      </c>
      <c r="CB65" s="10">
        <f t="shared" si="76"/>
        <v>0</v>
      </c>
      <c r="CC65" s="10">
        <f t="shared" si="77"/>
        <v>0.61010396602854122</v>
      </c>
      <c r="CD65" s="10">
        <f t="shared" si="78"/>
        <v>4.1770824382695828</v>
      </c>
      <c r="CF65" s="1">
        <f t="shared" si="79"/>
        <v>0</v>
      </c>
    </row>
    <row r="66" spans="2:84" x14ac:dyDescent="0.2">
      <c r="AO66" s="5"/>
      <c r="AP66" s="5"/>
      <c r="AQ66" s="5"/>
      <c r="AR66" s="5"/>
      <c r="AS66" s="5"/>
      <c r="AT66" s="5"/>
      <c r="AU66" s="5"/>
      <c r="BQ66" s="8"/>
      <c r="BS66" s="8"/>
    </row>
    <row r="67" spans="2:84" x14ac:dyDescent="0.2">
      <c r="AO67" s="5"/>
      <c r="AP67" s="5"/>
      <c r="AQ67" s="5"/>
      <c r="AR67" s="5"/>
      <c r="AS67" s="5"/>
      <c r="AT67" s="5"/>
      <c r="AU67" s="5"/>
      <c r="BQ67" s="8"/>
      <c r="BS67" s="8"/>
    </row>
    <row r="68" spans="2:84" x14ac:dyDescent="0.2">
      <c r="AO68" s="5"/>
      <c r="AP68" s="5"/>
      <c r="AQ68" s="5"/>
      <c r="AR68" s="5"/>
      <c r="AS68" s="5"/>
      <c r="AT68" s="5"/>
      <c r="AU68" s="5"/>
      <c r="BQ68" s="8"/>
      <c r="BS68" s="8"/>
    </row>
    <row r="69" spans="2:84" x14ac:dyDescent="0.2">
      <c r="AO69" s="5"/>
      <c r="AP69" s="5"/>
      <c r="AQ69" s="5"/>
      <c r="AR69" s="5"/>
      <c r="AS69" s="5"/>
      <c r="AT69" s="5"/>
      <c r="AU69" s="5"/>
      <c r="BQ69" s="8"/>
      <c r="BS69" s="8"/>
    </row>
    <row r="70" spans="2:84" x14ac:dyDescent="0.2">
      <c r="AO70" s="5"/>
      <c r="AP70" s="5"/>
      <c r="AQ70" s="5"/>
      <c r="AR70" s="5"/>
      <c r="AS70" s="5"/>
      <c r="AT70" s="5"/>
      <c r="AU70" s="5"/>
      <c r="BQ70" s="8"/>
      <c r="BS70" s="8"/>
    </row>
    <row r="71" spans="2:84" x14ac:dyDescent="0.2">
      <c r="AO71" s="5"/>
      <c r="AP71" s="5"/>
      <c r="AQ71" s="5"/>
      <c r="AR71" s="5"/>
      <c r="AS71" s="5"/>
      <c r="AT71" s="5"/>
      <c r="AU71" s="5"/>
      <c r="BQ71" s="8"/>
      <c r="BS71" s="8"/>
    </row>
    <row r="72" spans="2:84" x14ac:dyDescent="0.2">
      <c r="AO72" s="5"/>
      <c r="AP72" s="5"/>
      <c r="AQ72" s="5"/>
      <c r="AR72" s="5"/>
      <c r="AS72" s="5"/>
      <c r="AT72" s="5"/>
      <c r="AU72" s="5"/>
      <c r="BQ72" s="8"/>
      <c r="BS72" s="8"/>
    </row>
    <row r="73" spans="2:84" x14ac:dyDescent="0.2">
      <c r="AO73" s="5"/>
      <c r="AP73" s="5"/>
      <c r="AQ73" s="5"/>
      <c r="AR73" s="5"/>
      <c r="AS73" s="5"/>
      <c r="AT73" s="5"/>
      <c r="AU73" s="5"/>
      <c r="BQ73" s="8"/>
      <c r="BS73" s="8"/>
    </row>
    <row r="74" spans="2:84" x14ac:dyDescent="0.2">
      <c r="AO74" s="5"/>
      <c r="AP74" s="5"/>
      <c r="AQ74" s="5"/>
      <c r="AR74" s="5"/>
      <c r="AS74" s="5"/>
      <c r="AT74" s="5"/>
      <c r="AU74" s="5"/>
      <c r="BQ74" s="8"/>
      <c r="BS74" s="8"/>
    </row>
    <row r="75" spans="2:84" x14ac:dyDescent="0.2">
      <c r="AO75" s="5"/>
      <c r="AP75" s="5"/>
      <c r="AQ75" s="5"/>
      <c r="AR75" s="5"/>
      <c r="AS75" s="5"/>
      <c r="AT75" s="5"/>
      <c r="AU75" s="5"/>
      <c r="BQ75" s="8"/>
      <c r="BS75" s="8"/>
    </row>
    <row r="76" spans="2:84" x14ac:dyDescent="0.2">
      <c r="AO76" s="5"/>
      <c r="AP76" s="5"/>
      <c r="AQ76" s="5"/>
      <c r="AR76" s="5"/>
      <c r="AS76" s="5"/>
      <c r="AT76" s="5"/>
      <c r="AU76" s="5"/>
      <c r="BQ76" s="8"/>
      <c r="BS76" s="8"/>
    </row>
    <row r="77" spans="2:84" x14ac:dyDescent="0.2">
      <c r="AO77" s="5"/>
      <c r="AP77" s="5"/>
      <c r="AQ77" s="5"/>
      <c r="AR77" s="5"/>
      <c r="AS77" s="5"/>
      <c r="AT77" s="5"/>
      <c r="AU77" s="5"/>
      <c r="BQ77" s="8"/>
      <c r="BS77" s="8"/>
    </row>
    <row r="78" spans="2:84" x14ac:dyDescent="0.2">
      <c r="AO78" s="5"/>
      <c r="AP78" s="5"/>
      <c r="AQ78" s="5"/>
      <c r="AR78" s="5"/>
      <c r="AS78" s="5"/>
      <c r="AT78" s="5"/>
      <c r="AU78" s="5"/>
      <c r="BQ78" s="8"/>
      <c r="BS78" s="8"/>
    </row>
    <row r="79" spans="2:84" x14ac:dyDescent="0.2">
      <c r="AO79" s="5"/>
      <c r="AP79" s="5"/>
      <c r="AQ79" s="5"/>
      <c r="AR79" s="5"/>
      <c r="AS79" s="5"/>
      <c r="AT79" s="5"/>
      <c r="AU79" s="5"/>
      <c r="BQ79" s="8"/>
      <c r="BS79" s="8"/>
    </row>
    <row r="80" spans="2:84" x14ac:dyDescent="0.2">
      <c r="AO80" s="5"/>
      <c r="AP80" s="5"/>
      <c r="AQ80" s="5"/>
      <c r="AR80" s="5"/>
      <c r="AS80" s="5"/>
      <c r="AT80" s="5"/>
      <c r="AU80" s="5"/>
      <c r="BQ80" s="8"/>
      <c r="BS80" s="8"/>
    </row>
    <row r="81" spans="41:71" x14ac:dyDescent="0.2">
      <c r="AO81" s="5"/>
      <c r="AP81" s="5"/>
      <c r="AQ81" s="5"/>
      <c r="AR81" s="5"/>
      <c r="AS81" s="5"/>
      <c r="AT81" s="5"/>
      <c r="AU81" s="5"/>
      <c r="BQ81" s="8"/>
      <c r="BS81" s="8"/>
    </row>
    <row r="82" spans="41:71" x14ac:dyDescent="0.2">
      <c r="AO82" s="5"/>
      <c r="AP82" s="5"/>
      <c r="AQ82" s="5"/>
      <c r="AR82" s="5"/>
      <c r="AS82" s="5"/>
      <c r="AT82" s="5"/>
      <c r="AU82" s="5"/>
      <c r="BQ82" s="8"/>
      <c r="BS82" s="8"/>
    </row>
    <row r="83" spans="41:71" x14ac:dyDescent="0.2">
      <c r="AO83" s="5"/>
      <c r="AP83" s="5"/>
      <c r="AQ83" s="5"/>
      <c r="AR83" s="5"/>
      <c r="AS83" s="5"/>
      <c r="AT83" s="5"/>
      <c r="AU83" s="5"/>
      <c r="BQ83" s="8"/>
      <c r="BS83" s="8"/>
    </row>
    <row r="84" spans="41:71" x14ac:dyDescent="0.2">
      <c r="AO84" s="5"/>
      <c r="AP84" s="5"/>
      <c r="AQ84" s="5"/>
      <c r="AR84" s="5"/>
      <c r="AS84" s="5"/>
      <c r="AT84" s="5"/>
      <c r="AU84" s="5"/>
      <c r="BQ84" s="8"/>
      <c r="BS84" s="8"/>
    </row>
    <row r="85" spans="41:71" x14ac:dyDescent="0.2">
      <c r="AO85" s="5"/>
      <c r="AP85" s="5"/>
      <c r="AQ85" s="5"/>
      <c r="AR85" s="5"/>
      <c r="AS85" s="5"/>
      <c r="AT85" s="5"/>
      <c r="AU85" s="5"/>
      <c r="BQ85" s="8"/>
      <c r="BS85" s="8"/>
    </row>
    <row r="86" spans="41:71" x14ac:dyDescent="0.2">
      <c r="AO86" s="5"/>
      <c r="AP86" s="5"/>
      <c r="AQ86" s="5"/>
      <c r="AR86" s="5"/>
      <c r="AS86" s="5"/>
      <c r="AT86" s="5"/>
      <c r="AU86" s="5"/>
      <c r="BQ86" s="8"/>
      <c r="BS86" s="8"/>
    </row>
    <row r="87" spans="41:71" x14ac:dyDescent="0.2">
      <c r="AO87" s="5"/>
      <c r="AP87" s="5"/>
      <c r="AQ87" s="5"/>
      <c r="AR87" s="5"/>
      <c r="AS87" s="5"/>
      <c r="AT87" s="5"/>
      <c r="AU87" s="5"/>
      <c r="BQ87" s="8"/>
      <c r="BS87" s="8"/>
    </row>
    <row r="88" spans="41:71" x14ac:dyDescent="0.2">
      <c r="AO88" s="5"/>
      <c r="AP88" s="5"/>
      <c r="AQ88" s="5"/>
      <c r="AR88" s="5"/>
      <c r="AS88" s="5"/>
      <c r="AT88" s="5"/>
      <c r="AU88" s="5"/>
      <c r="BQ88" s="8"/>
      <c r="BS88" s="8"/>
    </row>
    <row r="89" spans="41:71" x14ac:dyDescent="0.2">
      <c r="AO89" s="5"/>
      <c r="AP89" s="5"/>
      <c r="AQ89" s="5"/>
      <c r="AR89" s="5"/>
      <c r="AS89" s="5"/>
      <c r="AT89" s="5"/>
      <c r="AU89" s="5"/>
      <c r="BQ89" s="8"/>
      <c r="BS89" s="8"/>
    </row>
    <row r="90" spans="41:71" x14ac:dyDescent="0.2">
      <c r="AO90" s="5"/>
      <c r="AP90" s="5"/>
      <c r="AQ90" s="5"/>
      <c r="AR90" s="5"/>
      <c r="AS90" s="5"/>
      <c r="AT90" s="5"/>
      <c r="AU90" s="5"/>
      <c r="BQ90" s="8"/>
      <c r="BS90" s="8"/>
    </row>
    <row r="91" spans="41:71" x14ac:dyDescent="0.2">
      <c r="AO91" s="5"/>
      <c r="AP91" s="5"/>
      <c r="AQ91" s="5"/>
      <c r="AR91" s="5"/>
      <c r="AS91" s="5"/>
      <c r="AT91" s="5"/>
      <c r="AU91" s="5"/>
      <c r="BQ91" s="8"/>
      <c r="BS91" s="8"/>
    </row>
    <row r="92" spans="41:71" x14ac:dyDescent="0.2">
      <c r="AO92" s="5"/>
      <c r="AP92" s="5"/>
      <c r="AQ92" s="5"/>
      <c r="AR92" s="5"/>
      <c r="AS92" s="5"/>
      <c r="AT92" s="5"/>
      <c r="AU92" s="5"/>
      <c r="BQ92" s="8"/>
      <c r="BS92" s="8"/>
    </row>
    <row r="93" spans="41:71" x14ac:dyDescent="0.2">
      <c r="AO93" s="5"/>
      <c r="AP93" s="5"/>
      <c r="AQ93" s="5"/>
      <c r="AR93" s="5"/>
      <c r="AS93" s="5"/>
      <c r="AT93" s="5"/>
      <c r="AU93" s="5"/>
      <c r="BQ93" s="8"/>
      <c r="BS93" s="8"/>
    </row>
    <row r="94" spans="41:71" x14ac:dyDescent="0.2">
      <c r="AO94" s="5"/>
      <c r="AP94" s="5"/>
      <c r="AQ94" s="5"/>
      <c r="AR94" s="5"/>
      <c r="AS94" s="5"/>
      <c r="AT94" s="5"/>
      <c r="AU94" s="5"/>
      <c r="BQ94" s="8"/>
      <c r="BS94" s="8"/>
    </row>
    <row r="95" spans="41:71" x14ac:dyDescent="0.2">
      <c r="AO95" s="5"/>
      <c r="AP95" s="5"/>
      <c r="AQ95" s="5"/>
      <c r="AR95" s="5"/>
      <c r="AS95" s="5"/>
      <c r="AT95" s="5"/>
      <c r="AU95" s="5"/>
      <c r="BQ95" s="8"/>
      <c r="BS95" s="8"/>
    </row>
    <row r="96" spans="41:71" x14ac:dyDescent="0.2">
      <c r="AO96" s="5"/>
      <c r="AP96" s="5"/>
      <c r="AQ96" s="5"/>
      <c r="AR96" s="5"/>
      <c r="AS96" s="5"/>
      <c r="AT96" s="5"/>
      <c r="AU96" s="5"/>
      <c r="BQ96" s="8"/>
      <c r="BS96" s="8"/>
    </row>
    <row r="97" spans="41:71" x14ac:dyDescent="0.2">
      <c r="AO97" s="5"/>
      <c r="AP97" s="5"/>
      <c r="AQ97" s="5"/>
      <c r="AR97" s="5"/>
      <c r="AS97" s="5"/>
      <c r="AT97" s="5"/>
      <c r="AU97" s="5"/>
      <c r="BQ97" s="8"/>
      <c r="BS97" s="8"/>
    </row>
    <row r="98" spans="41:71" x14ac:dyDescent="0.2">
      <c r="AO98" s="5"/>
      <c r="AP98" s="5"/>
      <c r="AQ98" s="5"/>
      <c r="AR98" s="5"/>
      <c r="AS98" s="5"/>
      <c r="AT98" s="5"/>
      <c r="AU98" s="5"/>
      <c r="BQ98" s="8"/>
      <c r="BS98" s="8"/>
    </row>
    <row r="99" spans="41:71" x14ac:dyDescent="0.2">
      <c r="AO99" s="5"/>
      <c r="AP99" s="5"/>
      <c r="AQ99" s="5"/>
      <c r="AR99" s="5"/>
      <c r="AS99" s="5"/>
      <c r="AT99" s="5"/>
      <c r="AU99" s="5"/>
      <c r="BQ99" s="8"/>
      <c r="BS99" s="8"/>
    </row>
    <row r="100" spans="41:71" x14ac:dyDescent="0.2">
      <c r="AO100" s="5"/>
      <c r="AP100" s="5"/>
      <c r="AQ100" s="5"/>
      <c r="AR100" s="5"/>
      <c r="AS100" s="5"/>
      <c r="AT100" s="5"/>
      <c r="AU100" s="5"/>
      <c r="BQ100" s="8"/>
      <c r="BS100" s="8"/>
    </row>
    <row r="101" spans="41:71" x14ac:dyDescent="0.2">
      <c r="AO101" s="5"/>
      <c r="AP101" s="5"/>
      <c r="AQ101" s="5"/>
      <c r="AR101" s="5"/>
      <c r="AS101" s="5"/>
      <c r="AT101" s="5"/>
      <c r="AU101" s="5"/>
      <c r="BQ101" s="8"/>
      <c r="BS101" s="8"/>
    </row>
    <row r="102" spans="41:71" x14ac:dyDescent="0.2">
      <c r="AO102" s="5"/>
      <c r="AP102" s="5"/>
      <c r="AQ102" s="5"/>
      <c r="AR102" s="5"/>
      <c r="AS102" s="5"/>
      <c r="AT102" s="5"/>
      <c r="AU102" s="5"/>
      <c r="BQ102" s="8"/>
      <c r="BS102" s="8"/>
    </row>
    <row r="103" spans="41:71" x14ac:dyDescent="0.2">
      <c r="AO103" s="5"/>
      <c r="AP103" s="5"/>
      <c r="AQ103" s="5"/>
      <c r="AR103" s="5"/>
      <c r="AS103" s="5"/>
      <c r="AT103" s="5"/>
      <c r="AU103" s="5"/>
      <c r="BQ103" s="8"/>
      <c r="BS103" s="8"/>
    </row>
    <row r="104" spans="41:71" x14ac:dyDescent="0.2">
      <c r="AO104" s="5"/>
      <c r="AP104" s="5"/>
      <c r="AQ104" s="5"/>
      <c r="AR104" s="5"/>
      <c r="AS104" s="5"/>
      <c r="AT104" s="5"/>
      <c r="AU104" s="5"/>
    </row>
    <row r="105" spans="41:71" x14ac:dyDescent="0.2">
      <c r="AO105" s="5"/>
      <c r="AP105" s="5"/>
      <c r="AQ105" s="5"/>
      <c r="AR105" s="5"/>
      <c r="AS105" s="5"/>
      <c r="AT105" s="5"/>
      <c r="AU105" s="5"/>
    </row>
    <row r="106" spans="41:71" x14ac:dyDescent="0.2">
      <c r="AO106" s="5"/>
      <c r="AP106" s="5"/>
      <c r="AQ106" s="5"/>
      <c r="AR106" s="5"/>
      <c r="AS106" s="5"/>
      <c r="AT106" s="5"/>
      <c r="AU106" s="5"/>
    </row>
    <row r="107" spans="41:71" x14ac:dyDescent="0.2">
      <c r="AU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5"/>
  <sheetViews>
    <sheetView zoomScale="64" workbookViewId="0">
      <selection activeCell="H22" sqref="H22"/>
    </sheetView>
  </sheetViews>
  <sheetFormatPr baseColWidth="10" defaultRowHeight="16" x14ac:dyDescent="0.2"/>
  <cols>
    <col min="1" max="1" width="2.6640625" customWidth="1"/>
    <col min="2" max="2" width="19" customWidth="1"/>
    <col min="3" max="3" width="14.1640625" bestFit="1" customWidth="1"/>
    <col min="4" max="4" width="12.6640625" bestFit="1" customWidth="1"/>
    <col min="5" max="5" width="15.1640625" bestFit="1" customWidth="1"/>
    <col min="6" max="6" width="17.5" bestFit="1" customWidth="1"/>
    <col min="7" max="7" width="17.1640625" bestFit="1" customWidth="1"/>
    <col min="8" max="8" width="15.5" bestFit="1" customWidth="1"/>
    <col min="9" max="9" width="13.6640625" bestFit="1" customWidth="1"/>
    <col min="10" max="10" width="12.1640625" bestFit="1" customWidth="1"/>
    <col min="11" max="11" width="14.5" bestFit="1" customWidth="1"/>
    <col min="12" max="12" width="17.83203125" bestFit="1" customWidth="1"/>
    <col min="13" max="13" width="19.33203125" bestFit="1" customWidth="1"/>
    <col min="14" max="14" width="4.6640625" bestFit="1" customWidth="1"/>
    <col min="15" max="15" width="12.6640625" bestFit="1" customWidth="1"/>
    <col min="16" max="16" width="11" bestFit="1" customWidth="1"/>
    <col min="17" max="17" width="16.5" customWidth="1"/>
    <col min="18" max="18" width="2.83203125" customWidth="1"/>
    <col min="19" max="19" width="12.6640625" bestFit="1" customWidth="1"/>
    <col min="20" max="20" width="5.33203125" bestFit="1" customWidth="1"/>
    <col min="21" max="21" width="13" bestFit="1" customWidth="1"/>
  </cols>
  <sheetData>
    <row r="1" spans="2:21" s="19" customFormat="1" x14ac:dyDescent="0.2">
      <c r="B1" s="18" t="s">
        <v>141</v>
      </c>
      <c r="C1" s="18"/>
      <c r="D1" s="18"/>
      <c r="E1" s="18"/>
      <c r="F1" s="18"/>
      <c r="G1" s="18"/>
      <c r="H1" s="18"/>
      <c r="I1" s="18"/>
      <c r="J1" s="18"/>
      <c r="K1" s="18"/>
      <c r="S1" s="19" t="s">
        <v>142</v>
      </c>
    </row>
    <row r="2" spans="2:21" ht="32" customHeight="1" x14ac:dyDescent="0.2">
      <c r="B2" s="4" t="s">
        <v>50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3" t="s">
        <v>64</v>
      </c>
      <c r="M2" s="3" t="s">
        <v>65</v>
      </c>
      <c r="N2" s="3" t="s">
        <v>63</v>
      </c>
      <c r="O2" s="20" t="s">
        <v>52</v>
      </c>
      <c r="P2" s="20" t="s">
        <v>143</v>
      </c>
      <c r="Q2" s="20" t="s">
        <v>144</v>
      </c>
      <c r="S2" t="s">
        <v>145</v>
      </c>
      <c r="T2">
        <v>45.6</v>
      </c>
      <c r="U2" t="s">
        <v>146</v>
      </c>
    </row>
    <row r="3" spans="2:21" x14ac:dyDescent="0.2">
      <c r="B3" t="str">
        <f>lc_detailed!AM3</f>
        <v>CA_TSC</v>
      </c>
      <c r="C3" s="21">
        <f>lc_detailed!AU3/$T$2</f>
        <v>0</v>
      </c>
      <c r="D3" s="21">
        <f>lc_detailed!AV3/$T$2</f>
        <v>0</v>
      </c>
      <c r="E3" s="21">
        <f>lc_detailed!AW3/$T$2</f>
        <v>0</v>
      </c>
      <c r="F3" s="21">
        <f>lc_detailed!AX3/$T$2</f>
        <v>9.079842636033753</v>
      </c>
      <c r="G3" s="21">
        <f>lc_detailed!AY3/$T$2</f>
        <v>-2.9399663335483529E-2</v>
      </c>
      <c r="H3" s="21">
        <f>lc_detailed!AZ3/$T$2</f>
        <v>0</v>
      </c>
      <c r="I3" s="21">
        <f>lc_detailed!BA3/$T$2</f>
        <v>5.1922874272807658</v>
      </c>
      <c r="J3" s="21">
        <f>lc_detailed!BB3/$T$2</f>
        <v>2.8418047707297904</v>
      </c>
      <c r="K3" s="21">
        <f>lc_detailed!BC3/$T$2</f>
        <v>0.69221423897216883</v>
      </c>
      <c r="L3" s="21">
        <f>lc_detailed!BE3/$T$2</f>
        <v>0</v>
      </c>
      <c r="M3" s="21">
        <f>lc_detailed!BF3/$T$2</f>
        <v>1.1051347857539076</v>
      </c>
      <c r="N3" s="21">
        <f>lc_detailed!BD3</f>
        <v>0.50437876878389287</v>
      </c>
      <c r="O3" s="21">
        <f>lc_detailed!AO3</f>
        <v>861.01391931183161</v>
      </c>
      <c r="P3" s="21">
        <f t="shared" ref="P3:P34" si="0">O3/$T$2</f>
        <v>18.881884195434903</v>
      </c>
      <c r="Q3" s="21">
        <f t="shared" ref="Q3:Q34" si="1">SUM(C3:M3)</f>
        <v>18.881884195434903</v>
      </c>
    </row>
    <row r="4" spans="2:21" x14ac:dyDescent="0.2">
      <c r="B4" t="str">
        <f>lc_detailed!AM4</f>
        <v>SW_TSC</v>
      </c>
      <c r="C4" s="21">
        <f>lc_detailed!AU4/$T$2</f>
        <v>0</v>
      </c>
      <c r="D4" s="21">
        <f>lc_detailed!AV4/$T$2</f>
        <v>0</v>
      </c>
      <c r="E4" s="21">
        <f>lc_detailed!AW4/$T$2</f>
        <v>0</v>
      </c>
      <c r="F4" s="21">
        <f>lc_detailed!AX4/$T$2</f>
        <v>9.079842636033753</v>
      </c>
      <c r="G4" s="21">
        <f>lc_detailed!AY4/$T$2</f>
        <v>-1.1980339652309062E-2</v>
      </c>
      <c r="H4" s="21">
        <f>lc_detailed!AZ4/$T$2</f>
        <v>0</v>
      </c>
      <c r="I4" s="21">
        <f>lc_detailed!BA4/$T$2</f>
        <v>5.1922874272807658</v>
      </c>
      <c r="J4" s="21">
        <f>lc_detailed!BB4/$T$2</f>
        <v>2.8418047707297904</v>
      </c>
      <c r="K4" s="21">
        <f>lc_detailed!BC4/$T$2</f>
        <v>0.69221423897216883</v>
      </c>
      <c r="L4" s="21">
        <f>lc_detailed!BE4/$T$2</f>
        <v>0</v>
      </c>
      <c r="M4" s="21">
        <f>lc_detailed!BF4/$T$2</f>
        <v>1.1051347857539076</v>
      </c>
      <c r="N4" s="21">
        <f>lc_detailed!BD4</f>
        <v>0.50437876878389287</v>
      </c>
      <c r="O4" s="21">
        <f>lc_detailed!AO4</f>
        <v>861.8082404717843</v>
      </c>
      <c r="P4" s="21">
        <f t="shared" si="0"/>
        <v>18.899303519118074</v>
      </c>
      <c r="Q4" s="21">
        <f t="shared" si="1"/>
        <v>18.899303519118078</v>
      </c>
    </row>
    <row r="5" spans="2:21" x14ac:dyDescent="0.2">
      <c r="B5" t="str">
        <f>lc_detailed!AM5</f>
        <v>NW_TSC</v>
      </c>
      <c r="C5" s="21">
        <f>lc_detailed!AU5/$T$2</f>
        <v>0</v>
      </c>
      <c r="D5" s="21">
        <f>lc_detailed!AV5/$T$2</f>
        <v>0</v>
      </c>
      <c r="E5" s="21">
        <f>lc_detailed!AW5/$T$2</f>
        <v>0</v>
      </c>
      <c r="F5" s="21">
        <f>lc_detailed!AX5/$T$2</f>
        <v>9.079842636033753</v>
      </c>
      <c r="G5" s="21">
        <f>lc_detailed!AY5/$T$2</f>
        <v>-2.2863492234672874E-2</v>
      </c>
      <c r="H5" s="21">
        <f>lc_detailed!AZ5/$T$2</f>
        <v>0</v>
      </c>
      <c r="I5" s="21">
        <f>lc_detailed!BA5/$T$2</f>
        <v>5.1922874272807658</v>
      </c>
      <c r="J5" s="21">
        <f>lc_detailed!BB5/$T$2</f>
        <v>2.8418047707297904</v>
      </c>
      <c r="K5" s="21">
        <f>lc_detailed!BC5/$T$2</f>
        <v>0.69221423897216883</v>
      </c>
      <c r="L5" s="21">
        <f>lc_detailed!BE5/$T$2</f>
        <v>0</v>
      </c>
      <c r="M5" s="21">
        <f>lc_detailed!BF5/$T$2</f>
        <v>1.1051347857539076</v>
      </c>
      <c r="N5" s="21">
        <f>lc_detailed!BD5</f>
        <v>0.50437876878389287</v>
      </c>
      <c r="O5" s="21">
        <f>lc_detailed!AO5</f>
        <v>861.31196871402858</v>
      </c>
      <c r="P5" s="21">
        <f t="shared" si="0"/>
        <v>18.888420366535716</v>
      </c>
      <c r="Q5" s="21">
        <f t="shared" si="1"/>
        <v>18.888420366535712</v>
      </c>
    </row>
    <row r="6" spans="2:21" x14ac:dyDescent="0.2">
      <c r="B6" t="str">
        <f>lc_detailed!AM6</f>
        <v>TX_TSC</v>
      </c>
      <c r="C6" s="21">
        <f>lc_detailed!AU6/$T$2</f>
        <v>0</v>
      </c>
      <c r="D6" s="21">
        <f>lc_detailed!AV6/$T$2</f>
        <v>0</v>
      </c>
      <c r="E6" s="21">
        <f>lc_detailed!AW6/$T$2</f>
        <v>0</v>
      </c>
      <c r="F6" s="21">
        <f>lc_detailed!AX6/$T$2</f>
        <v>9.079842636033753</v>
      </c>
      <c r="G6" s="21">
        <f>lc_detailed!AY6/$T$2</f>
        <v>-1.388652757205903E-2</v>
      </c>
      <c r="H6" s="21">
        <f>lc_detailed!AZ6/$T$2</f>
        <v>0</v>
      </c>
      <c r="I6" s="21">
        <f>lc_detailed!BA6/$T$2</f>
        <v>5.1922874272807658</v>
      </c>
      <c r="J6" s="21">
        <f>lc_detailed!BB6/$T$2</f>
        <v>2.8418047707297904</v>
      </c>
      <c r="K6" s="21">
        <f>lc_detailed!BC6/$T$2</f>
        <v>0.69221423897216883</v>
      </c>
      <c r="L6" s="21">
        <f>lc_detailed!BE6/$T$2</f>
        <v>0</v>
      </c>
      <c r="M6" s="21">
        <f>lc_detailed!BF6/$T$2</f>
        <v>1.1051347857539076</v>
      </c>
      <c r="N6" s="21">
        <f>lc_detailed!BD6</f>
        <v>0.50437876878389287</v>
      </c>
      <c r="O6" s="21">
        <f>lc_detailed!AO6</f>
        <v>861.72131830264379</v>
      </c>
      <c r="P6" s="21">
        <f t="shared" si="0"/>
        <v>18.897397331198327</v>
      </c>
      <c r="Q6" s="21">
        <f t="shared" si="1"/>
        <v>18.897397331198327</v>
      </c>
    </row>
    <row r="7" spans="2:21" x14ac:dyDescent="0.2">
      <c r="B7" t="str">
        <f>lc_detailed!AM7</f>
        <v>NCEN_TSC</v>
      </c>
      <c r="C7" s="21">
        <f>lc_detailed!AU7/$T$2</f>
        <v>0</v>
      </c>
      <c r="D7" s="21">
        <f>lc_detailed!AV7/$T$2</f>
        <v>0</v>
      </c>
      <c r="E7" s="21">
        <f>lc_detailed!AW7/$T$2</f>
        <v>0</v>
      </c>
      <c r="F7" s="21">
        <f>lc_detailed!AX7/$T$2</f>
        <v>9.079842636033753</v>
      </c>
      <c r="G7" s="21">
        <f>lc_detailed!AY7/$T$2</f>
        <v>-7.7325109559540734E-3</v>
      </c>
      <c r="H7" s="21">
        <f>lc_detailed!AZ7/$T$2</f>
        <v>0</v>
      </c>
      <c r="I7" s="21">
        <f>lc_detailed!BA7/$T$2</f>
        <v>5.1922874272807658</v>
      </c>
      <c r="J7" s="21">
        <f>lc_detailed!BB7/$T$2</f>
        <v>2.8418047707297904</v>
      </c>
      <c r="K7" s="21">
        <f>lc_detailed!BC7/$T$2</f>
        <v>0.69221423897216883</v>
      </c>
      <c r="L7" s="21">
        <f>lc_detailed!BE7/$T$2</f>
        <v>0</v>
      </c>
      <c r="M7" s="21">
        <f>lc_detailed!BF7/$T$2</f>
        <v>1.1051347857539076</v>
      </c>
      <c r="N7" s="21">
        <f>lc_detailed!BD7</f>
        <v>0.50437876878389287</v>
      </c>
      <c r="O7" s="21">
        <f>lc_detailed!AO7</f>
        <v>862.00194146033823</v>
      </c>
      <c r="P7" s="21">
        <f t="shared" si="0"/>
        <v>18.903551347814435</v>
      </c>
      <c r="Q7" s="21">
        <f t="shared" si="1"/>
        <v>18.903551347814432</v>
      </c>
    </row>
    <row r="8" spans="2:21" x14ac:dyDescent="0.2">
      <c r="B8" t="str">
        <f>lc_detailed!AM8</f>
        <v>CEN_TSC</v>
      </c>
      <c r="C8" s="21">
        <f>lc_detailed!AU8/$T$2</f>
        <v>0</v>
      </c>
      <c r="D8" s="21">
        <f>lc_detailed!AV8/$T$2</f>
        <v>0</v>
      </c>
      <c r="E8" s="21">
        <f>lc_detailed!AW8/$T$2</f>
        <v>0</v>
      </c>
      <c r="F8" s="21">
        <f>lc_detailed!AX8/$T$2</f>
        <v>9.079842636033753</v>
      </c>
      <c r="G8" s="21">
        <f>lc_detailed!AY8/$T$2</f>
        <v>-1.3420286350359913E-2</v>
      </c>
      <c r="H8" s="21">
        <f>lc_detailed!AZ8/$T$2</f>
        <v>0</v>
      </c>
      <c r="I8" s="21">
        <f>lc_detailed!BA8/$T$2</f>
        <v>5.1922874272807658</v>
      </c>
      <c r="J8" s="21">
        <f>lc_detailed!BB8/$T$2</f>
        <v>2.8418047707297904</v>
      </c>
      <c r="K8" s="21">
        <f>lc_detailed!BC8/$T$2</f>
        <v>0.69221423897216883</v>
      </c>
      <c r="L8" s="21">
        <f>lc_detailed!BE8/$T$2</f>
        <v>0</v>
      </c>
      <c r="M8" s="21">
        <f>lc_detailed!BF8/$T$2</f>
        <v>1.1051347857539076</v>
      </c>
      <c r="N8" s="21">
        <f>lc_detailed!BD8</f>
        <v>0.50437876878389287</v>
      </c>
      <c r="O8" s="21">
        <f>lc_detailed!AO8</f>
        <v>861.74257890235322</v>
      </c>
      <c r="P8" s="21">
        <f t="shared" si="0"/>
        <v>18.897863572420025</v>
      </c>
      <c r="Q8" s="21">
        <f t="shared" si="1"/>
        <v>18.897863572420025</v>
      </c>
    </row>
    <row r="9" spans="2:21" x14ac:dyDescent="0.2">
      <c r="B9" t="str">
        <f>lc_detailed!AM9</f>
        <v>SE_TSC</v>
      </c>
      <c r="C9" s="21">
        <f>lc_detailed!AU9/$T$2</f>
        <v>0</v>
      </c>
      <c r="D9" s="21">
        <f>lc_detailed!AV9/$T$2</f>
        <v>0</v>
      </c>
      <c r="E9" s="21">
        <f>lc_detailed!AW9/$T$2</f>
        <v>0</v>
      </c>
      <c r="F9" s="21">
        <f>lc_detailed!AX9/$T$2</f>
        <v>9.079842636033753</v>
      </c>
      <c r="G9" s="21">
        <f>lc_detailed!AY9/$T$2</f>
        <v>-1.3616107475968278E-2</v>
      </c>
      <c r="H9" s="21">
        <f>lc_detailed!AZ9/$T$2</f>
        <v>0</v>
      </c>
      <c r="I9" s="21">
        <f>lc_detailed!BA9/$T$2</f>
        <v>5.1922874272807658</v>
      </c>
      <c r="J9" s="21">
        <f>lc_detailed!BB9/$T$2</f>
        <v>2.8418047707297904</v>
      </c>
      <c r="K9" s="21">
        <f>lc_detailed!BC9/$T$2</f>
        <v>0.69221423897216883</v>
      </c>
      <c r="L9" s="21">
        <f>lc_detailed!BE9/$T$2</f>
        <v>0</v>
      </c>
      <c r="M9" s="21">
        <f>lc_detailed!BF9/$T$2</f>
        <v>1.1051347857539076</v>
      </c>
      <c r="N9" s="21">
        <f>lc_detailed!BD9</f>
        <v>0.50437876878389287</v>
      </c>
      <c r="O9" s="21">
        <f>lc_detailed!AO9</f>
        <v>861.7336494590254</v>
      </c>
      <c r="P9" s="21">
        <f t="shared" si="0"/>
        <v>18.897667751294417</v>
      </c>
      <c r="Q9" s="21">
        <f t="shared" si="1"/>
        <v>18.897667751294417</v>
      </c>
    </row>
    <row r="10" spans="2:21" x14ac:dyDescent="0.2">
      <c r="B10" t="str">
        <f>lc_detailed!AM10</f>
        <v>MIDAT_TSC</v>
      </c>
      <c r="C10" s="21">
        <f>lc_detailed!AU10/$T$2</f>
        <v>0</v>
      </c>
      <c r="D10" s="21">
        <f>lc_detailed!AV10/$T$2</f>
        <v>0</v>
      </c>
      <c r="E10" s="21">
        <f>lc_detailed!AW10/$T$2</f>
        <v>0</v>
      </c>
      <c r="F10" s="21">
        <f>lc_detailed!AX10/$T$2</f>
        <v>9.079842636033753</v>
      </c>
      <c r="G10" s="21">
        <f>lc_detailed!AY10/$T$2</f>
        <v>-8.7210762247168436E-3</v>
      </c>
      <c r="H10" s="21">
        <f>lc_detailed!AZ10/$T$2</f>
        <v>0</v>
      </c>
      <c r="I10" s="21">
        <f>lc_detailed!BA10/$T$2</f>
        <v>5.1922874272807658</v>
      </c>
      <c r="J10" s="21">
        <f>lc_detailed!BB10/$T$2</f>
        <v>2.8418047707297904</v>
      </c>
      <c r="K10" s="21">
        <f>lc_detailed!BC10/$T$2</f>
        <v>0.69221423897216883</v>
      </c>
      <c r="L10" s="21">
        <f>lc_detailed!BE10/$T$2</f>
        <v>0</v>
      </c>
      <c r="M10" s="21">
        <f>lc_detailed!BF10/$T$2</f>
        <v>1.1051347857539076</v>
      </c>
      <c r="N10" s="21">
        <f>lc_detailed!BD10</f>
        <v>0.50437876878389287</v>
      </c>
      <c r="O10" s="21">
        <f>lc_detailed!AO10</f>
        <v>861.95686288408251</v>
      </c>
      <c r="P10" s="21">
        <f t="shared" si="0"/>
        <v>18.902562782545669</v>
      </c>
      <c r="Q10" s="21">
        <f t="shared" si="1"/>
        <v>18.902562782545669</v>
      </c>
    </row>
    <row r="11" spans="2:21" x14ac:dyDescent="0.2">
      <c r="B11" t="str">
        <f>lc_detailed!AM11</f>
        <v>NE_TSC</v>
      </c>
      <c r="C11" s="21">
        <f>lc_detailed!AU11/$T$2</f>
        <v>0</v>
      </c>
      <c r="D11" s="21">
        <f>lc_detailed!AV11/$T$2</f>
        <v>0</v>
      </c>
      <c r="E11" s="21">
        <f>lc_detailed!AW11/$T$2</f>
        <v>0</v>
      </c>
      <c r="F11" s="21">
        <f>lc_detailed!AX11/$T$2</f>
        <v>9.079842636033753</v>
      </c>
      <c r="G11" s="21">
        <f>lc_detailed!AY11/$T$2</f>
        <v>5.5208385176549898E-2</v>
      </c>
      <c r="H11" s="21">
        <f>lc_detailed!AZ11/$T$2</f>
        <v>0</v>
      </c>
      <c r="I11" s="21">
        <f>lc_detailed!BA11/$T$2</f>
        <v>5.1922874272807658</v>
      </c>
      <c r="J11" s="21">
        <f>lc_detailed!BB11/$T$2</f>
        <v>2.8418047707297904</v>
      </c>
      <c r="K11" s="21">
        <f>lc_detailed!BC11/$T$2</f>
        <v>0.69221423897216883</v>
      </c>
      <c r="L11" s="21">
        <f>lc_detailed!BE11/$T$2</f>
        <v>0</v>
      </c>
      <c r="M11" s="21">
        <f>lc_detailed!BF11/$T$2</f>
        <v>1.1051347857539076</v>
      </c>
      <c r="N11" s="21">
        <f>lc_detailed!BD11</f>
        <v>0.50437876878389287</v>
      </c>
      <c r="O11" s="21">
        <f>lc_detailed!AO11</f>
        <v>864.87204632398038</v>
      </c>
      <c r="P11" s="21">
        <f t="shared" si="0"/>
        <v>18.966492243946938</v>
      </c>
      <c r="Q11" s="21">
        <f t="shared" si="1"/>
        <v>18.966492243946938</v>
      </c>
    </row>
    <row r="12" spans="2:21" x14ac:dyDescent="0.2">
      <c r="B12" t="str">
        <f>lc_detailed!AM12</f>
        <v>CA_TSC+CC90</v>
      </c>
      <c r="C12" s="21">
        <f>lc_detailed!AU12/$T$2</f>
        <v>0</v>
      </c>
      <c r="D12" s="21">
        <f>lc_detailed!AV12/$T$2</f>
        <v>0</v>
      </c>
      <c r="E12" s="21">
        <f>lc_detailed!AW12/$T$2</f>
        <v>6.3919178273421681E-2</v>
      </c>
      <c r="F12" s="21">
        <f>lc_detailed!AX12/$T$2</f>
        <v>9.079842636033753</v>
      </c>
      <c r="G12" s="21">
        <f>lc_detailed!AY12/$T$2</f>
        <v>-2.9399663335483529E-2</v>
      </c>
      <c r="H12" s="21">
        <f>lc_detailed!AZ12/$T$2</f>
        <v>0</v>
      </c>
      <c r="I12" s="21">
        <f>lc_detailed!BA12/$T$2</f>
        <v>5.5982890881479141</v>
      </c>
      <c r="J12" s="21">
        <f>lc_detailed!BB12/$T$2</f>
        <v>3.0641325531920858</v>
      </c>
      <c r="K12" s="21">
        <f>lc_detailed!BC12/$T$2</f>
        <v>0.74634069943059123</v>
      </c>
      <c r="L12" s="21">
        <f>lc_detailed!BE12/$T$2</f>
        <v>-0.94098738465269205</v>
      </c>
      <c r="M12" s="21">
        <f>lc_detailed!BF12/$T$2</f>
        <v>1.1051347859602165</v>
      </c>
      <c r="N12" s="21">
        <f>lc_detailed!BD12</f>
        <v>0.50437876887805144</v>
      </c>
      <c r="O12" s="21">
        <f>lc_detailed!AO12</f>
        <v>852.13959832307125</v>
      </c>
      <c r="P12" s="21">
        <f t="shared" si="0"/>
        <v>18.687271893049807</v>
      </c>
      <c r="Q12" s="21">
        <f t="shared" si="1"/>
        <v>18.687271893049804</v>
      </c>
    </row>
    <row r="13" spans="2:21" x14ac:dyDescent="0.2">
      <c r="B13" t="str">
        <f>lc_detailed!AM13</f>
        <v>CA_TSC:H2</v>
      </c>
      <c r="C13" s="21">
        <f>lc_detailed!AU13/$T$2</f>
        <v>0</v>
      </c>
      <c r="D13" s="21">
        <f>lc_detailed!AV13/$T$2</f>
        <v>-0.30639510581400747</v>
      </c>
      <c r="E13" s="21">
        <f>lc_detailed!AW13/$T$2</f>
        <v>0</v>
      </c>
      <c r="F13" s="21">
        <f>lc_detailed!AX13/$T$2</f>
        <v>9.079842636033753</v>
      </c>
      <c r="G13" s="21">
        <f>lc_detailed!AY13/$T$2</f>
        <v>-0.17072840509347034</v>
      </c>
      <c r="H13" s="21">
        <f>lc_detailed!AZ13/$T$2</f>
        <v>0</v>
      </c>
      <c r="I13" s="21">
        <f>lc_detailed!BA13/$T$2</f>
        <v>5.1922874272807658</v>
      </c>
      <c r="J13" s="21">
        <f>lc_detailed!BB13/$T$2</f>
        <v>2.8418047707297904</v>
      </c>
      <c r="K13" s="21">
        <f>lc_detailed!BC13/$T$2</f>
        <v>0.69221423897216883</v>
      </c>
      <c r="L13" s="21">
        <f>lc_detailed!BE13/$T$2</f>
        <v>0</v>
      </c>
      <c r="M13" s="21">
        <f>lc_detailed!BF13/$T$2</f>
        <v>1.9203817928465909</v>
      </c>
      <c r="N13" s="21">
        <f>lc_detailed!BD13</f>
        <v>0.8764540006857201</v>
      </c>
      <c r="O13" s="21">
        <f>lc_detailed!AO13</f>
        <v>877.77297538597509</v>
      </c>
      <c r="P13" s="21">
        <f t="shared" si="0"/>
        <v>19.249407354955594</v>
      </c>
      <c r="Q13" s="21">
        <f t="shared" si="1"/>
        <v>19.249407354955594</v>
      </c>
    </row>
    <row r="14" spans="2:21" x14ac:dyDescent="0.2">
      <c r="B14" t="str">
        <f>lc_detailed!AM14</f>
        <v>CA_TSC+CC90:H2</v>
      </c>
      <c r="C14" s="21">
        <f>lc_detailed!AU14/$T$2</f>
        <v>0</v>
      </c>
      <c r="D14" s="21">
        <f>lc_detailed!AV14/$T$2</f>
        <v>-0.30639510581400747</v>
      </c>
      <c r="E14" s="21">
        <f>lc_detailed!AW14/$T$2</f>
        <v>7.4521648560442966E-2</v>
      </c>
      <c r="F14" s="21">
        <f>lc_detailed!AX14/$T$2</f>
        <v>9.079842636033753</v>
      </c>
      <c r="G14" s="21">
        <f>lc_detailed!AY14/$T$2</f>
        <v>-0.17072840509347034</v>
      </c>
      <c r="H14" s="21">
        <f>lc_detailed!AZ14/$T$2</f>
        <v>0</v>
      </c>
      <c r="I14" s="21">
        <f>lc_detailed!BA14/$T$2</f>
        <v>5.5996407631099441</v>
      </c>
      <c r="J14" s="21">
        <f>lc_detailed!BB14/$T$2</f>
        <v>3.0648553418449445</v>
      </c>
      <c r="K14" s="21">
        <f>lc_detailed!BC14/$T$2</f>
        <v>0.74652089667940558</v>
      </c>
      <c r="L14" s="21">
        <f>lc_detailed!BE14/$T$2</f>
        <v>-1.6351444765381382</v>
      </c>
      <c r="M14" s="21">
        <f>lc_detailed!BF14/$T$2</f>
        <v>1.9203817931766853</v>
      </c>
      <c r="N14" s="21">
        <f>lc_detailed!BD14</f>
        <v>0.87645400083637381</v>
      </c>
      <c r="O14" s="21">
        <f>lc_detailed!AO14</f>
        <v>837.83137619335605</v>
      </c>
      <c r="P14" s="21">
        <f t="shared" si="0"/>
        <v>18.373495091959562</v>
      </c>
      <c r="Q14" s="21">
        <f t="shared" si="1"/>
        <v>18.373495091959558</v>
      </c>
    </row>
    <row r="15" spans="2:21" x14ac:dyDescent="0.2">
      <c r="B15" t="str">
        <f>lc_detailed!AM15</f>
        <v>CA_TSC+H2in</v>
      </c>
      <c r="C15" s="21">
        <f>lc_detailed!AU15/$T$2</f>
        <v>4.2678727335815188E-2</v>
      </c>
      <c r="D15" s="21">
        <f>lc_detailed!AV15/$T$2</f>
        <v>0</v>
      </c>
      <c r="E15" s="21">
        <f>lc_detailed!AW15/$T$2</f>
        <v>0</v>
      </c>
      <c r="F15" s="21">
        <f>lc_detailed!AX15/$T$2</f>
        <v>9.079842636033753</v>
      </c>
      <c r="G15" s="21">
        <f>lc_detailed!AY15/$T$2</f>
        <v>0</v>
      </c>
      <c r="H15" s="21">
        <f>lc_detailed!AZ15/$T$2</f>
        <v>0</v>
      </c>
      <c r="I15" s="21">
        <f>lc_detailed!BA15/$T$2</f>
        <v>5.1922874272807658</v>
      </c>
      <c r="J15" s="21">
        <f>lc_detailed!BB15/$T$2</f>
        <v>2.8418047707297904</v>
      </c>
      <c r="K15" s="21">
        <f>lc_detailed!BC15/$T$2</f>
        <v>0.69221423897216883</v>
      </c>
      <c r="L15" s="21">
        <f>lc_detailed!BE15/$T$2</f>
        <v>0</v>
      </c>
      <c r="M15" s="21">
        <f>lc_detailed!BF15/$T$2</f>
        <v>0.93554445886223792</v>
      </c>
      <c r="N15" s="21">
        <f>lc_detailed!BD15</f>
        <v>0.42697847211607459</v>
      </c>
      <c r="O15" s="21">
        <f>lc_detailed!AO15</f>
        <v>856.56737502018268</v>
      </c>
      <c r="P15" s="21">
        <f t="shared" si="0"/>
        <v>18.784372259214532</v>
      </c>
      <c r="Q15" s="21">
        <f t="shared" si="1"/>
        <v>18.784372259214532</v>
      </c>
    </row>
    <row r="16" spans="2:21" x14ac:dyDescent="0.2">
      <c r="B16" t="str">
        <f>lc_detailed!AM16</f>
        <v>CA_TSC+H2in:CH4</v>
      </c>
      <c r="C16" s="21">
        <f>lc_detailed!AU16/$T$2</f>
        <v>0.2637163786123633</v>
      </c>
      <c r="D16" s="21">
        <f>lc_detailed!AV16/$T$2</f>
        <v>0</v>
      </c>
      <c r="E16" s="21">
        <f>lc_detailed!AW16/$T$2</f>
        <v>0</v>
      </c>
      <c r="F16" s="21">
        <f>lc_detailed!AX16/$T$2</f>
        <v>9.079842636033753</v>
      </c>
      <c r="G16" s="21">
        <f>lc_detailed!AY16/$T$2</f>
        <v>0</v>
      </c>
      <c r="H16" s="21">
        <f>lc_detailed!AZ16/$T$2</f>
        <v>0.15299954696665649</v>
      </c>
      <c r="I16" s="21">
        <f>lc_detailed!BA16/$T$2</f>
        <v>5.1922874272807658</v>
      </c>
      <c r="J16" s="21">
        <f>lc_detailed!BB16/$T$2</f>
        <v>2.8418047707297904</v>
      </c>
      <c r="K16" s="21">
        <f>lc_detailed!BC16/$T$2</f>
        <v>0.69221423897216883</v>
      </c>
      <c r="L16" s="21">
        <f>lc_detailed!BE16/$T$2</f>
        <v>0</v>
      </c>
      <c r="M16" s="21">
        <f>lc_detailed!BF16/$T$2</f>
        <v>0.93554445913605078</v>
      </c>
      <c r="N16" s="21">
        <f>lc_detailed!BD16</f>
        <v>0.42697847224104163</v>
      </c>
      <c r="O16" s="21">
        <f>lc_detailed!AO16</f>
        <v>873.62347127255873</v>
      </c>
      <c r="P16" s="21">
        <f t="shared" si="0"/>
        <v>19.158409457731551</v>
      </c>
      <c r="Q16" s="21">
        <f t="shared" si="1"/>
        <v>19.158409457731548</v>
      </c>
    </row>
    <row r="17" spans="2:17" x14ac:dyDescent="0.2">
      <c r="B17" t="str">
        <f>lc_detailed!AM17</f>
        <v>SW_TSC+CC90</v>
      </c>
      <c r="C17" s="21">
        <f>lc_detailed!AU17/$T$2</f>
        <v>0</v>
      </c>
      <c r="D17" s="21">
        <f>lc_detailed!AV17/$T$2</f>
        <v>0</v>
      </c>
      <c r="E17" s="21">
        <f>lc_detailed!AW17/$T$2</f>
        <v>6.680852938958344E-2</v>
      </c>
      <c r="F17" s="21">
        <f>lc_detailed!AX17/$T$2</f>
        <v>9.079842636033753</v>
      </c>
      <c r="G17" s="21">
        <f>lc_detailed!AY17/$T$2</f>
        <v>-1.1980339652309062E-2</v>
      </c>
      <c r="H17" s="21">
        <f>lc_detailed!AZ17/$T$2</f>
        <v>0</v>
      </c>
      <c r="I17" s="21">
        <f>lc_detailed!BA17/$T$2</f>
        <v>5.5982890881479141</v>
      </c>
      <c r="J17" s="21">
        <f>lc_detailed!BB17/$T$2</f>
        <v>3.0641325531920858</v>
      </c>
      <c r="K17" s="21">
        <f>lc_detailed!BC17/$T$2</f>
        <v>0.74634069943059123</v>
      </c>
      <c r="L17" s="21">
        <f>lc_detailed!BE17/$T$2</f>
        <v>-0.94164953110951999</v>
      </c>
      <c r="M17" s="21">
        <f>lc_detailed!BF17/$T$2</f>
        <v>1.1051347859602165</v>
      </c>
      <c r="N17" s="21">
        <f>lc_detailed!BD17</f>
        <v>0.50437876887805144</v>
      </c>
      <c r="O17" s="21">
        <f>lc_detailed!AO17</f>
        <v>853.03548001548961</v>
      </c>
      <c r="P17" s="21">
        <f t="shared" si="0"/>
        <v>18.706918421392317</v>
      </c>
      <c r="Q17" s="21">
        <f t="shared" si="1"/>
        <v>18.706918421392313</v>
      </c>
    </row>
    <row r="18" spans="2:17" x14ac:dyDescent="0.2">
      <c r="B18" t="str">
        <f>lc_detailed!AM18</f>
        <v>SW_TSC:H2</v>
      </c>
      <c r="C18" s="21">
        <f>lc_detailed!AU18/$T$2</f>
        <v>0</v>
      </c>
      <c r="D18" s="21">
        <f>lc_detailed!AV18/$T$2</f>
        <v>-0.41182630936364006</v>
      </c>
      <c r="E18" s="21">
        <f>lc_detailed!AW18/$T$2</f>
        <v>0</v>
      </c>
      <c r="F18" s="21">
        <f>lc_detailed!AX18/$T$2</f>
        <v>9.079842636033753</v>
      </c>
      <c r="G18" s="21">
        <f>lc_detailed!AY18/$T$2</f>
        <v>-6.9571690599876279E-2</v>
      </c>
      <c r="H18" s="21">
        <f>lc_detailed!AZ18/$T$2</f>
        <v>0</v>
      </c>
      <c r="I18" s="21">
        <f>lc_detailed!BA18/$T$2</f>
        <v>5.1922874272807658</v>
      </c>
      <c r="J18" s="21">
        <f>lc_detailed!BB18/$T$2</f>
        <v>2.8418047707297904</v>
      </c>
      <c r="K18" s="21">
        <f>lc_detailed!BC18/$T$2</f>
        <v>0.69221423897216883</v>
      </c>
      <c r="L18" s="21">
        <f>lc_detailed!BE18/$T$2</f>
        <v>0</v>
      </c>
      <c r="M18" s="21">
        <f>lc_detailed!BF18/$T$2</f>
        <v>1.9203817928465909</v>
      </c>
      <c r="N18" s="21">
        <f>lc_detailed!BD18</f>
        <v>0.8764540006857201</v>
      </c>
      <c r="O18" s="21">
        <f>lc_detailed!AO18</f>
        <v>877.57805868501964</v>
      </c>
      <c r="P18" s="21">
        <f t="shared" si="0"/>
        <v>19.245132865899553</v>
      </c>
      <c r="Q18" s="21">
        <f t="shared" si="1"/>
        <v>19.245132865899553</v>
      </c>
    </row>
    <row r="19" spans="2:17" x14ac:dyDescent="0.2">
      <c r="B19" t="str">
        <f>lc_detailed!AM19</f>
        <v>SW_TSC+CC90:H2</v>
      </c>
      <c r="C19" s="21">
        <f>lc_detailed!AU19/$T$2</f>
        <v>0</v>
      </c>
      <c r="D19" s="21">
        <f>lc_detailed!AV19/$T$2</f>
        <v>-0.41182630936364006</v>
      </c>
      <c r="E19" s="21">
        <f>lc_detailed!AW19/$T$2</f>
        <v>7.7890265214513171E-2</v>
      </c>
      <c r="F19" s="21">
        <f>lc_detailed!AX19/$T$2</f>
        <v>9.079842636033753</v>
      </c>
      <c r="G19" s="21">
        <f>lc_detailed!AY19/$T$2</f>
        <v>-6.9571690599876279E-2</v>
      </c>
      <c r="H19" s="21">
        <f>lc_detailed!AZ19/$T$2</f>
        <v>0</v>
      </c>
      <c r="I19" s="21">
        <f>lc_detailed!BA19/$T$2</f>
        <v>5.5996407631099441</v>
      </c>
      <c r="J19" s="21">
        <f>lc_detailed!BB19/$T$2</f>
        <v>3.0648553418449445</v>
      </c>
      <c r="K19" s="21">
        <f>lc_detailed!BC19/$T$2</f>
        <v>0.74652089667940558</v>
      </c>
      <c r="L19" s="21">
        <f>lc_detailed!BE19/$T$2</f>
        <v>-1.6362950818907711</v>
      </c>
      <c r="M19" s="21">
        <f>lc_detailed!BF19/$T$2</f>
        <v>1.9203817931766853</v>
      </c>
      <c r="N19" s="21">
        <f>lc_detailed!BD19</f>
        <v>0.87645400083637381</v>
      </c>
      <c r="O19" s="21">
        <f>lc_detailed!AO19</f>
        <v>837.73760080774616</v>
      </c>
      <c r="P19" s="21">
        <f t="shared" si="0"/>
        <v>18.371438614204958</v>
      </c>
      <c r="Q19" s="21">
        <f t="shared" si="1"/>
        <v>18.371438614204958</v>
      </c>
    </row>
    <row r="20" spans="2:17" x14ac:dyDescent="0.2">
      <c r="B20" t="str">
        <f>lc_detailed!AM20</f>
        <v>SW_TSC+H2in</v>
      </c>
      <c r="C20" s="21">
        <f>lc_detailed!AU20/$T$2</f>
        <v>5.7364567623724536E-2</v>
      </c>
      <c r="D20" s="21">
        <f>lc_detailed!AV20/$T$2</f>
        <v>0</v>
      </c>
      <c r="E20" s="21">
        <f>lc_detailed!AW20/$T$2</f>
        <v>0</v>
      </c>
      <c r="F20" s="21">
        <f>lc_detailed!AX20/$T$2</f>
        <v>9.079842636033753</v>
      </c>
      <c r="G20" s="21">
        <f>lc_detailed!AY20/$T$2</f>
        <v>0</v>
      </c>
      <c r="H20" s="21">
        <f>lc_detailed!AZ20/$T$2</f>
        <v>0</v>
      </c>
      <c r="I20" s="21">
        <f>lc_detailed!BA20/$T$2</f>
        <v>5.1922874272807658</v>
      </c>
      <c r="J20" s="21">
        <f>lc_detailed!BB20/$T$2</f>
        <v>2.8418047707297904</v>
      </c>
      <c r="K20" s="21">
        <f>lc_detailed!BC20/$T$2</f>
        <v>0.69221423897216883</v>
      </c>
      <c r="L20" s="21">
        <f>lc_detailed!BE20/$T$2</f>
        <v>0</v>
      </c>
      <c r="M20" s="21">
        <f>lc_detailed!BF20/$T$2</f>
        <v>0.93554445886223792</v>
      </c>
      <c r="N20" s="21">
        <f>lc_detailed!BD20</f>
        <v>0.42697847211607459</v>
      </c>
      <c r="O20" s="21">
        <f>lc_detailed!AO20</f>
        <v>857.23704933731142</v>
      </c>
      <c r="P20" s="21">
        <f t="shared" si="0"/>
        <v>18.799058099502442</v>
      </c>
      <c r="Q20" s="21">
        <f t="shared" si="1"/>
        <v>18.799058099502442</v>
      </c>
    </row>
    <row r="21" spans="2:17" x14ac:dyDescent="0.2">
      <c r="B21" t="str">
        <f>lc_detailed!AM21</f>
        <v>SW_TSC+H2in:CH4</v>
      </c>
      <c r="C21" s="21">
        <f>lc_detailed!AU21/$T$2</f>
        <v>0.35446174192025504</v>
      </c>
      <c r="D21" s="21">
        <f>lc_detailed!AV21/$T$2</f>
        <v>0</v>
      </c>
      <c r="E21" s="21">
        <f>lc_detailed!AW21/$T$2</f>
        <v>0</v>
      </c>
      <c r="F21" s="21">
        <f>lc_detailed!AX21/$T$2</f>
        <v>9.079842636033753</v>
      </c>
      <c r="G21" s="21">
        <f>lc_detailed!AY21/$T$2</f>
        <v>0</v>
      </c>
      <c r="H21" s="21">
        <f>lc_detailed!AZ21/$T$2</f>
        <v>6.2347194877488923E-2</v>
      </c>
      <c r="I21" s="21">
        <f>lc_detailed!BA21/$T$2</f>
        <v>5.1922874272807658</v>
      </c>
      <c r="J21" s="21">
        <f>lc_detailed!BB21/$T$2</f>
        <v>2.8418047707297904</v>
      </c>
      <c r="K21" s="21">
        <f>lc_detailed!BC21/$T$2</f>
        <v>0.69221423897216883</v>
      </c>
      <c r="L21" s="21">
        <f>lc_detailed!BE21/$T$2</f>
        <v>0</v>
      </c>
      <c r="M21" s="21">
        <f>lc_detailed!BF21/$T$2</f>
        <v>0.93554445913605078</v>
      </c>
      <c r="N21" s="21">
        <f>lc_detailed!BD21</f>
        <v>0.42697847224104163</v>
      </c>
      <c r="O21" s="21">
        <f>lc_detailed!AO21</f>
        <v>873.62771258413261</v>
      </c>
      <c r="P21" s="21">
        <f t="shared" si="0"/>
        <v>19.158502468950275</v>
      </c>
      <c r="Q21" s="21">
        <f t="shared" si="1"/>
        <v>19.158502468950275</v>
      </c>
    </row>
    <row r="22" spans="2:17" x14ac:dyDescent="0.2">
      <c r="B22" t="str">
        <f>lc_detailed!AM22</f>
        <v>NW_TSC+CC90</v>
      </c>
      <c r="C22" s="21">
        <f>lc_detailed!AU22/$T$2</f>
        <v>0</v>
      </c>
      <c r="D22" s="21">
        <f>lc_detailed!AV22/$T$2</f>
        <v>0</v>
      </c>
      <c r="E22" s="21">
        <f>lc_detailed!AW22/$T$2</f>
        <v>6.3435324477675623E-2</v>
      </c>
      <c r="F22" s="21">
        <f>lc_detailed!AX22/$T$2</f>
        <v>9.079842636033753</v>
      </c>
      <c r="G22" s="21">
        <f>lc_detailed!AY22/$T$2</f>
        <v>-2.2863492234672874E-2</v>
      </c>
      <c r="H22" s="21">
        <f>lc_detailed!AZ22/$T$2</f>
        <v>0</v>
      </c>
      <c r="I22" s="21">
        <f>lc_detailed!BA22/$T$2</f>
        <v>5.5982890881479141</v>
      </c>
      <c r="J22" s="21">
        <f>lc_detailed!BB22/$T$2</f>
        <v>3.0641325531920858</v>
      </c>
      <c r="K22" s="21">
        <f>lc_detailed!BC22/$T$2</f>
        <v>0.74634069943059123</v>
      </c>
      <c r="L22" s="21">
        <f>lc_detailed!BE22/$T$2</f>
        <v>-0.94205844624155199</v>
      </c>
      <c r="M22" s="21">
        <f>lc_detailed!BF22/$T$2</f>
        <v>1.1051347859602165</v>
      </c>
      <c r="N22" s="21">
        <f>lc_detailed!BD22</f>
        <v>0.50437876887805144</v>
      </c>
      <c r="O22" s="21">
        <f>lc_detailed!AO22</f>
        <v>852.36674358373011</v>
      </c>
      <c r="P22" s="21">
        <f t="shared" si="0"/>
        <v>18.69225314876601</v>
      </c>
      <c r="Q22" s="21">
        <f t="shared" si="1"/>
        <v>18.692253148766007</v>
      </c>
    </row>
    <row r="23" spans="2:17" x14ac:dyDescent="0.2">
      <c r="B23" t="str">
        <f>lc_detailed!AM23</f>
        <v>NW_TSC:H2</v>
      </c>
      <c r="C23" s="21">
        <f>lc_detailed!AU23/$T$2</f>
        <v>0</v>
      </c>
      <c r="D23" s="21">
        <f>lc_detailed!AV23/$T$2</f>
        <v>-0.34583867569632065</v>
      </c>
      <c r="E23" s="21">
        <f>lc_detailed!AW23/$T$2</f>
        <v>0</v>
      </c>
      <c r="F23" s="21">
        <f>lc_detailed!AX23/$T$2</f>
        <v>9.079842636033753</v>
      </c>
      <c r="G23" s="21">
        <f>lc_detailed!AY23/$T$2</f>
        <v>-0.13277184570278494</v>
      </c>
      <c r="H23" s="21">
        <f>lc_detailed!AZ23/$T$2</f>
        <v>0</v>
      </c>
      <c r="I23" s="21">
        <f>lc_detailed!BA23/$T$2</f>
        <v>5.1922874272807658</v>
      </c>
      <c r="J23" s="21">
        <f>lc_detailed!BB23/$T$2</f>
        <v>2.8418047707297904</v>
      </c>
      <c r="K23" s="21">
        <f>lc_detailed!BC23/$T$2</f>
        <v>0.69221423897216883</v>
      </c>
      <c r="L23" s="21">
        <f>lc_detailed!BE23/$T$2</f>
        <v>0</v>
      </c>
      <c r="M23" s="21">
        <f>lc_detailed!BF23/$T$2</f>
        <v>1.9203817928465909</v>
      </c>
      <c r="N23" s="21">
        <f>lc_detailed!BD23</f>
        <v>0.8764540006857201</v>
      </c>
      <c r="O23" s="21">
        <f>lc_detailed!AO23</f>
        <v>877.70516770755671</v>
      </c>
      <c r="P23" s="21">
        <f t="shared" si="0"/>
        <v>19.247920344463964</v>
      </c>
      <c r="Q23" s="21">
        <f t="shared" si="1"/>
        <v>19.247920344463964</v>
      </c>
    </row>
    <row r="24" spans="2:17" x14ac:dyDescent="0.2">
      <c r="B24" t="str">
        <f>lc_detailed!AM24</f>
        <v>NW_TSC+CC90:H2</v>
      </c>
      <c r="C24" s="21">
        <f>lc_detailed!AU24/$T$2</f>
        <v>0</v>
      </c>
      <c r="D24" s="21">
        <f>lc_detailed!AV24/$T$2</f>
        <v>-0.34583867569632065</v>
      </c>
      <c r="E24" s="21">
        <f>lc_detailed!AW24/$T$2</f>
        <v>7.3957536450506525E-2</v>
      </c>
      <c r="F24" s="21">
        <f>lc_detailed!AX24/$T$2</f>
        <v>9.079842636033753</v>
      </c>
      <c r="G24" s="21">
        <f>lc_detailed!AY24/$T$2</f>
        <v>-0.13277184570278494</v>
      </c>
      <c r="H24" s="21">
        <f>lc_detailed!AZ24/$T$2</f>
        <v>0</v>
      </c>
      <c r="I24" s="21">
        <f>lc_detailed!BA24/$T$2</f>
        <v>5.5996407631099441</v>
      </c>
      <c r="J24" s="21">
        <f>lc_detailed!BB24/$T$2</f>
        <v>3.0648553418449445</v>
      </c>
      <c r="K24" s="21">
        <f>lc_detailed!BC24/$T$2</f>
        <v>0.74652089667940558</v>
      </c>
      <c r="L24" s="21">
        <f>lc_detailed!BE24/$T$2</f>
        <v>-1.6370056496735286</v>
      </c>
      <c r="M24" s="21">
        <f>lc_detailed!BF24/$T$2</f>
        <v>1.9203817931766853</v>
      </c>
      <c r="N24" s="21">
        <f>lc_detailed!BD24</f>
        <v>0.87645400083637381</v>
      </c>
      <c r="O24" s="21">
        <f>lc_detailed!AO24</f>
        <v>837.65297550775085</v>
      </c>
      <c r="P24" s="21">
        <f t="shared" si="0"/>
        <v>18.369582796222605</v>
      </c>
      <c r="Q24" s="21">
        <f t="shared" si="1"/>
        <v>18.369582796222605</v>
      </c>
    </row>
    <row r="25" spans="2:17" x14ac:dyDescent="0.2">
      <c r="B25" t="str">
        <f>lc_detailed!AM25</f>
        <v>NW_TSC+H2in</v>
      </c>
      <c r="C25" s="21">
        <f>lc_detailed!AU25/$T$2</f>
        <v>4.8172944874591082E-2</v>
      </c>
      <c r="D25" s="21">
        <f>lc_detailed!AV25/$T$2</f>
        <v>0</v>
      </c>
      <c r="E25" s="21">
        <f>lc_detailed!AW25/$T$2</f>
        <v>0</v>
      </c>
      <c r="F25" s="21">
        <f>lc_detailed!AX25/$T$2</f>
        <v>9.079842636033753</v>
      </c>
      <c r="G25" s="21">
        <f>lc_detailed!AY25/$T$2</f>
        <v>0</v>
      </c>
      <c r="H25" s="21">
        <f>lc_detailed!AZ25/$T$2</f>
        <v>0</v>
      </c>
      <c r="I25" s="21">
        <f>lc_detailed!BA25/$T$2</f>
        <v>5.1922874272807658</v>
      </c>
      <c r="J25" s="21">
        <f>lc_detailed!BB25/$T$2</f>
        <v>2.8418047707297904</v>
      </c>
      <c r="K25" s="21">
        <f>lc_detailed!BC25/$T$2</f>
        <v>0.69221423897216883</v>
      </c>
      <c r="L25" s="21">
        <f>lc_detailed!BE25/$T$2</f>
        <v>0</v>
      </c>
      <c r="M25" s="21">
        <f>lc_detailed!BF25/$T$2</f>
        <v>0.93554445886223792</v>
      </c>
      <c r="N25" s="21">
        <f>lc_detailed!BD25</f>
        <v>0.42697847211607459</v>
      </c>
      <c r="O25" s="21">
        <f>lc_detailed!AO25</f>
        <v>856.8179113399508</v>
      </c>
      <c r="P25" s="21">
        <f t="shared" si="0"/>
        <v>18.789866476753307</v>
      </c>
      <c r="Q25" s="21">
        <f t="shared" si="1"/>
        <v>18.789866476753307</v>
      </c>
    </row>
    <row r="26" spans="2:17" x14ac:dyDescent="0.2">
      <c r="B26" t="str">
        <f>lc_detailed!AM26</f>
        <v>NW_TSC+H2in:CH4</v>
      </c>
      <c r="C26" s="21">
        <f>lc_detailed!AU26/$T$2</f>
        <v>0.297665730973173</v>
      </c>
      <c r="D26" s="21">
        <f>lc_detailed!AV26/$T$2</f>
        <v>0</v>
      </c>
      <c r="E26" s="21">
        <f>lc_detailed!AW26/$T$2</f>
        <v>0</v>
      </c>
      <c r="F26" s="21">
        <f>lc_detailed!AX26/$T$2</f>
        <v>9.079842636033753</v>
      </c>
      <c r="G26" s="21">
        <f>lc_detailed!AY26/$T$2</f>
        <v>0</v>
      </c>
      <c r="H26" s="21">
        <f>lc_detailed!AZ26/$T$2</f>
        <v>0.11898449019851967</v>
      </c>
      <c r="I26" s="21">
        <f>lc_detailed!BA26/$T$2</f>
        <v>5.1922874272807658</v>
      </c>
      <c r="J26" s="21">
        <f>lc_detailed!BB26/$T$2</f>
        <v>2.8418047707297904</v>
      </c>
      <c r="K26" s="21">
        <f>lc_detailed!BC26/$T$2</f>
        <v>0.69221423897216883</v>
      </c>
      <c r="L26" s="21">
        <f>lc_detailed!BE26/$T$2</f>
        <v>0</v>
      </c>
      <c r="M26" s="21">
        <f>lc_detailed!BF26/$T$2</f>
        <v>0.93554445913605078</v>
      </c>
      <c r="N26" s="21">
        <f>lc_detailed!BD26</f>
        <v>0.42697847224104163</v>
      </c>
      <c r="O26" s="21">
        <f>lc_detailed!AO26</f>
        <v>873.62047515158463</v>
      </c>
      <c r="P26" s="21">
        <f t="shared" si="0"/>
        <v>19.158343753324225</v>
      </c>
      <c r="Q26" s="21">
        <f t="shared" si="1"/>
        <v>19.158343753324221</v>
      </c>
    </row>
    <row r="27" spans="2:17" x14ac:dyDescent="0.2">
      <c r="B27" t="str">
        <f>lc_detailed!AM27</f>
        <v>TX_TSC+CC90</v>
      </c>
      <c r="C27" s="21">
        <f>lc_detailed!AU27/$T$2</f>
        <v>0</v>
      </c>
      <c r="D27" s="21">
        <f>lc_detailed!AV27/$T$2</f>
        <v>0</v>
      </c>
      <c r="E27" s="21">
        <f>lc_detailed!AW27/$T$2</f>
        <v>6.9701053208481759E-2</v>
      </c>
      <c r="F27" s="21">
        <f>lc_detailed!AX27/$T$2</f>
        <v>9.079842636033753</v>
      </c>
      <c r="G27" s="21">
        <f>lc_detailed!AY27/$T$2</f>
        <v>-1.388652757205903E-2</v>
      </c>
      <c r="H27" s="21">
        <f>lc_detailed!AZ27/$T$2</f>
        <v>0</v>
      </c>
      <c r="I27" s="21">
        <f>lc_detailed!BA27/$T$2</f>
        <v>5.5982890881479141</v>
      </c>
      <c r="J27" s="21">
        <f>lc_detailed!BB27/$T$2</f>
        <v>3.0641325531920858</v>
      </c>
      <c r="K27" s="21">
        <f>lc_detailed!BC27/$T$2</f>
        <v>0.74634069943059123</v>
      </c>
      <c r="L27" s="21">
        <f>lc_detailed!BE27/$T$2</f>
        <v>-0.94485860452547799</v>
      </c>
      <c r="M27" s="21">
        <f>lc_detailed!BF27/$T$2</f>
        <v>1.1051347859602165</v>
      </c>
      <c r="N27" s="21">
        <f>lc_detailed!BD27</f>
        <v>0.50437876887805144</v>
      </c>
      <c r="O27" s="21">
        <f>lc_detailed!AO27</f>
        <v>852.93412318472315</v>
      </c>
      <c r="P27" s="21">
        <f t="shared" si="0"/>
        <v>18.704695683875507</v>
      </c>
      <c r="Q27" s="21">
        <f t="shared" si="1"/>
        <v>18.704695683875503</v>
      </c>
    </row>
    <row r="28" spans="2:17" x14ac:dyDescent="0.2">
      <c r="B28" t="str">
        <f>lc_detailed!AM28</f>
        <v>TX_TSC:H2</v>
      </c>
      <c r="C28" s="21">
        <f>lc_detailed!AU28/$T$2</f>
        <v>0</v>
      </c>
      <c r="D28" s="21">
        <f>lc_detailed!AV28/$T$2</f>
        <v>-0.40004431463636292</v>
      </c>
      <c r="E28" s="21">
        <f>lc_detailed!AW28/$T$2</f>
        <v>0</v>
      </c>
      <c r="F28" s="21">
        <f>lc_detailed!AX28/$T$2</f>
        <v>9.079842636033753</v>
      </c>
      <c r="G28" s="21">
        <f>lc_detailed!AY28/$T$2</f>
        <v>-8.0641219513650136E-2</v>
      </c>
      <c r="H28" s="21">
        <f>lc_detailed!AZ28/$T$2</f>
        <v>0</v>
      </c>
      <c r="I28" s="21">
        <f>lc_detailed!BA28/$T$2</f>
        <v>5.1922874272807658</v>
      </c>
      <c r="J28" s="21">
        <f>lc_detailed!BB28/$T$2</f>
        <v>2.8418047707297904</v>
      </c>
      <c r="K28" s="21">
        <f>lc_detailed!BC28/$T$2</f>
        <v>0.69221423897216883</v>
      </c>
      <c r="L28" s="21">
        <f>lc_detailed!BE28/$T$2</f>
        <v>0</v>
      </c>
      <c r="M28" s="21">
        <f>lc_detailed!BF28/$T$2</f>
        <v>1.9203817928465909</v>
      </c>
      <c r="N28" s="21">
        <f>lc_detailed!BD28</f>
        <v>0.8764540006857201</v>
      </c>
      <c r="O28" s="21">
        <f>lc_detailed!AO28</f>
        <v>877.61054712611531</v>
      </c>
      <c r="P28" s="21">
        <f t="shared" si="0"/>
        <v>19.245845331713053</v>
      </c>
      <c r="Q28" s="21">
        <f t="shared" si="1"/>
        <v>19.245845331713056</v>
      </c>
    </row>
    <row r="29" spans="2:17" x14ac:dyDescent="0.2">
      <c r="B29" t="str">
        <f>lc_detailed!AM29</f>
        <v>TX_TSC+CC90:H2</v>
      </c>
      <c r="C29" s="21">
        <f>lc_detailed!AU29/$T$2</f>
        <v>0</v>
      </c>
      <c r="D29" s="21">
        <f>lc_detailed!AV29/$T$2</f>
        <v>-0.40004431463636292</v>
      </c>
      <c r="E29" s="21">
        <f>lc_detailed!AW29/$T$2</f>
        <v>8.1262580837260803E-2</v>
      </c>
      <c r="F29" s="21">
        <f>lc_detailed!AX29/$T$2</f>
        <v>9.079842636033753</v>
      </c>
      <c r="G29" s="21">
        <f>lc_detailed!AY29/$T$2</f>
        <v>-8.0641219513650136E-2</v>
      </c>
      <c r="H29" s="21">
        <f>lc_detailed!AZ29/$T$2</f>
        <v>0</v>
      </c>
      <c r="I29" s="21">
        <f>lc_detailed!BA29/$T$2</f>
        <v>5.5996407631099441</v>
      </c>
      <c r="J29" s="21">
        <f>lc_detailed!BB29/$T$2</f>
        <v>3.0648553418449445</v>
      </c>
      <c r="K29" s="21">
        <f>lc_detailed!BC29/$T$2</f>
        <v>0.74652089667940558</v>
      </c>
      <c r="L29" s="21">
        <f>lc_detailed!BE29/$T$2</f>
        <v>-1.6418714570436073</v>
      </c>
      <c r="M29" s="21">
        <f>lc_detailed!BF29/$T$2</f>
        <v>1.9203817931766853</v>
      </c>
      <c r="N29" s="21">
        <f>lc_detailed!BD29</f>
        <v>0.87645400083637381</v>
      </c>
      <c r="O29" s="21">
        <f>lc_detailed!AO29</f>
        <v>837.66958413426994</v>
      </c>
      <c r="P29" s="21">
        <f t="shared" si="0"/>
        <v>18.369947020488375</v>
      </c>
      <c r="Q29" s="21">
        <f t="shared" si="1"/>
        <v>18.369947020488372</v>
      </c>
    </row>
    <row r="30" spans="2:17" x14ac:dyDescent="0.2">
      <c r="B30" t="str">
        <f>lc_detailed!AM30</f>
        <v>TX_TSC+H2in</v>
      </c>
      <c r="C30" s="21">
        <f>lc_detailed!AU30/$T$2</f>
        <v>5.5723416930075022E-2</v>
      </c>
      <c r="D30" s="21">
        <f>lc_detailed!AV30/$T$2</f>
        <v>0</v>
      </c>
      <c r="E30" s="21">
        <f>lc_detailed!AW30/$T$2</f>
        <v>0</v>
      </c>
      <c r="F30" s="21">
        <f>lc_detailed!AX30/$T$2</f>
        <v>9.079842636033753</v>
      </c>
      <c r="G30" s="21">
        <f>lc_detailed!AY30/$T$2</f>
        <v>0</v>
      </c>
      <c r="H30" s="21">
        <f>lc_detailed!AZ30/$T$2</f>
        <v>0</v>
      </c>
      <c r="I30" s="21">
        <f>lc_detailed!BA30/$T$2</f>
        <v>5.1922874272807658</v>
      </c>
      <c r="J30" s="21">
        <f>lc_detailed!BB30/$T$2</f>
        <v>2.8418047707297904</v>
      </c>
      <c r="K30" s="21">
        <f>lc_detailed!BC30/$T$2</f>
        <v>0.69221423897216883</v>
      </c>
      <c r="L30" s="21">
        <f>lc_detailed!BE30/$T$2</f>
        <v>0</v>
      </c>
      <c r="M30" s="21">
        <f>lc_detailed!BF30/$T$2</f>
        <v>0.93554445886223792</v>
      </c>
      <c r="N30" s="21">
        <f>lc_detailed!BD30</f>
        <v>0.42697847211607459</v>
      </c>
      <c r="O30" s="21">
        <f>lc_detailed!AO30</f>
        <v>857.16221286568089</v>
      </c>
      <c r="P30" s="21">
        <f t="shared" si="0"/>
        <v>18.797416948808792</v>
      </c>
      <c r="Q30" s="21">
        <f t="shared" si="1"/>
        <v>18.797416948808792</v>
      </c>
    </row>
    <row r="31" spans="2:17" x14ac:dyDescent="0.2">
      <c r="B31" t="str">
        <f>lc_detailed!AM31</f>
        <v>TX_TSC+H2in:CH4</v>
      </c>
      <c r="C31" s="21">
        <f>lc_detailed!AU31/$T$2</f>
        <v>0.34432089788146808</v>
      </c>
      <c r="D31" s="21">
        <f>lc_detailed!AV31/$T$2</f>
        <v>0</v>
      </c>
      <c r="E31" s="21">
        <f>lc_detailed!AW31/$T$2</f>
        <v>0</v>
      </c>
      <c r="F31" s="21">
        <f>lc_detailed!AX31/$T$2</f>
        <v>9.079842636033753</v>
      </c>
      <c r="G31" s="21">
        <f>lc_detailed!AY31/$T$2</f>
        <v>0</v>
      </c>
      <c r="H31" s="21">
        <f>lc_detailed!AZ31/$T$2</f>
        <v>7.2267236642152941E-2</v>
      </c>
      <c r="I31" s="21">
        <f>lc_detailed!BA31/$T$2</f>
        <v>5.1922874272807658</v>
      </c>
      <c r="J31" s="21">
        <f>lc_detailed!BB31/$T$2</f>
        <v>2.8418047707297904</v>
      </c>
      <c r="K31" s="21">
        <f>lc_detailed!BC31/$T$2</f>
        <v>0.69221423897216883</v>
      </c>
      <c r="L31" s="21">
        <f>lc_detailed!BE31/$T$2</f>
        <v>0</v>
      </c>
      <c r="M31" s="21">
        <f>lc_detailed!BF31/$T$2</f>
        <v>0.93554445913605078</v>
      </c>
      <c r="N31" s="21">
        <f>lc_detailed!BD31</f>
        <v>0.42697847224104163</v>
      </c>
      <c r="O31" s="21">
        <f>lc_detailed!AO31</f>
        <v>873.61764400043251</v>
      </c>
      <c r="P31" s="21">
        <f t="shared" si="0"/>
        <v>19.15828166667615</v>
      </c>
      <c r="Q31" s="21">
        <f t="shared" si="1"/>
        <v>19.15828166667615</v>
      </c>
    </row>
    <row r="32" spans="2:17" x14ac:dyDescent="0.2">
      <c r="B32" t="str">
        <f>lc_detailed!AM32</f>
        <v>NCEN_TSC+CC90</v>
      </c>
      <c r="C32" s="21">
        <f>lc_detailed!AU32/$T$2</f>
        <v>0</v>
      </c>
      <c r="D32" s="21">
        <f>lc_detailed!AV32/$T$2</f>
        <v>0</v>
      </c>
      <c r="E32" s="21">
        <f>lc_detailed!AW32/$T$2</f>
        <v>7.3620445215287919E-2</v>
      </c>
      <c r="F32" s="21">
        <f>lc_detailed!AX32/$T$2</f>
        <v>9.079842636033753</v>
      </c>
      <c r="G32" s="21">
        <f>lc_detailed!AY32/$T$2</f>
        <v>-7.7325109559540734E-3</v>
      </c>
      <c r="H32" s="21">
        <f>lc_detailed!AZ32/$T$2</f>
        <v>0</v>
      </c>
      <c r="I32" s="21">
        <f>lc_detailed!BA32/$T$2</f>
        <v>5.5982890881479141</v>
      </c>
      <c r="J32" s="21">
        <f>lc_detailed!BB32/$T$2</f>
        <v>3.0641325531920858</v>
      </c>
      <c r="K32" s="21">
        <f>lc_detailed!BC32/$T$2</f>
        <v>0.74634069943059123</v>
      </c>
      <c r="L32" s="21">
        <f>lc_detailed!BE32/$T$2</f>
        <v>-0.93400815294148254</v>
      </c>
      <c r="M32" s="21">
        <f>lc_detailed!BF32/$T$2</f>
        <v>1.1051347859602165</v>
      </c>
      <c r="N32" s="21">
        <f>lc_detailed!BD32</f>
        <v>0.50437876887805144</v>
      </c>
      <c r="O32" s="21">
        <f>lc_detailed!AO32</f>
        <v>853.88825121015816</v>
      </c>
      <c r="P32" s="21">
        <f t="shared" si="0"/>
        <v>18.725619544082416</v>
      </c>
      <c r="Q32" s="21">
        <f t="shared" si="1"/>
        <v>18.725619544082409</v>
      </c>
    </row>
    <row r="33" spans="2:17" x14ac:dyDescent="0.2">
      <c r="B33" t="str">
        <f>lc_detailed!AM33</f>
        <v>NCEN_TSC:H2</v>
      </c>
      <c r="C33" s="21">
        <f>lc_detailed!AU33/$T$2</f>
        <v>0</v>
      </c>
      <c r="D33" s="21">
        <f>lc_detailed!AV33/$T$2</f>
        <v>-0.44900706395587092</v>
      </c>
      <c r="E33" s="21">
        <f>lc_detailed!AW33/$T$2</f>
        <v>0</v>
      </c>
      <c r="F33" s="21">
        <f>lc_detailed!AX33/$T$2</f>
        <v>9.079842636033753</v>
      </c>
      <c r="G33" s="21">
        <f>lc_detailed!AY33/$T$2</f>
        <v>-4.4903890490625993E-2</v>
      </c>
      <c r="H33" s="21">
        <f>lc_detailed!AZ33/$T$2</f>
        <v>0</v>
      </c>
      <c r="I33" s="21">
        <f>lc_detailed!BA33/$T$2</f>
        <v>5.1922874272807658</v>
      </c>
      <c r="J33" s="21">
        <f>lc_detailed!BB33/$T$2</f>
        <v>2.8418047707297904</v>
      </c>
      <c r="K33" s="21">
        <f>lc_detailed!BC33/$T$2</f>
        <v>0.69221423897216883</v>
      </c>
      <c r="L33" s="21">
        <f>lc_detailed!BE33/$T$2</f>
        <v>0</v>
      </c>
      <c r="M33" s="21">
        <f>lc_detailed!BF33/$T$2</f>
        <v>1.9203817928465909</v>
      </c>
      <c r="N33" s="21">
        <f>lc_detailed!BD33</f>
        <v>0.8764540006857201</v>
      </c>
      <c r="O33" s="21">
        <f>lc_detailed!AO33</f>
        <v>877.0074679605957</v>
      </c>
      <c r="P33" s="21">
        <f t="shared" si="0"/>
        <v>19.23261991141657</v>
      </c>
      <c r="Q33" s="21">
        <f t="shared" si="1"/>
        <v>19.23261991141657</v>
      </c>
    </row>
    <row r="34" spans="2:17" x14ac:dyDescent="0.2">
      <c r="B34" t="str">
        <f>lc_detailed!AM34</f>
        <v>NCEN_TSC+CC90:H2</v>
      </c>
      <c r="C34" s="21">
        <f>lc_detailed!AU34/$T$2</f>
        <v>0</v>
      </c>
      <c r="D34" s="21">
        <f>lc_detailed!AV34/$T$2</f>
        <v>-0.44900706395587092</v>
      </c>
      <c r="E34" s="21">
        <f>lc_detailed!AW34/$T$2</f>
        <v>8.5832094426005853E-2</v>
      </c>
      <c r="F34" s="21">
        <f>lc_detailed!AX34/$T$2</f>
        <v>9.079842636033753</v>
      </c>
      <c r="G34" s="21">
        <f>lc_detailed!AY34/$T$2</f>
        <v>-4.4903890490625993E-2</v>
      </c>
      <c r="H34" s="21">
        <f>lc_detailed!AZ34/$T$2</f>
        <v>0</v>
      </c>
      <c r="I34" s="21">
        <f>lc_detailed!BA34/$T$2</f>
        <v>5.5996407631099441</v>
      </c>
      <c r="J34" s="21">
        <f>lc_detailed!BB34/$T$2</f>
        <v>3.0648553418449445</v>
      </c>
      <c r="K34" s="21">
        <f>lc_detailed!BC34/$T$2</f>
        <v>0.74652089667940558</v>
      </c>
      <c r="L34" s="21">
        <f>lc_detailed!BE34/$T$2</f>
        <v>-1.6230167345841098</v>
      </c>
      <c r="M34" s="21">
        <f>lc_detailed!BF34/$T$2</f>
        <v>1.9203817931766853</v>
      </c>
      <c r="N34" s="21">
        <f>lc_detailed!BD34</f>
        <v>0.87645400083637381</v>
      </c>
      <c r="O34" s="21">
        <f>lc_detailed!AO34</f>
        <v>838.13465013255006</v>
      </c>
      <c r="P34" s="21">
        <f t="shared" si="0"/>
        <v>18.380145836240132</v>
      </c>
      <c r="Q34" s="21">
        <f t="shared" si="1"/>
        <v>18.380145836240132</v>
      </c>
    </row>
    <row r="35" spans="2:17" x14ac:dyDescent="0.2">
      <c r="B35" t="str">
        <f>lc_detailed!AM35</f>
        <v>NCEN_TSC+H2in</v>
      </c>
      <c r="C35" s="21">
        <f>lc_detailed!AU35/$T$2</f>
        <v>6.2543590582220934E-2</v>
      </c>
      <c r="D35" s="21">
        <f>lc_detailed!AV35/$T$2</f>
        <v>0</v>
      </c>
      <c r="E35" s="21">
        <f>lc_detailed!AW35/$T$2</f>
        <v>0</v>
      </c>
      <c r="F35" s="21">
        <f>lc_detailed!AX35/$T$2</f>
        <v>9.079842636033753</v>
      </c>
      <c r="G35" s="21">
        <f>lc_detailed!AY35/$T$2</f>
        <v>0</v>
      </c>
      <c r="H35" s="21">
        <f>lc_detailed!AZ35/$T$2</f>
        <v>0</v>
      </c>
      <c r="I35" s="21">
        <f>lc_detailed!BA35/$T$2</f>
        <v>5.1922874272807658</v>
      </c>
      <c r="J35" s="21">
        <f>lc_detailed!BB35/$T$2</f>
        <v>2.8418047707297904</v>
      </c>
      <c r="K35" s="21">
        <f>lc_detailed!BC35/$T$2</f>
        <v>0.69221423897216883</v>
      </c>
      <c r="L35" s="21">
        <f>lc_detailed!BE35/$T$2</f>
        <v>0</v>
      </c>
      <c r="M35" s="21">
        <f>lc_detailed!BF35/$T$2</f>
        <v>0.93554445886223792</v>
      </c>
      <c r="N35" s="21">
        <f>lc_detailed!BD35</f>
        <v>0.42697847211607459</v>
      </c>
      <c r="O35" s="21">
        <f>lc_detailed!AO35</f>
        <v>857.47321278421873</v>
      </c>
      <c r="P35" s="21">
        <f t="shared" ref="P35:P65" si="2">O35/$T$2</f>
        <v>18.804237122460936</v>
      </c>
      <c r="Q35" s="21">
        <f t="shared" ref="Q35:Q65" si="3">SUM(C35:M35)</f>
        <v>18.80423712246094</v>
      </c>
    </row>
    <row r="36" spans="2:17" x14ac:dyDescent="0.2">
      <c r="B36" t="str">
        <f>lc_detailed!AM36</f>
        <v>NCEN_TSC+H2in:CH4</v>
      </c>
      <c r="C36" s="21">
        <f>lc_detailed!AU36/$T$2</f>
        <v>0.386463473570271</v>
      </c>
      <c r="D36" s="21">
        <f>lc_detailed!AV36/$T$2</f>
        <v>0</v>
      </c>
      <c r="E36" s="21">
        <f>lc_detailed!AW36/$T$2</f>
        <v>0</v>
      </c>
      <c r="F36" s="21">
        <f>lc_detailed!AX36/$T$2</f>
        <v>9.079842636033753</v>
      </c>
      <c r="G36" s="21">
        <f>lc_detailed!AY36/$T$2</f>
        <v>0</v>
      </c>
      <c r="H36" s="21">
        <f>lc_detailed!AZ36/$T$2</f>
        <v>4.0240959893843069E-2</v>
      </c>
      <c r="I36" s="21">
        <f>lc_detailed!BA36/$T$2</f>
        <v>5.1922874272807658</v>
      </c>
      <c r="J36" s="21">
        <f>lc_detailed!BB36/$T$2</f>
        <v>2.8418047707297904</v>
      </c>
      <c r="K36" s="21">
        <f>lc_detailed!BC36/$T$2</f>
        <v>0.69221423897216883</v>
      </c>
      <c r="L36" s="21">
        <f>lc_detailed!BE36/$T$2</f>
        <v>0</v>
      </c>
      <c r="M36" s="21">
        <f>lc_detailed!BF36/$T$2</f>
        <v>0.93554445913605078</v>
      </c>
      <c r="N36" s="21">
        <f>lc_detailed!BD36</f>
        <v>0.42697847224104163</v>
      </c>
      <c r="O36" s="21">
        <f>lc_detailed!AO36</f>
        <v>874.07894723211905</v>
      </c>
      <c r="P36" s="21">
        <f t="shared" si="2"/>
        <v>19.168397965616645</v>
      </c>
      <c r="Q36" s="21">
        <f t="shared" si="3"/>
        <v>19.168397965616641</v>
      </c>
    </row>
    <row r="37" spans="2:17" x14ac:dyDescent="0.2">
      <c r="B37" t="str">
        <f>lc_detailed!AM37</f>
        <v>CEN_TSC+CC90</v>
      </c>
      <c r="C37" s="21">
        <f>lc_detailed!AU37/$T$2</f>
        <v>0</v>
      </c>
      <c r="D37" s="21">
        <f>lc_detailed!AV37/$T$2</f>
        <v>0</v>
      </c>
      <c r="E37" s="21">
        <f>lc_detailed!AW37/$T$2</f>
        <v>7.1605037349995099E-2</v>
      </c>
      <c r="F37" s="21">
        <f>lc_detailed!AX37/$T$2</f>
        <v>9.079842636033753</v>
      </c>
      <c r="G37" s="21">
        <f>lc_detailed!AY37/$T$2</f>
        <v>-1.3420286350359913E-2</v>
      </c>
      <c r="H37" s="21">
        <f>lc_detailed!AZ37/$T$2</f>
        <v>0</v>
      </c>
      <c r="I37" s="21">
        <f>lc_detailed!BA37/$T$2</f>
        <v>5.5982890881479141</v>
      </c>
      <c r="J37" s="21">
        <f>lc_detailed!BB37/$T$2</f>
        <v>3.0641325531920858</v>
      </c>
      <c r="K37" s="21">
        <f>lc_detailed!BC37/$T$2</f>
        <v>0.74634069943059123</v>
      </c>
      <c r="L37" s="21">
        <f>lc_detailed!BE37/$T$2</f>
        <v>-0.93292475730075397</v>
      </c>
      <c r="M37" s="21">
        <f>lc_detailed!BF37/$T$2</f>
        <v>1.1051347859602165</v>
      </c>
      <c r="N37" s="21">
        <f>lc_detailed!BD37</f>
        <v>0.50437876887805144</v>
      </c>
      <c r="O37" s="21">
        <f>lc_detailed!AO37</f>
        <v>853.58638889473309</v>
      </c>
      <c r="P37" s="21">
        <f t="shared" si="2"/>
        <v>18.718999756463443</v>
      </c>
      <c r="Q37" s="21">
        <f t="shared" si="3"/>
        <v>18.71899975646344</v>
      </c>
    </row>
    <row r="38" spans="2:17" x14ac:dyDescent="0.2">
      <c r="B38" t="str">
        <f>lc_detailed!AM38</f>
        <v>CEN_TSC:H2</v>
      </c>
      <c r="C38" s="21">
        <f>lc_detailed!AU38/$T$2</f>
        <v>0</v>
      </c>
      <c r="D38" s="21">
        <f>lc_detailed!AV38/$T$2</f>
        <v>-0.41514095054329514</v>
      </c>
      <c r="E38" s="21">
        <f>lc_detailed!AW38/$T$2</f>
        <v>0</v>
      </c>
      <c r="F38" s="21">
        <f>lc_detailed!AX38/$T$2</f>
        <v>9.079842636033753</v>
      </c>
      <c r="G38" s="21">
        <f>lc_detailed!AY38/$T$2</f>
        <v>-7.7933684421795935E-2</v>
      </c>
      <c r="H38" s="21">
        <f>lc_detailed!AZ38/$T$2</f>
        <v>0</v>
      </c>
      <c r="I38" s="21">
        <f>lc_detailed!BA38/$T$2</f>
        <v>5.1922874272807658</v>
      </c>
      <c r="J38" s="21">
        <f>lc_detailed!BB38/$T$2</f>
        <v>2.8418047707297904</v>
      </c>
      <c r="K38" s="21">
        <f>lc_detailed!BC38/$T$2</f>
        <v>0.69221423897216883</v>
      </c>
      <c r="L38" s="21">
        <f>lc_detailed!BE38/$T$2</f>
        <v>0</v>
      </c>
      <c r="M38" s="21">
        <f>lc_detailed!BF38/$T$2</f>
        <v>1.9203817928465909</v>
      </c>
      <c r="N38" s="21">
        <f>lc_detailed!BD38</f>
        <v>0.8764540006857201</v>
      </c>
      <c r="O38" s="21">
        <f>lc_detailed!AO38</f>
        <v>877.04560412894784</v>
      </c>
      <c r="P38" s="21">
        <f t="shared" si="2"/>
        <v>19.233456230897978</v>
      </c>
      <c r="Q38" s="21">
        <f t="shared" si="3"/>
        <v>19.233456230897978</v>
      </c>
    </row>
    <row r="39" spans="2:17" x14ac:dyDescent="0.2">
      <c r="B39" t="str">
        <f>lc_detailed!AM39</f>
        <v>CEN_TSC+CC90:H2</v>
      </c>
      <c r="C39" s="21">
        <f>lc_detailed!AU39/$T$2</f>
        <v>0</v>
      </c>
      <c r="D39" s="21">
        <f>lc_detailed!AV39/$T$2</f>
        <v>-0.41514095054329514</v>
      </c>
      <c r="E39" s="21">
        <f>lc_detailed!AW39/$T$2</f>
        <v>8.3482384672215804E-2</v>
      </c>
      <c r="F39" s="21">
        <f>lc_detailed!AX39/$T$2</f>
        <v>9.079842636033753</v>
      </c>
      <c r="G39" s="21">
        <f>lc_detailed!AY39/$T$2</f>
        <v>-7.7933684421795935E-2</v>
      </c>
      <c r="H39" s="21">
        <f>lc_detailed!AZ39/$T$2</f>
        <v>0</v>
      </c>
      <c r="I39" s="21">
        <f>lc_detailed!BA39/$T$2</f>
        <v>5.5996407631099441</v>
      </c>
      <c r="J39" s="21">
        <f>lc_detailed!BB39/$T$2</f>
        <v>3.0648553418449445</v>
      </c>
      <c r="K39" s="21">
        <f>lc_detailed!BC39/$T$2</f>
        <v>0.74652089667940558</v>
      </c>
      <c r="L39" s="21">
        <f>lc_detailed!BE39/$T$2</f>
        <v>-1.6211341286887113</v>
      </c>
      <c r="M39" s="21">
        <f>lc_detailed!BF39/$T$2</f>
        <v>1.9203817931766853</v>
      </c>
      <c r="N39" s="21">
        <f>lc_detailed!BD39</f>
        <v>0.87645400083637381</v>
      </c>
      <c r="O39" s="21">
        <f>lc_detailed!AO39</f>
        <v>838.15148636495962</v>
      </c>
      <c r="P39" s="21">
        <f t="shared" si="2"/>
        <v>18.380515051863149</v>
      </c>
      <c r="Q39" s="21">
        <f t="shared" si="3"/>
        <v>18.380515051863146</v>
      </c>
    </row>
    <row r="40" spans="2:17" x14ac:dyDescent="0.2">
      <c r="B40" t="str">
        <f>lc_detailed!AM40</f>
        <v>CEN_TSC+H2in</v>
      </c>
      <c r="C40" s="21">
        <f>lc_detailed!AU40/$T$2</f>
        <v>5.7826274303884241E-2</v>
      </c>
      <c r="D40" s="21">
        <f>lc_detailed!AV40/$T$2</f>
        <v>0</v>
      </c>
      <c r="E40" s="21">
        <f>lc_detailed!AW40/$T$2</f>
        <v>0</v>
      </c>
      <c r="F40" s="21">
        <f>lc_detailed!AX40/$T$2</f>
        <v>9.079842636033753</v>
      </c>
      <c r="G40" s="21">
        <f>lc_detailed!AY40/$T$2</f>
        <v>0</v>
      </c>
      <c r="H40" s="21">
        <f>lc_detailed!AZ40/$T$2</f>
        <v>0</v>
      </c>
      <c r="I40" s="21">
        <f>lc_detailed!BA40/$T$2</f>
        <v>5.1922874272807658</v>
      </c>
      <c r="J40" s="21">
        <f>lc_detailed!BB40/$T$2</f>
        <v>2.8418047707297904</v>
      </c>
      <c r="K40" s="21">
        <f>lc_detailed!BC40/$T$2</f>
        <v>0.69221423897216883</v>
      </c>
      <c r="L40" s="21">
        <f>lc_detailed!BE40/$T$2</f>
        <v>0</v>
      </c>
      <c r="M40" s="21">
        <f>lc_detailed!BF40/$T$2</f>
        <v>0.93554445886223792</v>
      </c>
      <c r="N40" s="21">
        <f>lc_detailed!BD40</f>
        <v>0.42697847211607459</v>
      </c>
      <c r="O40" s="21">
        <f>lc_detailed!AO40</f>
        <v>857.25810316192656</v>
      </c>
      <c r="P40" s="21">
        <f t="shared" si="2"/>
        <v>18.799519806182598</v>
      </c>
      <c r="Q40" s="21">
        <f t="shared" si="3"/>
        <v>18.799519806182602</v>
      </c>
    </row>
    <row r="41" spans="2:17" x14ac:dyDescent="0.2">
      <c r="B41" t="str">
        <f>lc_detailed!AM41</f>
        <v>CEN_TSC+H2in:CH4</v>
      </c>
      <c r="C41" s="21">
        <f>lc_detailed!AU41/$T$2</f>
        <v>0.3573146764212019</v>
      </c>
      <c r="D41" s="21">
        <f>lc_detailed!AV41/$T$2</f>
        <v>0</v>
      </c>
      <c r="E41" s="21">
        <f>lc_detailed!AW41/$T$2</f>
        <v>0</v>
      </c>
      <c r="F41" s="21">
        <f>lc_detailed!AX41/$T$2</f>
        <v>9.079842636033753</v>
      </c>
      <c r="G41" s="21">
        <f>lc_detailed!AY41/$T$2</f>
        <v>0</v>
      </c>
      <c r="H41" s="21">
        <f>lc_detailed!AZ41/$T$2</f>
        <v>6.9840858663496E-2</v>
      </c>
      <c r="I41" s="21">
        <f>lc_detailed!BA41/$T$2</f>
        <v>5.1922874272807658</v>
      </c>
      <c r="J41" s="21">
        <f>lc_detailed!BB41/$T$2</f>
        <v>2.8418047707297904</v>
      </c>
      <c r="K41" s="21">
        <f>lc_detailed!BC41/$T$2</f>
        <v>0.69221423897216883</v>
      </c>
      <c r="L41" s="21">
        <f>lc_detailed!BE41/$T$2</f>
        <v>0</v>
      </c>
      <c r="M41" s="21">
        <f>lc_detailed!BF41/$T$2</f>
        <v>0.93554445913605078</v>
      </c>
      <c r="N41" s="21">
        <f>lc_detailed!BD41</f>
        <v>0.42697847224104163</v>
      </c>
      <c r="O41" s="21">
        <f>lc_detailed!AO41</f>
        <v>874.09951746601757</v>
      </c>
      <c r="P41" s="21">
        <f t="shared" si="2"/>
        <v>19.168849067237225</v>
      </c>
      <c r="Q41" s="21">
        <f t="shared" si="3"/>
        <v>19.168849067237229</v>
      </c>
    </row>
    <row r="42" spans="2:17" x14ac:dyDescent="0.2">
      <c r="B42" t="str">
        <f>lc_detailed!AM42</f>
        <v>SE_TSC+CC90</v>
      </c>
      <c r="C42" s="21">
        <f>lc_detailed!AU42/$T$2</f>
        <v>0</v>
      </c>
      <c r="D42" s="21">
        <f>lc_detailed!AV42/$T$2</f>
        <v>0</v>
      </c>
      <c r="E42" s="21">
        <f>lc_detailed!AW42/$T$2</f>
        <v>7.0202326938120979E-2</v>
      </c>
      <c r="F42" s="21">
        <f>lc_detailed!AX42/$T$2</f>
        <v>9.079842636033753</v>
      </c>
      <c r="G42" s="21">
        <f>lc_detailed!AY42/$T$2</f>
        <v>-1.3616107475968278E-2</v>
      </c>
      <c r="H42" s="21">
        <f>lc_detailed!AZ42/$T$2</f>
        <v>0</v>
      </c>
      <c r="I42" s="21">
        <f>lc_detailed!BA42/$T$2</f>
        <v>5.5982890881479141</v>
      </c>
      <c r="J42" s="21">
        <f>lc_detailed!BB42/$T$2</f>
        <v>3.0641325531920858</v>
      </c>
      <c r="K42" s="21">
        <f>lc_detailed!BC42/$T$2</f>
        <v>0.74634069943059123</v>
      </c>
      <c r="L42" s="21">
        <f>lc_detailed!BE42/$T$2</f>
        <v>-0.93405257145595821</v>
      </c>
      <c r="M42" s="21">
        <f>lc_detailed!BF42/$T$2</f>
        <v>1.1051347859602165</v>
      </c>
      <c r="N42" s="21">
        <f>lc_detailed!BD42</f>
        <v>0.50437876887805144</v>
      </c>
      <c r="O42" s="21">
        <f>lc_detailed!AO42</f>
        <v>853.46206753114654</v>
      </c>
      <c r="P42" s="21">
        <f t="shared" si="2"/>
        <v>18.716273410770757</v>
      </c>
      <c r="Q42" s="21">
        <f t="shared" si="3"/>
        <v>18.716273410770754</v>
      </c>
    </row>
    <row r="43" spans="2:17" x14ac:dyDescent="0.2">
      <c r="B43" t="str">
        <f>lc_detailed!AM43</f>
        <v>SE_TSC:H2</v>
      </c>
      <c r="C43" s="21">
        <f>lc_detailed!AU43/$T$2</f>
        <v>0</v>
      </c>
      <c r="D43" s="21">
        <f>lc_detailed!AV43/$T$2</f>
        <v>-0.41197926741210172</v>
      </c>
      <c r="E43" s="21">
        <f>lc_detailed!AW43/$T$2</f>
        <v>0</v>
      </c>
      <c r="F43" s="21">
        <f>lc_detailed!AX43/$T$2</f>
        <v>9.079842636033753</v>
      </c>
      <c r="G43" s="21">
        <f>lc_detailed!AY43/$T$2</f>
        <v>-7.9070848071502525E-2</v>
      </c>
      <c r="H43" s="21">
        <f>lc_detailed!AZ43/$T$2</f>
        <v>0</v>
      </c>
      <c r="I43" s="21">
        <f>lc_detailed!BA43/$T$2</f>
        <v>5.1922874272807658</v>
      </c>
      <c r="J43" s="21">
        <f>lc_detailed!BB43/$T$2</f>
        <v>2.8418047707297904</v>
      </c>
      <c r="K43" s="21">
        <f>lc_detailed!BC43/$T$2</f>
        <v>0.69221423897216883</v>
      </c>
      <c r="L43" s="21">
        <f>lc_detailed!BE43/$T$2</f>
        <v>0</v>
      </c>
      <c r="M43" s="21">
        <f>lc_detailed!BF43/$T$2</f>
        <v>1.9203817928465909</v>
      </c>
      <c r="N43" s="21">
        <f>lc_detailed!BD43</f>
        <v>0.8764540006857201</v>
      </c>
      <c r="O43" s="21">
        <f>lc_detailed!AO43</f>
        <v>877.13792221730364</v>
      </c>
      <c r="P43" s="21">
        <f t="shared" si="2"/>
        <v>19.235480750379466</v>
      </c>
      <c r="Q43" s="21">
        <f t="shared" si="3"/>
        <v>19.235480750379466</v>
      </c>
    </row>
    <row r="44" spans="2:17" x14ac:dyDescent="0.2">
      <c r="B44" t="str">
        <f>lc_detailed!AM44</f>
        <v>SE_TSC+CC90:H2</v>
      </c>
      <c r="C44" s="21">
        <f>lc_detailed!AU44/$T$2</f>
        <v>0</v>
      </c>
      <c r="D44" s="21">
        <f>lc_detailed!AV44/$T$2</f>
        <v>-0.41197926741210172</v>
      </c>
      <c r="E44" s="21">
        <f>lc_detailed!AW44/$T$2</f>
        <v>8.1847002378992201E-2</v>
      </c>
      <c r="F44" s="21">
        <f>lc_detailed!AX44/$T$2</f>
        <v>9.079842636033753</v>
      </c>
      <c r="G44" s="21">
        <f>lc_detailed!AY44/$T$2</f>
        <v>-7.9070848071502525E-2</v>
      </c>
      <c r="H44" s="21">
        <f>lc_detailed!AZ44/$T$2</f>
        <v>0</v>
      </c>
      <c r="I44" s="21">
        <f>lc_detailed!BA44/$T$2</f>
        <v>5.5996407631099441</v>
      </c>
      <c r="J44" s="21">
        <f>lc_detailed!BB44/$T$2</f>
        <v>3.0648553418449445</v>
      </c>
      <c r="K44" s="21">
        <f>lc_detailed!BC44/$T$2</f>
        <v>0.74652089667940558</v>
      </c>
      <c r="L44" s="21">
        <f>lc_detailed!BE44/$T$2</f>
        <v>-1.6230939201976322</v>
      </c>
      <c r="M44" s="21">
        <f>lc_detailed!BF44/$T$2</f>
        <v>1.9203817931766853</v>
      </c>
      <c r="N44" s="21">
        <f>lc_detailed!BD44</f>
        <v>0.87645400083637381</v>
      </c>
      <c r="O44" s="21">
        <f>lc_detailed!AO44</f>
        <v>838.07986452793762</v>
      </c>
      <c r="P44" s="21">
        <f t="shared" si="2"/>
        <v>18.37894439754249</v>
      </c>
      <c r="Q44" s="21">
        <f t="shared" si="3"/>
        <v>18.378944397542487</v>
      </c>
    </row>
    <row r="45" spans="2:17" x14ac:dyDescent="0.2">
      <c r="B45" t="str">
        <f>lc_detailed!AM45</f>
        <v>SE_TSC+H2in</v>
      </c>
      <c r="C45" s="21">
        <f>lc_detailed!AU45/$T$2</f>
        <v>5.7385873626073267E-2</v>
      </c>
      <c r="D45" s="21">
        <f>lc_detailed!AV45/$T$2</f>
        <v>0</v>
      </c>
      <c r="E45" s="21">
        <f>lc_detailed!AW45/$T$2</f>
        <v>0</v>
      </c>
      <c r="F45" s="21">
        <f>lc_detailed!AX45/$T$2</f>
        <v>9.079842636033753</v>
      </c>
      <c r="G45" s="21">
        <f>lc_detailed!AY45/$T$2</f>
        <v>0</v>
      </c>
      <c r="H45" s="21">
        <f>lc_detailed!AZ45/$T$2</f>
        <v>0</v>
      </c>
      <c r="I45" s="21">
        <f>lc_detailed!BA45/$T$2</f>
        <v>5.1922874272807658</v>
      </c>
      <c r="J45" s="21">
        <f>lc_detailed!BB45/$T$2</f>
        <v>2.8418047707297904</v>
      </c>
      <c r="K45" s="21">
        <f>lc_detailed!BC45/$T$2</f>
        <v>0.69221423897216883</v>
      </c>
      <c r="L45" s="21">
        <f>lc_detailed!BE45/$T$2</f>
        <v>0</v>
      </c>
      <c r="M45" s="21">
        <f>lc_detailed!BF45/$T$2</f>
        <v>0.93554445886223792</v>
      </c>
      <c r="N45" s="21">
        <f>lc_detailed!BD45</f>
        <v>0.42697847211607459</v>
      </c>
      <c r="O45" s="21">
        <f>lc_detailed!AO45</f>
        <v>857.23802089101855</v>
      </c>
      <c r="P45" s="21">
        <f t="shared" si="2"/>
        <v>18.799079405504791</v>
      </c>
      <c r="Q45" s="21">
        <f t="shared" si="3"/>
        <v>18.799079405504791</v>
      </c>
    </row>
    <row r="46" spans="2:17" x14ac:dyDescent="0.2">
      <c r="B46" t="str">
        <f>lc_detailed!AM46</f>
        <v>SE_TSC+H2in:CH4</v>
      </c>
      <c r="C46" s="21">
        <f>lc_detailed!AU46/$T$2</f>
        <v>0.35459339396643497</v>
      </c>
      <c r="D46" s="21">
        <f>lc_detailed!AV46/$T$2</f>
        <v>0</v>
      </c>
      <c r="E46" s="21">
        <f>lc_detailed!AW46/$T$2</f>
        <v>0</v>
      </c>
      <c r="F46" s="21">
        <f>lc_detailed!AX46/$T$2</f>
        <v>9.079842636033753</v>
      </c>
      <c r="G46" s="21">
        <f>lc_detailed!AY46/$T$2</f>
        <v>0</v>
      </c>
      <c r="H46" s="21">
        <f>lc_detailed!AZ46/$T$2</f>
        <v>7.0859936438730925E-2</v>
      </c>
      <c r="I46" s="21">
        <f>lc_detailed!BA46/$T$2</f>
        <v>5.1922874272807658</v>
      </c>
      <c r="J46" s="21">
        <f>lc_detailed!BB46/$T$2</f>
        <v>2.8418047707297904</v>
      </c>
      <c r="K46" s="21">
        <f>lc_detailed!BC46/$T$2</f>
        <v>0.69221423897216883</v>
      </c>
      <c r="L46" s="21">
        <f>lc_detailed!BE46/$T$2</f>
        <v>0</v>
      </c>
      <c r="M46" s="21">
        <f>lc_detailed!BF46/$T$2</f>
        <v>0.93554445913605078</v>
      </c>
      <c r="N46" s="21">
        <f>lc_detailed!BD46</f>
        <v>0.42697847224104163</v>
      </c>
      <c r="O46" s="21">
        <f>lc_detailed!AO46</f>
        <v>874.02189693263097</v>
      </c>
      <c r="P46" s="21">
        <f t="shared" si="2"/>
        <v>19.167146862557697</v>
      </c>
      <c r="Q46" s="21">
        <f t="shared" si="3"/>
        <v>19.167146862557697</v>
      </c>
    </row>
    <row r="47" spans="2:17" x14ac:dyDescent="0.2">
      <c r="B47" t="str">
        <f>lc_detailed!AM47</f>
        <v>MIDAT_TSC+CC90</v>
      </c>
      <c r="C47" s="21">
        <f>lc_detailed!AU47/$T$2</f>
        <v>0</v>
      </c>
      <c r="D47" s="21">
        <f>lc_detailed!AV47/$T$2</f>
        <v>0</v>
      </c>
      <c r="E47" s="21">
        <f>lc_detailed!AW47/$T$2</f>
        <v>7.2167177752049907E-2</v>
      </c>
      <c r="F47" s="21">
        <f>lc_detailed!AX47/$T$2</f>
        <v>9.079842636033753</v>
      </c>
      <c r="G47" s="21">
        <f>lc_detailed!AY47/$T$2</f>
        <v>-8.7210762247168436E-3</v>
      </c>
      <c r="H47" s="21">
        <f>lc_detailed!AZ47/$T$2</f>
        <v>0</v>
      </c>
      <c r="I47" s="21">
        <f>lc_detailed!BA47/$T$2</f>
        <v>5.5982890881479141</v>
      </c>
      <c r="J47" s="21">
        <f>lc_detailed!BB47/$T$2</f>
        <v>3.0641325531920858</v>
      </c>
      <c r="K47" s="21">
        <f>lc_detailed!BC47/$T$2</f>
        <v>0.74634069943059123</v>
      </c>
      <c r="L47" s="21">
        <f>lc_detailed!BE47/$T$2</f>
        <v>-0.83882543846807256</v>
      </c>
      <c r="M47" s="21">
        <f>lc_detailed!BF47/$T$2</f>
        <v>1.1051347859602165</v>
      </c>
      <c r="N47" s="21">
        <f>lc_detailed!BD47</f>
        <v>0.50437876887805144</v>
      </c>
      <c r="O47" s="21">
        <f>lc_detailed!AO47</f>
        <v>858.11723541756635</v>
      </c>
      <c r="P47" s="21">
        <f t="shared" si="2"/>
        <v>18.818360425823823</v>
      </c>
      <c r="Q47" s="21">
        <f t="shared" si="3"/>
        <v>18.818360425823819</v>
      </c>
    </row>
    <row r="48" spans="2:17" x14ac:dyDescent="0.2">
      <c r="B48" t="str">
        <f>lc_detailed!AM48</f>
        <v>MIDAT_TSC:H2</v>
      </c>
      <c r="C48" s="21">
        <f>lc_detailed!AU48/$T$2</f>
        <v>0</v>
      </c>
      <c r="D48" s="21">
        <f>lc_detailed!AV48/$T$2</f>
        <v>-0.5311353695838219</v>
      </c>
      <c r="E48" s="21">
        <f>lc_detailed!AW48/$T$2</f>
        <v>0</v>
      </c>
      <c r="F48" s="21">
        <f>lc_detailed!AX48/$T$2</f>
        <v>9.079842636033753</v>
      </c>
      <c r="G48" s="21">
        <f>lc_detailed!AY48/$T$2</f>
        <v>-5.0644642340085554E-2</v>
      </c>
      <c r="H48" s="21">
        <f>lc_detailed!AZ48/$T$2</f>
        <v>0</v>
      </c>
      <c r="I48" s="21">
        <f>lc_detailed!BA48/$T$2</f>
        <v>5.1922874272807658</v>
      </c>
      <c r="J48" s="21">
        <f>lc_detailed!BB48/$T$2</f>
        <v>2.8418047707297904</v>
      </c>
      <c r="K48" s="21">
        <f>lc_detailed!BC48/$T$2</f>
        <v>0.69221423897216883</v>
      </c>
      <c r="L48" s="21">
        <f>lc_detailed!BE48/$T$2</f>
        <v>0</v>
      </c>
      <c r="M48" s="21">
        <f>lc_detailed!BF48/$T$2</f>
        <v>1.9203817928465909</v>
      </c>
      <c r="N48" s="21">
        <f>lc_detailed!BD48</f>
        <v>0.8764540006857201</v>
      </c>
      <c r="O48" s="21">
        <f>lc_detailed!AO48</f>
        <v>873.00063893962579</v>
      </c>
      <c r="P48" s="21">
        <f t="shared" si="2"/>
        <v>19.144750853939161</v>
      </c>
      <c r="Q48" s="21">
        <f t="shared" si="3"/>
        <v>19.144750853939161</v>
      </c>
    </row>
    <row r="49" spans="2:17" x14ac:dyDescent="0.2">
      <c r="B49" t="str">
        <f>lc_detailed!AM49</f>
        <v>MIDAT_TSC+CC90:H2</v>
      </c>
      <c r="C49" s="21">
        <f>lc_detailed!AU49/$T$2</f>
        <v>0</v>
      </c>
      <c r="D49" s="21">
        <f>lc_detailed!AV49/$T$2</f>
        <v>-0.5311353695838219</v>
      </c>
      <c r="E49" s="21">
        <f>lc_detailed!AW49/$T$2</f>
        <v>8.4137769028134135E-2</v>
      </c>
      <c r="F49" s="21">
        <f>lc_detailed!AX49/$T$2</f>
        <v>9.079842636033753</v>
      </c>
      <c r="G49" s="21">
        <f>lc_detailed!AY49/$T$2</f>
        <v>-5.0644642340085554E-2</v>
      </c>
      <c r="H49" s="21">
        <f>lc_detailed!AZ49/$T$2</f>
        <v>0</v>
      </c>
      <c r="I49" s="21">
        <f>lc_detailed!BA49/$T$2</f>
        <v>5.5996407631099441</v>
      </c>
      <c r="J49" s="21">
        <f>lc_detailed!BB49/$T$2</f>
        <v>3.0648553418449445</v>
      </c>
      <c r="K49" s="21">
        <f>lc_detailed!BC49/$T$2</f>
        <v>0.74652089667940558</v>
      </c>
      <c r="L49" s="21">
        <f>lc_detailed!BE49/$T$2</f>
        <v>-1.4576186725361822</v>
      </c>
      <c r="M49" s="21">
        <f>lc_detailed!BF49/$T$2</f>
        <v>1.9203817931766853</v>
      </c>
      <c r="N49" s="21">
        <f>lc_detailed!BD49</f>
        <v>0.87645400083637381</v>
      </c>
      <c r="O49" s="21">
        <f>lc_detailed!AO49</f>
        <v>841.59271150282279</v>
      </c>
      <c r="P49" s="21">
        <f t="shared" si="2"/>
        <v>18.455980515412779</v>
      </c>
      <c r="Q49" s="21">
        <f t="shared" si="3"/>
        <v>18.455980515412776</v>
      </c>
    </row>
    <row r="50" spans="2:17" x14ac:dyDescent="0.2">
      <c r="B50" t="str">
        <f>lc_detailed!AM50</f>
        <v>MIDAT_TSC+H2in</v>
      </c>
      <c r="C50" s="21">
        <f>lc_detailed!AU50/$T$2</f>
        <v>7.3983497734574591E-2</v>
      </c>
      <c r="D50" s="21">
        <f>lc_detailed!AV50/$T$2</f>
        <v>0</v>
      </c>
      <c r="E50" s="21">
        <f>lc_detailed!AW50/$T$2</f>
        <v>0</v>
      </c>
      <c r="F50" s="21">
        <f>lc_detailed!AX50/$T$2</f>
        <v>9.079842636033753</v>
      </c>
      <c r="G50" s="21">
        <f>lc_detailed!AY50/$T$2</f>
        <v>0</v>
      </c>
      <c r="H50" s="21">
        <f>lc_detailed!AZ50/$T$2</f>
        <v>0</v>
      </c>
      <c r="I50" s="21">
        <f>lc_detailed!BA50/$T$2</f>
        <v>5.1922874272807658</v>
      </c>
      <c r="J50" s="21">
        <f>lc_detailed!BB50/$T$2</f>
        <v>2.8418047707297904</v>
      </c>
      <c r="K50" s="21">
        <f>lc_detailed!BC50/$T$2</f>
        <v>0.69221423897216883</v>
      </c>
      <c r="L50" s="21">
        <f>lc_detailed!BE50/$T$2</f>
        <v>0</v>
      </c>
      <c r="M50" s="21">
        <f>lc_detailed!BF50/$T$2</f>
        <v>0.93554445886223792</v>
      </c>
      <c r="N50" s="21">
        <f>lc_detailed!BD50</f>
        <v>0.42697847211607459</v>
      </c>
      <c r="O50" s="21">
        <f>lc_detailed!AO50</f>
        <v>857.99487255036615</v>
      </c>
      <c r="P50" s="21">
        <f t="shared" si="2"/>
        <v>18.815677029613294</v>
      </c>
      <c r="Q50" s="21">
        <f t="shared" si="3"/>
        <v>18.815677029613294</v>
      </c>
    </row>
    <row r="51" spans="2:17" x14ac:dyDescent="0.2">
      <c r="B51" t="str">
        <f>lc_detailed!AM51</f>
        <v>MIDAT_TSC+H2in:CH4</v>
      </c>
      <c r="C51" s="21">
        <f>lc_detailed!AU51/$T$2</f>
        <v>0.4571518720818325</v>
      </c>
      <c r="D51" s="21">
        <f>lc_detailed!AV51/$T$2</f>
        <v>0</v>
      </c>
      <c r="E51" s="21">
        <f>lc_detailed!AW51/$T$2</f>
        <v>0</v>
      </c>
      <c r="F51" s="21">
        <f>lc_detailed!AX51/$T$2</f>
        <v>9.079842636033753</v>
      </c>
      <c r="G51" s="21">
        <f>lc_detailed!AY51/$T$2</f>
        <v>0</v>
      </c>
      <c r="H51" s="21">
        <f>lc_detailed!AZ51/$T$2</f>
        <v>4.5385577930510373E-2</v>
      </c>
      <c r="I51" s="21">
        <f>lc_detailed!BA51/$T$2</f>
        <v>5.1922874272807658</v>
      </c>
      <c r="J51" s="21">
        <f>lc_detailed!BB51/$T$2</f>
        <v>2.8418047707297904</v>
      </c>
      <c r="K51" s="21">
        <f>lc_detailed!BC51/$T$2</f>
        <v>0.69221423897216883</v>
      </c>
      <c r="L51" s="21">
        <f>lc_detailed!BE51/$T$2</f>
        <v>0</v>
      </c>
      <c r="M51" s="21">
        <f>lc_detailed!BF51/$T$2</f>
        <v>0.93554445913605078</v>
      </c>
      <c r="N51" s="21">
        <f>lc_detailed!BD51</f>
        <v>0.42697847224104163</v>
      </c>
      <c r="O51" s="21">
        <f>lc_detailed!AO51</f>
        <v>877.53693278671824</v>
      </c>
      <c r="P51" s="21">
        <f t="shared" si="2"/>
        <v>19.244230982164872</v>
      </c>
      <c r="Q51" s="21">
        <f t="shared" si="3"/>
        <v>19.244230982164872</v>
      </c>
    </row>
    <row r="52" spans="2:17" x14ac:dyDescent="0.2">
      <c r="B52" t="str">
        <f>lc_detailed!AM52</f>
        <v>NE_TSC+CC90</v>
      </c>
      <c r="C52" s="21">
        <f>lc_detailed!AU52/$T$2</f>
        <v>0</v>
      </c>
      <c r="D52" s="21">
        <f>lc_detailed!AV52/$T$2</f>
        <v>0</v>
      </c>
      <c r="E52" s="21">
        <f>lc_detailed!AW52/$T$2</f>
        <v>6.9766309784054834E-2</v>
      </c>
      <c r="F52" s="21">
        <f>lc_detailed!AX52/$T$2</f>
        <v>9.079842636033753</v>
      </c>
      <c r="G52" s="21">
        <f>lc_detailed!AY52/$T$2</f>
        <v>5.5208385176549898E-2</v>
      </c>
      <c r="H52" s="21">
        <f>lc_detailed!AZ52/$T$2</f>
        <v>0</v>
      </c>
      <c r="I52" s="21">
        <f>lc_detailed!BA52/$T$2</f>
        <v>5.5982890881479141</v>
      </c>
      <c r="J52" s="21">
        <f>lc_detailed!BB52/$T$2</f>
        <v>3.0641325531920858</v>
      </c>
      <c r="K52" s="21">
        <f>lc_detailed!BC52/$T$2</f>
        <v>0.74634069943059123</v>
      </c>
      <c r="L52" s="21">
        <f>lc_detailed!BE52/$T$2</f>
        <v>-0.77832841723626556</v>
      </c>
      <c r="M52" s="21">
        <f>lc_detailed!BF52/$T$2</f>
        <v>1.1051347859602165</v>
      </c>
      <c r="N52" s="21">
        <f>lc_detailed!BD52</f>
        <v>0.50437876887805144</v>
      </c>
      <c r="O52" s="21">
        <f>lc_detailed!AO52</f>
        <v>863.68160344629393</v>
      </c>
      <c r="P52" s="21">
        <f t="shared" si="2"/>
        <v>18.940386040488903</v>
      </c>
      <c r="Q52" s="21">
        <f t="shared" si="3"/>
        <v>18.940386040488896</v>
      </c>
    </row>
    <row r="53" spans="2:17" x14ac:dyDescent="0.2">
      <c r="B53" t="str">
        <f>lc_detailed!AM53</f>
        <v>NE_TSC:H2</v>
      </c>
      <c r="C53" s="21">
        <f>lc_detailed!AU53/$T$2</f>
        <v>0</v>
      </c>
      <c r="D53" s="21">
        <f>lc_detailed!AV53/$T$2</f>
        <v>-0.82828077146940482</v>
      </c>
      <c r="E53" s="21">
        <f>lc_detailed!AW53/$T$2</f>
        <v>0</v>
      </c>
      <c r="F53" s="21">
        <f>lc_detailed!AX53/$T$2</f>
        <v>9.079842636033753</v>
      </c>
      <c r="G53" s="21">
        <f>lc_detailed!AY53/$T$2</f>
        <v>0.32060365594738643</v>
      </c>
      <c r="H53" s="21">
        <f>lc_detailed!AZ53/$T$2</f>
        <v>0</v>
      </c>
      <c r="I53" s="21">
        <f>lc_detailed!BA53/$T$2</f>
        <v>5.1922874272807658</v>
      </c>
      <c r="J53" s="21">
        <f>lc_detailed!BB53/$T$2</f>
        <v>2.8418047707297904</v>
      </c>
      <c r="K53" s="21">
        <f>lc_detailed!BC53/$T$2</f>
        <v>0.69221423897216883</v>
      </c>
      <c r="L53" s="21">
        <f>lc_detailed!BE53/$T$2</f>
        <v>0</v>
      </c>
      <c r="M53" s="21">
        <f>lc_detailed!BF53/$T$2</f>
        <v>1.9203817928465909</v>
      </c>
      <c r="N53" s="21">
        <f>lc_detailed!BD53</f>
        <v>0.8764540006857201</v>
      </c>
      <c r="O53" s="21">
        <f>lc_detailed!AO53</f>
        <v>876.3797310155519</v>
      </c>
      <c r="P53" s="21">
        <f t="shared" si="2"/>
        <v>19.218853750341051</v>
      </c>
      <c r="Q53" s="21">
        <f t="shared" si="3"/>
        <v>19.218853750341051</v>
      </c>
    </row>
    <row r="54" spans="2:17" x14ac:dyDescent="0.2">
      <c r="B54" t="str">
        <f>lc_detailed!AM54</f>
        <v>NE_TSC+CC90:H2</v>
      </c>
      <c r="C54" s="21">
        <f>lc_detailed!AU54/$T$2</f>
        <v>0</v>
      </c>
      <c r="D54" s="21">
        <f>lc_detailed!AV54/$T$2</f>
        <v>-0.82828077146940482</v>
      </c>
      <c r="E54" s="21">
        <f>lc_detailed!AW54/$T$2</f>
        <v>8.1338661721315875E-2</v>
      </c>
      <c r="F54" s="21">
        <f>lc_detailed!AX54/$T$2</f>
        <v>9.079842636033753</v>
      </c>
      <c r="G54" s="21">
        <f>lc_detailed!AY54/$T$2</f>
        <v>0.32060365594738643</v>
      </c>
      <c r="H54" s="21">
        <f>lc_detailed!AZ54/$T$2</f>
        <v>0</v>
      </c>
      <c r="I54" s="21">
        <f>lc_detailed!BA54/$T$2</f>
        <v>5.5996407631099441</v>
      </c>
      <c r="J54" s="21">
        <f>lc_detailed!BB54/$T$2</f>
        <v>3.0648553418449445</v>
      </c>
      <c r="K54" s="21">
        <f>lc_detailed!BC54/$T$2</f>
        <v>0.74652089667940558</v>
      </c>
      <c r="L54" s="21">
        <f>lc_detailed!BE54/$T$2</f>
        <v>-1.3524935967619618</v>
      </c>
      <c r="M54" s="21">
        <f>lc_detailed!BF54/$T$2</f>
        <v>1.9203817931766853</v>
      </c>
      <c r="N54" s="21">
        <f>lc_detailed!BD54</f>
        <v>0.87645400083637381</v>
      </c>
      <c r="O54" s="21">
        <f>lc_detailed!AO54</f>
        <v>849.63786774086236</v>
      </c>
      <c r="P54" s="21">
        <f t="shared" si="2"/>
        <v>18.63240938028207</v>
      </c>
      <c r="Q54" s="21">
        <f t="shared" si="3"/>
        <v>18.632409380282066</v>
      </c>
    </row>
    <row r="55" spans="2:17" x14ac:dyDescent="0.2">
      <c r="B55" t="str">
        <f>lc_detailed!AM55</f>
        <v>NE_TSC+H2in</v>
      </c>
      <c r="C55" s="21">
        <f>lc_detailed!AU55/$T$2</f>
        <v>0.11537380503884434</v>
      </c>
      <c r="D55" s="21">
        <f>lc_detailed!AV55/$T$2</f>
        <v>0</v>
      </c>
      <c r="E55" s="21">
        <f>lc_detailed!AW55/$T$2</f>
        <v>0</v>
      </c>
      <c r="F55" s="21">
        <f>lc_detailed!AX55/$T$2</f>
        <v>9.079842636033753</v>
      </c>
      <c r="G55" s="21">
        <f>lc_detailed!AY55/$T$2</f>
        <v>0</v>
      </c>
      <c r="H55" s="21">
        <f>lc_detailed!AZ55/$T$2</f>
        <v>0</v>
      </c>
      <c r="I55" s="21">
        <f>lc_detailed!BA55/$T$2</f>
        <v>5.1922874272807658</v>
      </c>
      <c r="J55" s="21">
        <f>lc_detailed!BB55/$T$2</f>
        <v>2.8418047707297904</v>
      </c>
      <c r="K55" s="21">
        <f>lc_detailed!BC55/$T$2</f>
        <v>0.69221423897216883</v>
      </c>
      <c r="L55" s="21">
        <f>lc_detailed!BE55/$T$2</f>
        <v>0</v>
      </c>
      <c r="M55" s="21">
        <f>lc_detailed!BF55/$T$2</f>
        <v>0.93554445886223792</v>
      </c>
      <c r="N55" s="21">
        <f>lc_detailed!BD55</f>
        <v>0.42697847211607459</v>
      </c>
      <c r="O55" s="21">
        <f>lc_detailed!AO55</f>
        <v>859.8822705634409</v>
      </c>
      <c r="P55" s="21">
        <f t="shared" si="2"/>
        <v>18.857067336917563</v>
      </c>
      <c r="Q55" s="21">
        <f t="shared" si="3"/>
        <v>18.857067336917563</v>
      </c>
    </row>
    <row r="56" spans="2:17" x14ac:dyDescent="0.2">
      <c r="B56" t="str">
        <f>lc_detailed!AM56</f>
        <v>NE_TSC+H2in:CH4</v>
      </c>
      <c r="C56" s="21">
        <f>lc_detailed!AU56/$T$2</f>
        <v>0.71290696679326626</v>
      </c>
      <c r="D56" s="21">
        <f>lc_detailed!AV56/$T$2</f>
        <v>0</v>
      </c>
      <c r="E56" s="21">
        <f>lc_detailed!AW56/$T$2</f>
        <v>0</v>
      </c>
      <c r="F56" s="21">
        <f>lc_detailed!AX56/$T$2</f>
        <v>9.079842636033753</v>
      </c>
      <c r="G56" s="21">
        <f>lc_detailed!AY56/$T$2</f>
        <v>0</v>
      </c>
      <c r="H56" s="21">
        <f>lc_detailed!AZ56/$T$2</f>
        <v>-0.28731138259593558</v>
      </c>
      <c r="I56" s="21">
        <f>lc_detailed!BA56/$T$2</f>
        <v>5.1922874272807658</v>
      </c>
      <c r="J56" s="21">
        <f>lc_detailed!BB56/$T$2</f>
        <v>2.8418047707297904</v>
      </c>
      <c r="K56" s="21">
        <f>lc_detailed!BC56/$T$2</f>
        <v>0.69221423897216883</v>
      </c>
      <c r="L56" s="21">
        <f>lc_detailed!BE56/$T$2</f>
        <v>0</v>
      </c>
      <c r="M56" s="21">
        <f>lc_detailed!BF56/$T$2</f>
        <v>0.93554445913605078</v>
      </c>
      <c r="N56" s="21">
        <f>lc_detailed!BD56</f>
        <v>0.42697847224104163</v>
      </c>
      <c r="O56" s="21">
        <f>lc_detailed!AO56</f>
        <v>874.02838370555367</v>
      </c>
      <c r="P56" s="21">
        <f t="shared" si="2"/>
        <v>19.16728911634986</v>
      </c>
      <c r="Q56" s="21">
        <f t="shared" si="3"/>
        <v>19.16728911634986</v>
      </c>
    </row>
    <row r="57" spans="2:17" x14ac:dyDescent="0.2">
      <c r="B57" t="str">
        <f>lc_detailed!AM57</f>
        <v>CA_ESC</v>
      </c>
      <c r="C57" s="21">
        <f>lc_detailed!AU57/$T$2</f>
        <v>0</v>
      </c>
      <c r="D57" s="21">
        <f>lc_detailed!AV57/$T$2</f>
        <v>-0.30639510581400747</v>
      </c>
      <c r="E57" s="21">
        <f>lc_detailed!AW57/$T$2</f>
        <v>1.5190713853820867</v>
      </c>
      <c r="F57" s="21">
        <f>lc_detailed!AX57/$T$2</f>
        <v>9.079842636033753</v>
      </c>
      <c r="G57" s="21">
        <f>lc_detailed!AY57/$T$2</f>
        <v>0</v>
      </c>
      <c r="H57" s="21">
        <f>lc_detailed!AZ57/$T$2</f>
        <v>0.15299954696665649</v>
      </c>
      <c r="I57" s="21">
        <f>lc_detailed!BA57/$T$2</f>
        <v>6.8789631956535189</v>
      </c>
      <c r="J57" s="21">
        <f>lc_detailed!BB57/$T$2</f>
        <v>3.7649438231017713</v>
      </c>
      <c r="K57" s="21">
        <f>lc_detailed!BC57/$T$2</f>
        <v>0.91707486414789374</v>
      </c>
      <c r="L57" s="21">
        <f>lc_detailed!BE57/$T$2</f>
        <v>0</v>
      </c>
      <c r="M57" s="21">
        <f>lc_detailed!BF57/$T$2</f>
        <v>0.93554445913605078</v>
      </c>
      <c r="N57" s="21">
        <f>lc_detailed!BD57</f>
        <v>0.42697847224104163</v>
      </c>
      <c r="O57" s="21">
        <f>lc_detailed!AO57</f>
        <v>1046.1572430901124</v>
      </c>
      <c r="P57" s="21">
        <f t="shared" si="2"/>
        <v>22.942044804607725</v>
      </c>
      <c r="Q57" s="21">
        <f t="shared" si="3"/>
        <v>22.942044804607718</v>
      </c>
    </row>
    <row r="58" spans="2:17" x14ac:dyDescent="0.2">
      <c r="B58" t="str">
        <f>lc_detailed!AM58</f>
        <v>SW_ESC</v>
      </c>
      <c r="C58" s="21">
        <f>lc_detailed!AU58/$T$2</f>
        <v>0</v>
      </c>
      <c r="D58" s="21">
        <f>lc_detailed!AV58/$T$2</f>
        <v>-0.41182630936364006</v>
      </c>
      <c r="E58" s="21">
        <f>lc_detailed!AW58/$T$2</f>
        <v>1.5877382663001753</v>
      </c>
      <c r="F58" s="21">
        <f>lc_detailed!AX58/$T$2</f>
        <v>9.079842636033753</v>
      </c>
      <c r="G58" s="21">
        <f>lc_detailed!AY58/$T$2</f>
        <v>0</v>
      </c>
      <c r="H58" s="21">
        <f>lc_detailed!AZ58/$T$2</f>
        <v>6.2347194877488923E-2</v>
      </c>
      <c r="I58" s="21">
        <f>lc_detailed!BA58/$T$2</f>
        <v>6.8789631956535189</v>
      </c>
      <c r="J58" s="21">
        <f>lc_detailed!BB58/$T$2</f>
        <v>3.7649438231017713</v>
      </c>
      <c r="K58" s="21">
        <f>lc_detailed!BC58/$T$2</f>
        <v>0.91707486414789374</v>
      </c>
      <c r="L58" s="21">
        <f>lc_detailed!BE58/$T$2</f>
        <v>0</v>
      </c>
      <c r="M58" s="21">
        <f>lc_detailed!BF58/$T$2</f>
        <v>0.93554445913605078</v>
      </c>
      <c r="N58" s="21">
        <f>lc_detailed!BD58</f>
        <v>0.42697847224104163</v>
      </c>
      <c r="O58" s="21">
        <f>lc_detailed!AO58</f>
        <v>1040.3470427228478</v>
      </c>
      <c r="P58" s="21">
        <f t="shared" si="2"/>
        <v>22.814628129887012</v>
      </c>
      <c r="Q58" s="21">
        <f t="shared" si="3"/>
        <v>22.814628129887009</v>
      </c>
    </row>
    <row r="59" spans="2:17" x14ac:dyDescent="0.2">
      <c r="B59" t="str">
        <f>lc_detailed!AM59</f>
        <v>NW_ESC</v>
      </c>
      <c r="C59" s="21">
        <f>lc_detailed!AU59/$T$2</f>
        <v>0</v>
      </c>
      <c r="D59" s="21">
        <f>lc_detailed!AV59/$T$2</f>
        <v>-0.34583867569632065</v>
      </c>
      <c r="E59" s="21">
        <f>lc_detailed!AW59/$T$2</f>
        <v>1.5075723568325916</v>
      </c>
      <c r="F59" s="21">
        <f>lc_detailed!AX59/$T$2</f>
        <v>9.079842636033753</v>
      </c>
      <c r="G59" s="21">
        <f>lc_detailed!AY59/$T$2</f>
        <v>0</v>
      </c>
      <c r="H59" s="21">
        <f>lc_detailed!AZ59/$T$2</f>
        <v>0.11898449019851967</v>
      </c>
      <c r="I59" s="21">
        <f>lc_detailed!BA59/$T$2</f>
        <v>6.8789631956535189</v>
      </c>
      <c r="J59" s="21">
        <f>lc_detailed!BB59/$T$2</f>
        <v>3.7649438231017713</v>
      </c>
      <c r="K59" s="21">
        <f>lc_detailed!BC59/$T$2</f>
        <v>0.91707486414789374</v>
      </c>
      <c r="L59" s="21">
        <f>lc_detailed!BE59/$T$2</f>
        <v>0</v>
      </c>
      <c r="M59" s="21">
        <f>lc_detailed!BF59/$T$2</f>
        <v>0.93554445913605078</v>
      </c>
      <c r="N59" s="21">
        <f>lc_detailed!BD59</f>
        <v>0.42697847224104163</v>
      </c>
      <c r="O59" s="21">
        <f>lc_detailed!AO59</f>
        <v>1042.2831740129948</v>
      </c>
      <c r="P59" s="21">
        <f t="shared" si="2"/>
        <v>22.857087149407779</v>
      </c>
      <c r="Q59" s="21">
        <f t="shared" si="3"/>
        <v>22.857087149407775</v>
      </c>
    </row>
    <row r="60" spans="2:17" x14ac:dyDescent="0.2">
      <c r="B60" t="str">
        <f>lc_detailed!AM60</f>
        <v>TX_ESC</v>
      </c>
      <c r="C60" s="21">
        <f>lc_detailed!AU60/$T$2</f>
        <v>0</v>
      </c>
      <c r="D60" s="21">
        <f>lc_detailed!AV60/$T$2</f>
        <v>-0.40004431463636292</v>
      </c>
      <c r="E60" s="21">
        <f>lc_detailed!AW60/$T$2</f>
        <v>1.6564805480927998</v>
      </c>
      <c r="F60" s="21">
        <f>lc_detailed!AX60/$T$2</f>
        <v>9.079842636033753</v>
      </c>
      <c r="G60" s="21">
        <f>lc_detailed!AY60/$T$2</f>
        <v>0</v>
      </c>
      <c r="H60" s="21">
        <f>lc_detailed!AZ60/$T$2</f>
        <v>7.2267236642152941E-2</v>
      </c>
      <c r="I60" s="21">
        <f>lc_detailed!BA60/$T$2</f>
        <v>6.8789631956535189</v>
      </c>
      <c r="J60" s="21">
        <f>lc_detailed!BB60/$T$2</f>
        <v>3.7649438231017713</v>
      </c>
      <c r="K60" s="21">
        <f>lc_detailed!BC60/$T$2</f>
        <v>0.91707486414789374</v>
      </c>
      <c r="L60" s="21">
        <f>lc_detailed!BE60/$T$2</f>
        <v>0</v>
      </c>
      <c r="M60" s="21">
        <f>lc_detailed!BF60/$T$2</f>
        <v>0.93554445913605078</v>
      </c>
      <c r="N60" s="21">
        <f>lc_detailed!BD60</f>
        <v>0.42697847224104163</v>
      </c>
      <c r="O60" s="21">
        <f>lc_detailed!AO60</f>
        <v>1044.471303636624</v>
      </c>
      <c r="P60" s="21">
        <f t="shared" si="2"/>
        <v>22.90507244817158</v>
      </c>
      <c r="Q60" s="21">
        <f t="shared" si="3"/>
        <v>22.905072448171573</v>
      </c>
    </row>
    <row r="61" spans="2:17" x14ac:dyDescent="0.2">
      <c r="B61" t="str">
        <f>lc_detailed!AM61</f>
        <v>NCEN_ESC</v>
      </c>
      <c r="C61" s="21">
        <f>lc_detailed!AU61/$T$2</f>
        <v>0</v>
      </c>
      <c r="D61" s="21">
        <f>lc_detailed!AV61/$T$2</f>
        <v>-0.44900706395587092</v>
      </c>
      <c r="E61" s="21">
        <f>lc_detailed!AW61/$T$2</f>
        <v>1.7496268682811835</v>
      </c>
      <c r="F61" s="21">
        <f>lc_detailed!AX61/$T$2</f>
        <v>9.079842636033753</v>
      </c>
      <c r="G61" s="21">
        <f>lc_detailed!AY61/$T$2</f>
        <v>0</v>
      </c>
      <c r="H61" s="21">
        <f>lc_detailed!AZ61/$T$2</f>
        <v>4.0240959893843069E-2</v>
      </c>
      <c r="I61" s="21">
        <f>lc_detailed!BA61/$T$2</f>
        <v>6.8789631956535189</v>
      </c>
      <c r="J61" s="21">
        <f>lc_detailed!BB61/$T$2</f>
        <v>3.7649438231017713</v>
      </c>
      <c r="K61" s="21">
        <f>lc_detailed!BC61/$T$2</f>
        <v>0.91707486414789374</v>
      </c>
      <c r="L61" s="21">
        <f>lc_detailed!BE61/$T$2</f>
        <v>0</v>
      </c>
      <c r="M61" s="21">
        <f>lc_detailed!BF61/$T$2</f>
        <v>0.93554445913605078</v>
      </c>
      <c r="N61" s="21">
        <f>lc_detailed!BD61</f>
        <v>0.42697847224104163</v>
      </c>
      <c r="O61" s="21">
        <f>lc_detailed!AO61</f>
        <v>1045.0256762485219</v>
      </c>
      <c r="P61" s="21">
        <f t="shared" si="2"/>
        <v>22.917229742292147</v>
      </c>
      <c r="Q61" s="21">
        <f t="shared" si="3"/>
        <v>22.917229742292143</v>
      </c>
    </row>
    <row r="62" spans="2:17" x14ac:dyDescent="0.2">
      <c r="B62" t="str">
        <f>lc_detailed!AM62</f>
        <v>CEN_ESC</v>
      </c>
      <c r="C62" s="21">
        <f>lc_detailed!AU62/$T$2</f>
        <v>0</v>
      </c>
      <c r="D62" s="21">
        <f>lc_detailed!AV62/$T$2</f>
        <v>-0.41514095054329514</v>
      </c>
      <c r="E62" s="21">
        <f>lc_detailed!AW62/$T$2</f>
        <v>1.7017296877989159</v>
      </c>
      <c r="F62" s="21">
        <f>lc_detailed!AX62/$T$2</f>
        <v>9.079842636033753</v>
      </c>
      <c r="G62" s="21">
        <f>lc_detailed!AY62/$T$2</f>
        <v>0</v>
      </c>
      <c r="H62" s="21">
        <f>lc_detailed!AZ62/$T$2</f>
        <v>6.9840858663496E-2</v>
      </c>
      <c r="I62" s="21">
        <f>lc_detailed!BA62/$T$2</f>
        <v>6.8789631956535189</v>
      </c>
      <c r="J62" s="21">
        <f>lc_detailed!BB62/$T$2</f>
        <v>3.7649438231017713</v>
      </c>
      <c r="K62" s="21">
        <f>lc_detailed!BC62/$T$2</f>
        <v>0.91707486414789374</v>
      </c>
      <c r="L62" s="21">
        <f>lc_detailed!BE62/$T$2</f>
        <v>0</v>
      </c>
      <c r="M62" s="21">
        <f>lc_detailed!BF62/$T$2</f>
        <v>0.93554445913605078</v>
      </c>
      <c r="N62" s="21">
        <f>lc_detailed!BD62</f>
        <v>0.42697847224104163</v>
      </c>
      <c r="O62" s="21">
        <f>lc_detailed!AO62</f>
        <v>1045.7356149740401</v>
      </c>
      <c r="P62" s="21">
        <f t="shared" si="2"/>
        <v>22.932798573992105</v>
      </c>
      <c r="Q62" s="21">
        <f t="shared" si="3"/>
        <v>22.932798573992102</v>
      </c>
    </row>
    <row r="63" spans="2:17" x14ac:dyDescent="0.2">
      <c r="B63" t="str">
        <f>lc_detailed!AM63</f>
        <v>SE_ESC</v>
      </c>
      <c r="C63" s="21">
        <f>lc_detailed!AU63/$T$2</f>
        <v>0</v>
      </c>
      <c r="D63" s="21">
        <f>lc_detailed!AV63/$T$2</f>
        <v>-0.41197926741210172</v>
      </c>
      <c r="E63" s="21">
        <f>lc_detailed!AW63/$T$2</f>
        <v>1.6683935701232369</v>
      </c>
      <c r="F63" s="21">
        <f>lc_detailed!AX63/$T$2</f>
        <v>9.079842636033753</v>
      </c>
      <c r="G63" s="21">
        <f>lc_detailed!AY63/$T$2</f>
        <v>0</v>
      </c>
      <c r="H63" s="21">
        <f>lc_detailed!AZ63/$T$2</f>
        <v>7.0859936438730925E-2</v>
      </c>
      <c r="I63" s="21">
        <f>lc_detailed!BA63/$T$2</f>
        <v>6.8789631956535189</v>
      </c>
      <c r="J63" s="21">
        <f>lc_detailed!BB63/$T$2</f>
        <v>3.7649438231017713</v>
      </c>
      <c r="K63" s="21">
        <f>lc_detailed!BC63/$T$2</f>
        <v>0.91707486414789374</v>
      </c>
      <c r="L63" s="21">
        <f>lc_detailed!BE63/$T$2</f>
        <v>0</v>
      </c>
      <c r="M63" s="21">
        <f>lc_detailed!BF63/$T$2</f>
        <v>0.93554445913605078</v>
      </c>
      <c r="N63" s="21">
        <f>lc_detailed!BD63</f>
        <v>0.42697847224104163</v>
      </c>
      <c r="O63" s="21">
        <f>lc_detailed!AO63</f>
        <v>1044.4061307053623</v>
      </c>
      <c r="P63" s="21">
        <f t="shared" si="2"/>
        <v>22.903643217222857</v>
      </c>
      <c r="Q63" s="21">
        <f t="shared" si="3"/>
        <v>22.90364321722285</v>
      </c>
    </row>
    <row r="64" spans="2:17" x14ac:dyDescent="0.2">
      <c r="B64" t="str">
        <f>lc_detailed!AM64</f>
        <v>MIDAT_ESC</v>
      </c>
      <c r="C64" s="21">
        <f>lc_detailed!AU64/$T$2</f>
        <v>0</v>
      </c>
      <c r="D64" s="21">
        <f>lc_detailed!AV64/$T$2</f>
        <v>-0.5311353695838219</v>
      </c>
      <c r="E64" s="21">
        <f>lc_detailed!AW64/$T$2</f>
        <v>1.7150892368794102</v>
      </c>
      <c r="F64" s="21">
        <f>lc_detailed!AX64/$T$2</f>
        <v>9.079842636033753</v>
      </c>
      <c r="G64" s="21">
        <f>lc_detailed!AY64/$T$2</f>
        <v>0</v>
      </c>
      <c r="H64" s="21">
        <f>lc_detailed!AZ64/$T$2</f>
        <v>4.5385577930510373E-2</v>
      </c>
      <c r="I64" s="21">
        <f>lc_detailed!BA64/$T$2</f>
        <v>6.8789631956535189</v>
      </c>
      <c r="J64" s="21">
        <f>lc_detailed!BB64/$T$2</f>
        <v>3.7649438231017713</v>
      </c>
      <c r="K64" s="21">
        <f>lc_detailed!BC64/$T$2</f>
        <v>0.91707486414789374</v>
      </c>
      <c r="L64" s="21">
        <f>lc_detailed!BE64/$T$2</f>
        <v>0</v>
      </c>
      <c r="M64" s="21">
        <f>lc_detailed!BF64/$T$2</f>
        <v>0.93554445913605078</v>
      </c>
      <c r="N64" s="21">
        <f>lc_detailed!BD64</f>
        <v>0.42697847224104163</v>
      </c>
      <c r="O64" s="21">
        <f>lc_detailed!AO64</f>
        <v>1039.9403041024384</v>
      </c>
      <c r="P64" s="21">
        <f t="shared" si="2"/>
        <v>22.805708423299087</v>
      </c>
      <c r="Q64" s="21">
        <f t="shared" si="3"/>
        <v>22.805708423299084</v>
      </c>
    </row>
    <row r="65" spans="2:17" x14ac:dyDescent="0.2">
      <c r="B65" t="str">
        <f>lc_detailed!AM65</f>
        <v>NE_ESC</v>
      </c>
      <c r="C65" s="21">
        <f>lc_detailed!AU65/$T$2</f>
        <v>0</v>
      </c>
      <c r="D65" s="21">
        <f>lc_detailed!AV65/$T$2</f>
        <v>-0.82828077146940482</v>
      </c>
      <c r="E65" s="21">
        <f>lc_detailed!AW65/$T$2</f>
        <v>1.6580314033969319</v>
      </c>
      <c r="F65" s="21">
        <f>lc_detailed!AX65/$T$2</f>
        <v>9.079842636033753</v>
      </c>
      <c r="G65" s="21">
        <f>lc_detailed!AY65/$T$2</f>
        <v>0</v>
      </c>
      <c r="H65" s="21">
        <f>lc_detailed!AZ65/$T$2</f>
        <v>-0.28731138259593558</v>
      </c>
      <c r="I65" s="21">
        <f>lc_detailed!BA65/$T$2</f>
        <v>6.8789631956535189</v>
      </c>
      <c r="J65" s="21">
        <f>lc_detailed!BB65/$T$2</f>
        <v>3.7649438231017713</v>
      </c>
      <c r="K65" s="21">
        <f>lc_detailed!BC65/$T$2</f>
        <v>0.91707486414789374</v>
      </c>
      <c r="L65" s="21">
        <f>lc_detailed!BE65/$T$2</f>
        <v>0</v>
      </c>
      <c r="M65" s="21">
        <f>lc_detailed!BF65/$T$2</f>
        <v>0.93554445913605078</v>
      </c>
      <c r="N65" s="21">
        <f>lc_detailed!BD65</f>
        <v>0.42697847224104163</v>
      </c>
      <c r="O65" s="21">
        <f>lc_detailed!AO65</f>
        <v>1008.617655169649</v>
      </c>
      <c r="P65" s="21">
        <f t="shared" si="2"/>
        <v>22.118808227404582</v>
      </c>
      <c r="Q65" s="21">
        <f t="shared" si="3"/>
        <v>22.118808227404578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65"/>
  <sheetViews>
    <sheetView zoomScale="75" workbookViewId="0">
      <selection activeCell="F16" sqref="F16"/>
    </sheetView>
  </sheetViews>
  <sheetFormatPr baseColWidth="10" defaultRowHeight="16" x14ac:dyDescent="0.2"/>
  <cols>
    <col min="1" max="1" width="2.6640625" customWidth="1"/>
    <col min="3" max="3" width="14.1640625" bestFit="1" customWidth="1"/>
    <col min="4" max="4" width="12.6640625" bestFit="1" customWidth="1"/>
    <col min="5" max="5" width="15.1640625" bestFit="1" customWidth="1"/>
    <col min="6" max="6" width="17.5" bestFit="1" customWidth="1"/>
    <col min="7" max="7" width="17.1640625" bestFit="1" customWidth="1"/>
    <col min="8" max="8" width="15.5" bestFit="1" customWidth="1"/>
    <col min="9" max="9" width="13.6640625" bestFit="1" customWidth="1"/>
    <col min="10" max="10" width="12.1640625" bestFit="1" customWidth="1"/>
    <col min="11" max="11" width="14.5" bestFit="1" customWidth="1"/>
    <col min="12" max="12" width="17.83203125" bestFit="1" customWidth="1"/>
    <col min="13" max="13" width="19.33203125" bestFit="1" customWidth="1"/>
    <col min="14" max="14" width="5.1640625" bestFit="1" customWidth="1"/>
    <col min="17" max="17" width="15.1640625" bestFit="1" customWidth="1"/>
    <col min="18" max="18" width="3.6640625" customWidth="1"/>
    <col min="19" max="19" width="11.83203125" bestFit="1" customWidth="1"/>
    <col min="20" max="20" width="5.5" bestFit="1" customWidth="1"/>
    <col min="21" max="21" width="12.33203125" bestFit="1" customWidth="1"/>
  </cols>
  <sheetData>
    <row r="1" spans="2:21" x14ac:dyDescent="0.2">
      <c r="B1" s="18" t="s">
        <v>147</v>
      </c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  <c r="N1" s="19"/>
      <c r="O1" s="19"/>
      <c r="P1" s="19"/>
      <c r="Q1" s="19"/>
      <c r="S1" s="19" t="s">
        <v>142</v>
      </c>
    </row>
    <row r="2" spans="2:21" ht="32" customHeight="1" x14ac:dyDescent="0.2">
      <c r="B2" s="4" t="s">
        <v>50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3" t="s">
        <v>64</v>
      </c>
      <c r="M2" s="3" t="s">
        <v>65</v>
      </c>
      <c r="N2" s="3" t="s">
        <v>63</v>
      </c>
      <c r="O2" s="20" t="s">
        <v>52</v>
      </c>
      <c r="P2" s="20" t="s">
        <v>143</v>
      </c>
      <c r="Q2" s="20" t="s">
        <v>144</v>
      </c>
      <c r="S2" t="s">
        <v>145</v>
      </c>
      <c r="T2">
        <v>45.6</v>
      </c>
      <c r="U2" t="s">
        <v>146</v>
      </c>
    </row>
    <row r="3" spans="2:21" x14ac:dyDescent="0.2">
      <c r="B3" t="str">
        <f>lc_detailed!AM3</f>
        <v>CA_TSC</v>
      </c>
      <c r="C3" s="21">
        <f>lc_detailed!AU3/$T$2</f>
        <v>0</v>
      </c>
      <c r="D3" s="21">
        <f>lc_detailed!AV3/$T$2</f>
        <v>0</v>
      </c>
      <c r="E3" s="21">
        <f>lc_detailed!AW3/$T$2</f>
        <v>0</v>
      </c>
      <c r="F3" s="21">
        <f>lc_detailed!AX3/$T$2</f>
        <v>9.079842636033753</v>
      </c>
      <c r="G3" s="21">
        <f>lc_detailed!AY3/$T$2</f>
        <v>-2.9399663335483529E-2</v>
      </c>
      <c r="H3" s="21">
        <f>lc_detailed!AZ3/$T$2</f>
        <v>0</v>
      </c>
      <c r="I3" s="21">
        <f>lc_detailed!BA3/$T$2</f>
        <v>5.1922874272807658</v>
      </c>
      <c r="J3" s="21">
        <f>lc_detailed!BB3/$T$2</f>
        <v>2.8418047707297904</v>
      </c>
      <c r="K3" s="21">
        <f>lc_detailed!BC3/$T$2</f>
        <v>0.69221423897216883</v>
      </c>
      <c r="L3" s="21">
        <f>lc_detailed!BK3/$T$2</f>
        <v>0</v>
      </c>
      <c r="M3" s="21">
        <f>lc_detailed!BL3/$T$2</f>
        <v>9.3219166960969169</v>
      </c>
      <c r="N3" s="21">
        <f>lc_detailed!BJ3</f>
        <v>4.2544827350411296</v>
      </c>
      <c r="O3" s="21">
        <f>lc_detailed!AR3</f>
        <v>1235.6991744234729</v>
      </c>
      <c r="P3" s="21">
        <f t="shared" ref="P3:P34" si="0">O3/$T$2</f>
        <v>27.098666105777912</v>
      </c>
      <c r="Q3" s="21">
        <f t="shared" ref="Q3:Q34" si="1">SUM(C3:M3)</f>
        <v>27.098666105777912</v>
      </c>
    </row>
    <row r="4" spans="2:21" x14ac:dyDescent="0.2">
      <c r="B4" t="str">
        <f>lc_detailed!AM4</f>
        <v>SW_TSC</v>
      </c>
      <c r="C4" s="21">
        <f>lc_detailed!AU4/$T$2</f>
        <v>0</v>
      </c>
      <c r="D4" s="21">
        <f>lc_detailed!AV4/$T$2</f>
        <v>0</v>
      </c>
      <c r="E4" s="21">
        <f>lc_detailed!AW4/$T$2</f>
        <v>0</v>
      </c>
      <c r="F4" s="21">
        <f>lc_detailed!AX4/$T$2</f>
        <v>9.079842636033753</v>
      </c>
      <c r="G4" s="21">
        <f>lc_detailed!AY4/$T$2</f>
        <v>-1.1980339652309062E-2</v>
      </c>
      <c r="H4" s="21">
        <f>lc_detailed!AZ4/$T$2</f>
        <v>0</v>
      </c>
      <c r="I4" s="21">
        <f>lc_detailed!BA4/$T$2</f>
        <v>5.1922874272807658</v>
      </c>
      <c r="J4" s="21">
        <f>lc_detailed!BB4/$T$2</f>
        <v>2.8418047707297904</v>
      </c>
      <c r="K4" s="21">
        <f>lc_detailed!BC4/$T$2</f>
        <v>0.69221423897216883</v>
      </c>
      <c r="L4" s="21">
        <f>lc_detailed!BK4/$T$2</f>
        <v>0</v>
      </c>
      <c r="M4" s="21">
        <f>lc_detailed!BL4/$T$2</f>
        <v>9.3219166960969169</v>
      </c>
      <c r="N4" s="21">
        <f>lc_detailed!BJ4</f>
        <v>4.2544827350411296</v>
      </c>
      <c r="O4" s="21">
        <f>lc_detailed!AR4</f>
        <v>1236.4934955834256</v>
      </c>
      <c r="P4" s="21">
        <f t="shared" si="0"/>
        <v>27.116085429461087</v>
      </c>
      <c r="Q4" s="21">
        <f t="shared" si="1"/>
        <v>27.116085429461087</v>
      </c>
    </row>
    <row r="5" spans="2:21" x14ac:dyDescent="0.2">
      <c r="B5" t="str">
        <f>lc_detailed!AM5</f>
        <v>NW_TSC</v>
      </c>
      <c r="C5" s="21">
        <f>lc_detailed!AU5/$T$2</f>
        <v>0</v>
      </c>
      <c r="D5" s="21">
        <f>lc_detailed!AV5/$T$2</f>
        <v>0</v>
      </c>
      <c r="E5" s="21">
        <f>lc_detailed!AW5/$T$2</f>
        <v>0</v>
      </c>
      <c r="F5" s="21">
        <f>lc_detailed!AX5/$T$2</f>
        <v>9.079842636033753</v>
      </c>
      <c r="G5" s="21">
        <f>lc_detailed!AY5/$T$2</f>
        <v>-2.2863492234672874E-2</v>
      </c>
      <c r="H5" s="21">
        <f>lc_detailed!AZ5/$T$2</f>
        <v>0</v>
      </c>
      <c r="I5" s="21">
        <f>lc_detailed!BA5/$T$2</f>
        <v>5.1922874272807658</v>
      </c>
      <c r="J5" s="21">
        <f>lc_detailed!BB5/$T$2</f>
        <v>2.8418047707297904</v>
      </c>
      <c r="K5" s="21">
        <f>lc_detailed!BC5/$T$2</f>
        <v>0.69221423897216883</v>
      </c>
      <c r="L5" s="21">
        <f>lc_detailed!BK5/$T$2</f>
        <v>0</v>
      </c>
      <c r="M5" s="21">
        <f>lc_detailed!BL5/$T$2</f>
        <v>9.3219166960969169</v>
      </c>
      <c r="N5" s="21">
        <f>lc_detailed!BJ5</f>
        <v>4.2544827350411296</v>
      </c>
      <c r="O5" s="21">
        <f>lc_detailed!AR5</f>
        <v>1235.9972238256698</v>
      </c>
      <c r="P5" s="21">
        <f t="shared" si="0"/>
        <v>27.105202276878725</v>
      </c>
      <c r="Q5" s="21">
        <f t="shared" si="1"/>
        <v>27.105202276878721</v>
      </c>
    </row>
    <row r="6" spans="2:21" x14ac:dyDescent="0.2">
      <c r="B6" t="str">
        <f>lc_detailed!AM6</f>
        <v>TX_TSC</v>
      </c>
      <c r="C6" s="21">
        <f>lc_detailed!AU6/$T$2</f>
        <v>0</v>
      </c>
      <c r="D6" s="21">
        <f>lc_detailed!AV6/$T$2</f>
        <v>0</v>
      </c>
      <c r="E6" s="21">
        <f>lc_detailed!AW6/$T$2</f>
        <v>0</v>
      </c>
      <c r="F6" s="21">
        <f>lc_detailed!AX6/$T$2</f>
        <v>9.079842636033753</v>
      </c>
      <c r="G6" s="21">
        <f>lc_detailed!AY6/$T$2</f>
        <v>-1.388652757205903E-2</v>
      </c>
      <c r="H6" s="21">
        <f>lc_detailed!AZ6/$T$2</f>
        <v>0</v>
      </c>
      <c r="I6" s="21">
        <f>lc_detailed!BA6/$T$2</f>
        <v>5.1922874272807658</v>
      </c>
      <c r="J6" s="21">
        <f>lc_detailed!BB6/$T$2</f>
        <v>2.8418047707297904</v>
      </c>
      <c r="K6" s="21">
        <f>lc_detailed!BC6/$T$2</f>
        <v>0.69221423897216883</v>
      </c>
      <c r="L6" s="21">
        <f>lc_detailed!BK6/$T$2</f>
        <v>0</v>
      </c>
      <c r="M6" s="21">
        <f>lc_detailed!BL6/$T$2</f>
        <v>9.3219166960969169</v>
      </c>
      <c r="N6" s="21">
        <f>lc_detailed!BJ6</f>
        <v>4.2544827350411296</v>
      </c>
      <c r="O6" s="21">
        <f>lc_detailed!AR6</f>
        <v>1236.406573414285</v>
      </c>
      <c r="P6" s="21">
        <f t="shared" si="0"/>
        <v>27.114179241541336</v>
      </c>
      <c r="Q6" s="21">
        <f t="shared" si="1"/>
        <v>27.114179241541336</v>
      </c>
    </row>
    <row r="7" spans="2:21" x14ac:dyDescent="0.2">
      <c r="B7" t="str">
        <f>lc_detailed!AM7</f>
        <v>NCEN_TSC</v>
      </c>
      <c r="C7" s="21">
        <f>lc_detailed!AU7/$T$2</f>
        <v>0</v>
      </c>
      <c r="D7" s="21">
        <f>lc_detailed!AV7/$T$2</f>
        <v>0</v>
      </c>
      <c r="E7" s="21">
        <f>lc_detailed!AW7/$T$2</f>
        <v>0</v>
      </c>
      <c r="F7" s="21">
        <f>lc_detailed!AX7/$T$2</f>
        <v>9.079842636033753</v>
      </c>
      <c r="G7" s="21">
        <f>lc_detailed!AY7/$T$2</f>
        <v>-7.7325109559540734E-3</v>
      </c>
      <c r="H7" s="21">
        <f>lc_detailed!AZ7/$T$2</f>
        <v>0</v>
      </c>
      <c r="I7" s="21">
        <f>lc_detailed!BA7/$T$2</f>
        <v>5.1922874272807658</v>
      </c>
      <c r="J7" s="21">
        <f>lc_detailed!BB7/$T$2</f>
        <v>2.8418047707297904</v>
      </c>
      <c r="K7" s="21">
        <f>lc_detailed!BC7/$T$2</f>
        <v>0.69221423897216883</v>
      </c>
      <c r="L7" s="21">
        <f>lc_detailed!BK7/$T$2</f>
        <v>0</v>
      </c>
      <c r="M7" s="21">
        <f>lc_detailed!BL7/$T$2</f>
        <v>9.3219166960969169</v>
      </c>
      <c r="N7" s="21">
        <f>lc_detailed!BJ7</f>
        <v>4.2544827350411296</v>
      </c>
      <c r="O7" s="21">
        <f>lc_detailed!AR7</f>
        <v>1236.6871965719795</v>
      </c>
      <c r="P7" s="21">
        <f t="shared" si="0"/>
        <v>27.120333258157444</v>
      </c>
      <c r="Q7" s="21">
        <f t="shared" si="1"/>
        <v>27.120333258157441</v>
      </c>
    </row>
    <row r="8" spans="2:21" x14ac:dyDescent="0.2">
      <c r="B8" t="str">
        <f>lc_detailed!AM8</f>
        <v>CEN_TSC</v>
      </c>
      <c r="C8" s="21">
        <f>lc_detailed!AU8/$T$2</f>
        <v>0</v>
      </c>
      <c r="D8" s="21">
        <f>lc_detailed!AV8/$T$2</f>
        <v>0</v>
      </c>
      <c r="E8" s="21">
        <f>lc_detailed!AW8/$T$2</f>
        <v>0</v>
      </c>
      <c r="F8" s="21">
        <f>lc_detailed!AX8/$T$2</f>
        <v>9.079842636033753</v>
      </c>
      <c r="G8" s="21">
        <f>lc_detailed!AY8/$T$2</f>
        <v>-1.3420286350359913E-2</v>
      </c>
      <c r="H8" s="21">
        <f>lc_detailed!AZ8/$T$2</f>
        <v>0</v>
      </c>
      <c r="I8" s="21">
        <f>lc_detailed!BA8/$T$2</f>
        <v>5.1922874272807658</v>
      </c>
      <c r="J8" s="21">
        <f>lc_detailed!BB8/$T$2</f>
        <v>2.8418047707297904</v>
      </c>
      <c r="K8" s="21">
        <f>lc_detailed!BC8/$T$2</f>
        <v>0.69221423897216883</v>
      </c>
      <c r="L8" s="21">
        <f>lc_detailed!BK8/$T$2</f>
        <v>0</v>
      </c>
      <c r="M8" s="21">
        <f>lc_detailed!BL8/$T$2</f>
        <v>9.3219166960969169</v>
      </c>
      <c r="N8" s="21">
        <f>lc_detailed!BJ8</f>
        <v>4.2544827350411296</v>
      </c>
      <c r="O8" s="21">
        <f>lc_detailed!AR8</f>
        <v>1236.4278340139945</v>
      </c>
      <c r="P8" s="21">
        <f t="shared" si="0"/>
        <v>27.114645482763034</v>
      </c>
      <c r="Q8" s="21">
        <f t="shared" si="1"/>
        <v>27.114645482763034</v>
      </c>
    </row>
    <row r="9" spans="2:21" x14ac:dyDescent="0.2">
      <c r="B9" t="str">
        <f>lc_detailed!AM9</f>
        <v>SE_TSC</v>
      </c>
      <c r="C9" s="21">
        <f>lc_detailed!AU9/$T$2</f>
        <v>0</v>
      </c>
      <c r="D9" s="21">
        <f>lc_detailed!AV9/$T$2</f>
        <v>0</v>
      </c>
      <c r="E9" s="21">
        <f>lc_detailed!AW9/$T$2</f>
        <v>0</v>
      </c>
      <c r="F9" s="21">
        <f>lc_detailed!AX9/$T$2</f>
        <v>9.079842636033753</v>
      </c>
      <c r="G9" s="21">
        <f>lc_detailed!AY9/$T$2</f>
        <v>-1.3616107475968278E-2</v>
      </c>
      <c r="H9" s="21">
        <f>lc_detailed!AZ9/$T$2</f>
        <v>0</v>
      </c>
      <c r="I9" s="21">
        <f>lc_detailed!BA9/$T$2</f>
        <v>5.1922874272807658</v>
      </c>
      <c r="J9" s="21">
        <f>lc_detailed!BB9/$T$2</f>
        <v>2.8418047707297904</v>
      </c>
      <c r="K9" s="21">
        <f>lc_detailed!BC9/$T$2</f>
        <v>0.69221423897216883</v>
      </c>
      <c r="L9" s="21">
        <f>lc_detailed!BK9/$T$2</f>
        <v>0</v>
      </c>
      <c r="M9" s="21">
        <f>lc_detailed!BL9/$T$2</f>
        <v>9.3219166960969169</v>
      </c>
      <c r="N9" s="21">
        <f>lc_detailed!BJ9</f>
        <v>4.2544827350411296</v>
      </c>
      <c r="O9" s="21">
        <f>lc_detailed!AR9</f>
        <v>1236.4189045706667</v>
      </c>
      <c r="P9" s="21">
        <f t="shared" si="0"/>
        <v>27.114449661637426</v>
      </c>
      <c r="Q9" s="21">
        <f t="shared" si="1"/>
        <v>27.114449661637426</v>
      </c>
    </row>
    <row r="10" spans="2:21" x14ac:dyDescent="0.2">
      <c r="B10" t="str">
        <f>lc_detailed!AM10</f>
        <v>MIDAT_TSC</v>
      </c>
      <c r="C10" s="21">
        <f>lc_detailed!AU10/$T$2</f>
        <v>0</v>
      </c>
      <c r="D10" s="21">
        <f>lc_detailed!AV10/$T$2</f>
        <v>0</v>
      </c>
      <c r="E10" s="21">
        <f>lc_detailed!AW10/$T$2</f>
        <v>0</v>
      </c>
      <c r="F10" s="21">
        <f>lc_detailed!AX10/$T$2</f>
        <v>9.079842636033753</v>
      </c>
      <c r="G10" s="21">
        <f>lc_detailed!AY10/$T$2</f>
        <v>-8.7210762247168436E-3</v>
      </c>
      <c r="H10" s="21">
        <f>lc_detailed!AZ10/$T$2</f>
        <v>0</v>
      </c>
      <c r="I10" s="21">
        <f>lc_detailed!BA10/$T$2</f>
        <v>5.1922874272807658</v>
      </c>
      <c r="J10" s="21">
        <f>lc_detailed!BB10/$T$2</f>
        <v>2.8418047707297904</v>
      </c>
      <c r="K10" s="21">
        <f>lc_detailed!BC10/$T$2</f>
        <v>0.69221423897216883</v>
      </c>
      <c r="L10" s="21">
        <f>lc_detailed!BK10/$T$2</f>
        <v>0</v>
      </c>
      <c r="M10" s="21">
        <f>lc_detailed!BL10/$T$2</f>
        <v>9.3219166960969169</v>
      </c>
      <c r="N10" s="21">
        <f>lc_detailed!BJ10</f>
        <v>4.2544827350411296</v>
      </c>
      <c r="O10" s="21">
        <f>lc_detailed!AR10</f>
        <v>1236.6421179957238</v>
      </c>
      <c r="P10" s="21">
        <f t="shared" si="0"/>
        <v>27.119344692888678</v>
      </c>
      <c r="Q10" s="21">
        <f t="shared" si="1"/>
        <v>27.119344692888678</v>
      </c>
    </row>
    <row r="11" spans="2:21" x14ac:dyDescent="0.2">
      <c r="B11" t="str">
        <f>lc_detailed!AM11</f>
        <v>NE_TSC</v>
      </c>
      <c r="C11" s="21">
        <f>lc_detailed!AU11/$T$2</f>
        <v>0</v>
      </c>
      <c r="D11" s="21">
        <f>lc_detailed!AV11/$T$2</f>
        <v>0</v>
      </c>
      <c r="E11" s="21">
        <f>lc_detailed!AW11/$T$2</f>
        <v>0</v>
      </c>
      <c r="F11" s="21">
        <f>lc_detailed!AX11/$T$2</f>
        <v>9.079842636033753</v>
      </c>
      <c r="G11" s="21">
        <f>lc_detailed!AY11/$T$2</f>
        <v>5.5208385176549898E-2</v>
      </c>
      <c r="H11" s="21">
        <f>lc_detailed!AZ11/$T$2</f>
        <v>0</v>
      </c>
      <c r="I11" s="21">
        <f>lc_detailed!BA11/$T$2</f>
        <v>5.1922874272807658</v>
      </c>
      <c r="J11" s="21">
        <f>lc_detailed!BB11/$T$2</f>
        <v>2.8418047707297904</v>
      </c>
      <c r="K11" s="21">
        <f>lc_detailed!BC11/$T$2</f>
        <v>0.69221423897216883</v>
      </c>
      <c r="L11" s="21">
        <f>lc_detailed!BK11/$T$2</f>
        <v>0</v>
      </c>
      <c r="M11" s="21">
        <f>lc_detailed!BL11/$T$2</f>
        <v>9.3219166960969169</v>
      </c>
      <c r="N11" s="21">
        <f>lc_detailed!BJ11</f>
        <v>4.2544827350411296</v>
      </c>
      <c r="O11" s="21">
        <f>lc_detailed!AR11</f>
        <v>1239.5573014356216</v>
      </c>
      <c r="P11" s="21">
        <f t="shared" si="0"/>
        <v>27.183274154289947</v>
      </c>
      <c r="Q11" s="21">
        <f t="shared" si="1"/>
        <v>27.183274154289947</v>
      </c>
    </row>
    <row r="12" spans="2:21" x14ac:dyDescent="0.2">
      <c r="B12" t="str">
        <f>lc_detailed!AM12</f>
        <v>CA_TSC+CC90</v>
      </c>
      <c r="C12" s="21">
        <f>lc_detailed!AU12/$T$2</f>
        <v>0</v>
      </c>
      <c r="D12" s="21">
        <f>lc_detailed!AV12/$T$2</f>
        <v>0</v>
      </c>
      <c r="E12" s="21">
        <f>lc_detailed!AW12/$T$2</f>
        <v>6.3919178273421681E-2</v>
      </c>
      <c r="F12" s="21">
        <f>lc_detailed!AX12/$T$2</f>
        <v>9.079842636033753</v>
      </c>
      <c r="G12" s="21">
        <f>lc_detailed!AY12/$T$2</f>
        <v>-2.9399663335483529E-2</v>
      </c>
      <c r="H12" s="21">
        <f>lc_detailed!AZ12/$T$2</f>
        <v>0</v>
      </c>
      <c r="I12" s="21">
        <f>lc_detailed!BA12/$T$2</f>
        <v>5.5982890881479141</v>
      </c>
      <c r="J12" s="21">
        <f>lc_detailed!BB12/$T$2</f>
        <v>3.0641325531920858</v>
      </c>
      <c r="K12" s="21">
        <f>lc_detailed!BC12/$T$2</f>
        <v>0.74634069943059123</v>
      </c>
      <c r="L12" s="21">
        <f>lc_detailed!BK12/$T$2</f>
        <v>-0.94098738465269205</v>
      </c>
      <c r="M12" s="21">
        <f>lc_detailed!BL12/$T$2</f>
        <v>9.3219166960969169</v>
      </c>
      <c r="N12" s="21">
        <f>lc_detailed!BJ12</f>
        <v>4.2544827350411296</v>
      </c>
      <c r="O12" s="21">
        <f>lc_detailed!AR12</f>
        <v>1226.8248534253048</v>
      </c>
      <c r="P12" s="21">
        <f t="shared" si="0"/>
        <v>26.904053803186507</v>
      </c>
      <c r="Q12" s="21">
        <f t="shared" si="1"/>
        <v>26.904053803186503</v>
      </c>
    </row>
    <row r="13" spans="2:21" x14ac:dyDescent="0.2">
      <c r="B13" t="str">
        <f>lc_detailed!AM13</f>
        <v>CA_TSC:H2</v>
      </c>
      <c r="C13" s="21">
        <f>lc_detailed!AU13/$T$2</f>
        <v>0</v>
      </c>
      <c r="D13" s="21">
        <f>lc_detailed!AV13/$T$2</f>
        <v>-0.30639510581400747</v>
      </c>
      <c r="E13" s="21">
        <f>lc_detailed!AW13/$T$2</f>
        <v>0</v>
      </c>
      <c r="F13" s="21">
        <f>lc_detailed!AX13/$T$2</f>
        <v>9.079842636033753</v>
      </c>
      <c r="G13" s="21">
        <f>lc_detailed!AY13/$T$2</f>
        <v>-0.17072840509347034</v>
      </c>
      <c r="H13" s="21">
        <f>lc_detailed!AZ13/$T$2</f>
        <v>0</v>
      </c>
      <c r="I13" s="21">
        <f>lc_detailed!BA13/$T$2</f>
        <v>5.1922874272807658</v>
      </c>
      <c r="J13" s="21">
        <f>lc_detailed!BB13/$T$2</f>
        <v>2.8418047707297904</v>
      </c>
      <c r="K13" s="21">
        <f>lc_detailed!BC13/$T$2</f>
        <v>0.69221423897216883</v>
      </c>
      <c r="L13" s="21">
        <f>lc_detailed!BK13/$T$2</f>
        <v>0</v>
      </c>
      <c r="M13" s="21">
        <f>lc_detailed!BL13/$T$2</f>
        <v>10.137163703266499</v>
      </c>
      <c r="N13" s="21">
        <f>lc_detailed!BJ13</f>
        <v>4.6265579669780523</v>
      </c>
      <c r="O13" s="21">
        <f>lc_detailed!AR13</f>
        <v>1252.4582305011229</v>
      </c>
      <c r="P13" s="21">
        <f t="shared" si="0"/>
        <v>27.466189265375501</v>
      </c>
      <c r="Q13" s="21">
        <f t="shared" si="1"/>
        <v>27.466189265375501</v>
      </c>
    </row>
    <row r="14" spans="2:21" x14ac:dyDescent="0.2">
      <c r="B14" t="str">
        <f>lc_detailed!AM14</f>
        <v>CA_TSC+CC90:H2</v>
      </c>
      <c r="C14" s="21">
        <f>lc_detailed!AU14/$T$2</f>
        <v>0</v>
      </c>
      <c r="D14" s="21">
        <f>lc_detailed!AV14/$T$2</f>
        <v>-0.30639510581400747</v>
      </c>
      <c r="E14" s="21">
        <f>lc_detailed!AW14/$T$2</f>
        <v>7.4521648560442966E-2</v>
      </c>
      <c r="F14" s="21">
        <f>lc_detailed!AX14/$T$2</f>
        <v>9.079842636033753</v>
      </c>
      <c r="G14" s="21">
        <f>lc_detailed!AY14/$T$2</f>
        <v>-0.17072840509347034</v>
      </c>
      <c r="H14" s="21">
        <f>lc_detailed!AZ14/$T$2</f>
        <v>0</v>
      </c>
      <c r="I14" s="21">
        <f>lc_detailed!BA14/$T$2</f>
        <v>5.5996407631099441</v>
      </c>
      <c r="J14" s="21">
        <f>lc_detailed!BB14/$T$2</f>
        <v>3.0648553418449445</v>
      </c>
      <c r="K14" s="21">
        <f>lc_detailed!BC14/$T$2</f>
        <v>0.74652089667940558</v>
      </c>
      <c r="L14" s="21">
        <f>lc_detailed!BK14/$T$2</f>
        <v>-1.6351444765381382</v>
      </c>
      <c r="M14" s="21">
        <f>lc_detailed!BL14/$T$2</f>
        <v>10.137163703266499</v>
      </c>
      <c r="N14" s="21">
        <f>lc_detailed!BJ14</f>
        <v>4.6265579669780523</v>
      </c>
      <c r="O14" s="21">
        <f>lc_detailed!AR14</f>
        <v>1212.5166312934516</v>
      </c>
      <c r="P14" s="21">
        <f t="shared" si="0"/>
        <v>26.590277002049376</v>
      </c>
      <c r="Q14" s="21">
        <f t="shared" si="1"/>
        <v>26.590277002049373</v>
      </c>
    </row>
    <row r="15" spans="2:21" x14ac:dyDescent="0.2">
      <c r="B15" t="str">
        <f>lc_detailed!AM15</f>
        <v>CA_TSC+H2in</v>
      </c>
      <c r="C15" s="21">
        <f>lc_detailed!AU15/$T$2</f>
        <v>4.2678727335815188E-2</v>
      </c>
      <c r="D15" s="21">
        <f>lc_detailed!AV15/$T$2</f>
        <v>0</v>
      </c>
      <c r="E15" s="21">
        <f>lc_detailed!AW15/$T$2</f>
        <v>0</v>
      </c>
      <c r="F15" s="21">
        <f>lc_detailed!AX15/$T$2</f>
        <v>9.079842636033753</v>
      </c>
      <c r="G15" s="21">
        <f>lc_detailed!AY15/$T$2</f>
        <v>0</v>
      </c>
      <c r="H15" s="21">
        <f>lc_detailed!AZ15/$T$2</f>
        <v>0</v>
      </c>
      <c r="I15" s="21">
        <f>lc_detailed!BA15/$T$2</f>
        <v>5.1922874272807658</v>
      </c>
      <c r="J15" s="21">
        <f>lc_detailed!BB15/$T$2</f>
        <v>2.8418047707297904</v>
      </c>
      <c r="K15" s="21">
        <f>lc_detailed!BC15/$T$2</f>
        <v>0.69221423897216883</v>
      </c>
      <c r="L15" s="21">
        <f>lc_detailed!BK15/$T$2</f>
        <v>0</v>
      </c>
      <c r="M15" s="21">
        <f>lc_detailed!BL15/$T$2</f>
        <v>9.1523263689779704</v>
      </c>
      <c r="N15" s="21">
        <f>lc_detailed!BJ15</f>
        <v>4.1770824382695828</v>
      </c>
      <c r="O15" s="21">
        <f>lc_detailed!AR15</f>
        <v>1231.25263012146</v>
      </c>
      <c r="P15" s="21">
        <f t="shared" si="0"/>
        <v>27.001154169330263</v>
      </c>
      <c r="Q15" s="21">
        <f t="shared" si="1"/>
        <v>27.001154169330263</v>
      </c>
    </row>
    <row r="16" spans="2:21" x14ac:dyDescent="0.2">
      <c r="B16" t="str">
        <f>lc_detailed!AM16</f>
        <v>CA_TSC+H2in:CH4</v>
      </c>
      <c r="C16" s="21">
        <f>lc_detailed!AU16/$T$2</f>
        <v>0.2637163786123633</v>
      </c>
      <c r="D16" s="21">
        <f>lc_detailed!AV16/$T$2</f>
        <v>0</v>
      </c>
      <c r="E16" s="21">
        <f>lc_detailed!AW16/$T$2</f>
        <v>0</v>
      </c>
      <c r="F16" s="21">
        <f>lc_detailed!AX16/$T$2</f>
        <v>9.079842636033753</v>
      </c>
      <c r="G16" s="21">
        <f>lc_detailed!AY16/$T$2</f>
        <v>0</v>
      </c>
      <c r="H16" s="21">
        <f>lc_detailed!AZ16/$T$2</f>
        <v>0.15299954696665649</v>
      </c>
      <c r="I16" s="21">
        <f>lc_detailed!BA16/$T$2</f>
        <v>5.1922874272807658</v>
      </c>
      <c r="J16" s="21">
        <f>lc_detailed!BB16/$T$2</f>
        <v>2.8418047707297904</v>
      </c>
      <c r="K16" s="21">
        <f>lc_detailed!BC16/$T$2</f>
        <v>0.69221423897216883</v>
      </c>
      <c r="L16" s="21">
        <f>lc_detailed!BK16/$T$2</f>
        <v>0</v>
      </c>
      <c r="M16" s="21">
        <f>lc_detailed!BL16/$T$2</f>
        <v>9.1523263689779704</v>
      </c>
      <c r="N16" s="21">
        <f>lc_detailed!BJ16</f>
        <v>4.1770824382695828</v>
      </c>
      <c r="O16" s="21">
        <f>lc_detailed!AR16</f>
        <v>1248.3087263613502</v>
      </c>
      <c r="P16" s="21">
        <f t="shared" si="0"/>
        <v>27.375191367573468</v>
      </c>
      <c r="Q16" s="21">
        <f t="shared" si="1"/>
        <v>27.375191367573468</v>
      </c>
    </row>
    <row r="17" spans="2:17" x14ac:dyDescent="0.2">
      <c r="B17" t="str">
        <f>lc_detailed!AM17</f>
        <v>SW_TSC+CC90</v>
      </c>
      <c r="C17" s="21">
        <f>lc_detailed!AU17/$T$2</f>
        <v>0</v>
      </c>
      <c r="D17" s="21">
        <f>lc_detailed!AV17/$T$2</f>
        <v>0</v>
      </c>
      <c r="E17" s="21">
        <f>lc_detailed!AW17/$T$2</f>
        <v>6.680852938958344E-2</v>
      </c>
      <c r="F17" s="21">
        <f>lc_detailed!AX17/$T$2</f>
        <v>9.079842636033753</v>
      </c>
      <c r="G17" s="21">
        <f>lc_detailed!AY17/$T$2</f>
        <v>-1.1980339652309062E-2</v>
      </c>
      <c r="H17" s="21">
        <f>lc_detailed!AZ17/$T$2</f>
        <v>0</v>
      </c>
      <c r="I17" s="21">
        <f>lc_detailed!BA17/$T$2</f>
        <v>5.5982890881479141</v>
      </c>
      <c r="J17" s="21">
        <f>lc_detailed!BB17/$T$2</f>
        <v>3.0641325531920858</v>
      </c>
      <c r="K17" s="21">
        <f>lc_detailed!BC17/$T$2</f>
        <v>0.74634069943059123</v>
      </c>
      <c r="L17" s="21">
        <f>lc_detailed!BK17/$T$2</f>
        <v>-0.94164953110951999</v>
      </c>
      <c r="M17" s="21">
        <f>lc_detailed!BL17/$T$2</f>
        <v>9.3219166960969169</v>
      </c>
      <c r="N17" s="21">
        <f>lc_detailed!BJ17</f>
        <v>4.2544827350411296</v>
      </c>
      <c r="O17" s="21">
        <f>lc_detailed!AR17</f>
        <v>1227.7207351177231</v>
      </c>
      <c r="P17" s="21">
        <f t="shared" si="0"/>
        <v>26.923700331529012</v>
      </c>
      <c r="Q17" s="21">
        <f t="shared" si="1"/>
        <v>26.923700331529012</v>
      </c>
    </row>
    <row r="18" spans="2:17" x14ac:dyDescent="0.2">
      <c r="B18" t="str">
        <f>lc_detailed!AM18</f>
        <v>SW_TSC:H2</v>
      </c>
      <c r="C18" s="21">
        <f>lc_detailed!AU18/$T$2</f>
        <v>0</v>
      </c>
      <c r="D18" s="21">
        <f>lc_detailed!AV18/$T$2</f>
        <v>-0.41182630936364006</v>
      </c>
      <c r="E18" s="21">
        <f>lc_detailed!AW18/$T$2</f>
        <v>0</v>
      </c>
      <c r="F18" s="21">
        <f>lc_detailed!AX18/$T$2</f>
        <v>9.079842636033753</v>
      </c>
      <c r="G18" s="21">
        <f>lc_detailed!AY18/$T$2</f>
        <v>-6.9571690599876279E-2</v>
      </c>
      <c r="H18" s="21">
        <f>lc_detailed!AZ18/$T$2</f>
        <v>0</v>
      </c>
      <c r="I18" s="21">
        <f>lc_detailed!BA18/$T$2</f>
        <v>5.1922874272807658</v>
      </c>
      <c r="J18" s="21">
        <f>lc_detailed!BB18/$T$2</f>
        <v>2.8418047707297904</v>
      </c>
      <c r="K18" s="21">
        <f>lc_detailed!BC18/$T$2</f>
        <v>0.69221423897216883</v>
      </c>
      <c r="L18" s="21">
        <f>lc_detailed!BK18/$T$2</f>
        <v>0</v>
      </c>
      <c r="M18" s="21">
        <f>lc_detailed!BL18/$T$2</f>
        <v>10.137163703266499</v>
      </c>
      <c r="N18" s="21">
        <f>lc_detailed!BJ18</f>
        <v>4.6265579669780523</v>
      </c>
      <c r="O18" s="21">
        <f>lc_detailed!AR18</f>
        <v>1252.2633138001675</v>
      </c>
      <c r="P18" s="21">
        <f t="shared" si="0"/>
        <v>27.46191477631946</v>
      </c>
      <c r="Q18" s="21">
        <f t="shared" si="1"/>
        <v>27.46191477631946</v>
      </c>
    </row>
    <row r="19" spans="2:17" x14ac:dyDescent="0.2">
      <c r="B19" t="str">
        <f>lc_detailed!AM19</f>
        <v>SW_TSC+CC90:H2</v>
      </c>
      <c r="C19" s="21">
        <f>lc_detailed!AU19/$T$2</f>
        <v>0</v>
      </c>
      <c r="D19" s="21">
        <f>lc_detailed!AV19/$T$2</f>
        <v>-0.41182630936364006</v>
      </c>
      <c r="E19" s="21">
        <f>lc_detailed!AW19/$T$2</f>
        <v>7.7890265214513171E-2</v>
      </c>
      <c r="F19" s="21">
        <f>lc_detailed!AX19/$T$2</f>
        <v>9.079842636033753</v>
      </c>
      <c r="G19" s="21">
        <f>lc_detailed!AY19/$T$2</f>
        <v>-6.9571690599876279E-2</v>
      </c>
      <c r="H19" s="21">
        <f>lc_detailed!AZ19/$T$2</f>
        <v>0</v>
      </c>
      <c r="I19" s="21">
        <f>lc_detailed!BA19/$T$2</f>
        <v>5.5996407631099441</v>
      </c>
      <c r="J19" s="21">
        <f>lc_detailed!BB19/$T$2</f>
        <v>3.0648553418449445</v>
      </c>
      <c r="K19" s="21">
        <f>lc_detailed!BC19/$T$2</f>
        <v>0.74652089667940558</v>
      </c>
      <c r="L19" s="21">
        <f>lc_detailed!BK19/$T$2</f>
        <v>-1.6362950818907711</v>
      </c>
      <c r="M19" s="21">
        <f>lc_detailed!BL19/$T$2</f>
        <v>10.137163703266499</v>
      </c>
      <c r="N19" s="21">
        <f>lc_detailed!BJ19</f>
        <v>4.6265579669780523</v>
      </c>
      <c r="O19" s="21">
        <f>lc_detailed!AR19</f>
        <v>1212.4228559078415</v>
      </c>
      <c r="P19" s="21">
        <f t="shared" si="0"/>
        <v>26.588220524294769</v>
      </c>
      <c r="Q19" s="21">
        <f t="shared" si="1"/>
        <v>26.588220524294773</v>
      </c>
    </row>
    <row r="20" spans="2:17" x14ac:dyDescent="0.2">
      <c r="B20" t="str">
        <f>lc_detailed!AM20</f>
        <v>SW_TSC+H2in</v>
      </c>
      <c r="C20" s="21">
        <f>lc_detailed!AU20/$T$2</f>
        <v>5.7364567623724536E-2</v>
      </c>
      <c r="D20" s="21">
        <f>lc_detailed!AV20/$T$2</f>
        <v>0</v>
      </c>
      <c r="E20" s="21">
        <f>lc_detailed!AW20/$T$2</f>
        <v>0</v>
      </c>
      <c r="F20" s="21">
        <f>lc_detailed!AX20/$T$2</f>
        <v>9.079842636033753</v>
      </c>
      <c r="G20" s="21">
        <f>lc_detailed!AY20/$T$2</f>
        <v>0</v>
      </c>
      <c r="H20" s="21">
        <f>lc_detailed!AZ20/$T$2</f>
        <v>0</v>
      </c>
      <c r="I20" s="21">
        <f>lc_detailed!BA20/$T$2</f>
        <v>5.1922874272807658</v>
      </c>
      <c r="J20" s="21">
        <f>lc_detailed!BB20/$T$2</f>
        <v>2.8418047707297904</v>
      </c>
      <c r="K20" s="21">
        <f>lc_detailed!BC20/$T$2</f>
        <v>0.69221423897216883</v>
      </c>
      <c r="L20" s="21">
        <f>lc_detailed!BK20/$T$2</f>
        <v>0</v>
      </c>
      <c r="M20" s="21">
        <f>lc_detailed!BL20/$T$2</f>
        <v>9.1523263689779704</v>
      </c>
      <c r="N20" s="21">
        <f>lc_detailed!BJ20</f>
        <v>4.1770824382695828</v>
      </c>
      <c r="O20" s="21">
        <f>lc_detailed!AR20</f>
        <v>1231.9223044385888</v>
      </c>
      <c r="P20" s="21">
        <f t="shared" si="0"/>
        <v>27.015840009618174</v>
      </c>
      <c r="Q20" s="21">
        <f t="shared" si="1"/>
        <v>27.015840009618174</v>
      </c>
    </row>
    <row r="21" spans="2:17" x14ac:dyDescent="0.2">
      <c r="B21" t="str">
        <f>lc_detailed!AM21</f>
        <v>SW_TSC+H2in:CH4</v>
      </c>
      <c r="C21" s="21">
        <f>lc_detailed!AU21/$T$2</f>
        <v>0.35446174192025504</v>
      </c>
      <c r="D21" s="21">
        <f>lc_detailed!AV21/$T$2</f>
        <v>0</v>
      </c>
      <c r="E21" s="21">
        <f>lc_detailed!AW21/$T$2</f>
        <v>0</v>
      </c>
      <c r="F21" s="21">
        <f>lc_detailed!AX21/$T$2</f>
        <v>9.079842636033753</v>
      </c>
      <c r="G21" s="21">
        <f>lc_detailed!AY21/$T$2</f>
        <v>0</v>
      </c>
      <c r="H21" s="21">
        <f>lc_detailed!AZ21/$T$2</f>
        <v>6.2347194877488923E-2</v>
      </c>
      <c r="I21" s="21">
        <f>lc_detailed!BA21/$T$2</f>
        <v>5.1922874272807658</v>
      </c>
      <c r="J21" s="21">
        <f>lc_detailed!BB21/$T$2</f>
        <v>2.8418047707297904</v>
      </c>
      <c r="K21" s="21">
        <f>lc_detailed!BC21/$T$2</f>
        <v>0.69221423897216883</v>
      </c>
      <c r="L21" s="21">
        <f>lc_detailed!BK21/$T$2</f>
        <v>0</v>
      </c>
      <c r="M21" s="21">
        <f>lc_detailed!BL21/$T$2</f>
        <v>9.1523263689779704</v>
      </c>
      <c r="N21" s="21">
        <f>lc_detailed!BJ21</f>
        <v>4.1770824382695828</v>
      </c>
      <c r="O21" s="21">
        <f>lc_detailed!AR21</f>
        <v>1248.3129676729241</v>
      </c>
      <c r="P21" s="21">
        <f t="shared" si="0"/>
        <v>27.375284378792195</v>
      </c>
      <c r="Q21" s="21">
        <f t="shared" si="1"/>
        <v>27.375284378792195</v>
      </c>
    </row>
    <row r="22" spans="2:17" x14ac:dyDescent="0.2">
      <c r="B22" t="str">
        <f>lc_detailed!AM22</f>
        <v>NW_TSC+CC90</v>
      </c>
      <c r="C22" s="21">
        <f>lc_detailed!AU22/$T$2</f>
        <v>0</v>
      </c>
      <c r="D22" s="21">
        <f>lc_detailed!AV22/$T$2</f>
        <v>0</v>
      </c>
      <c r="E22" s="21">
        <f>lc_detailed!AW22/$T$2</f>
        <v>6.3435324477675623E-2</v>
      </c>
      <c r="F22" s="21">
        <f>lc_detailed!AX22/$T$2</f>
        <v>9.079842636033753</v>
      </c>
      <c r="G22" s="21">
        <f>lc_detailed!AY22/$T$2</f>
        <v>-2.2863492234672874E-2</v>
      </c>
      <c r="H22" s="21">
        <f>lc_detailed!AZ22/$T$2</f>
        <v>0</v>
      </c>
      <c r="I22" s="21">
        <f>lc_detailed!BA22/$T$2</f>
        <v>5.5982890881479141</v>
      </c>
      <c r="J22" s="21">
        <f>lc_detailed!BB22/$T$2</f>
        <v>3.0641325531920858</v>
      </c>
      <c r="K22" s="21">
        <f>lc_detailed!BC22/$T$2</f>
        <v>0.74634069943059123</v>
      </c>
      <c r="L22" s="21">
        <f>lc_detailed!BK22/$T$2</f>
        <v>-0.94205844624155199</v>
      </c>
      <c r="M22" s="21">
        <f>lc_detailed!BL22/$T$2</f>
        <v>9.3219166960969169</v>
      </c>
      <c r="N22" s="21">
        <f>lc_detailed!BJ22</f>
        <v>4.2544827350411296</v>
      </c>
      <c r="O22" s="21">
        <f>lc_detailed!AR22</f>
        <v>1227.0519986859636</v>
      </c>
      <c r="P22" s="21">
        <f t="shared" si="0"/>
        <v>26.90903505890271</v>
      </c>
      <c r="Q22" s="21">
        <f t="shared" si="1"/>
        <v>26.909035058902706</v>
      </c>
    </row>
    <row r="23" spans="2:17" x14ac:dyDescent="0.2">
      <c r="B23" t="str">
        <f>lc_detailed!AM23</f>
        <v>NW_TSC:H2</v>
      </c>
      <c r="C23" s="21">
        <f>lc_detailed!AU23/$T$2</f>
        <v>0</v>
      </c>
      <c r="D23" s="21">
        <f>lc_detailed!AV23/$T$2</f>
        <v>-0.34583867569632065</v>
      </c>
      <c r="E23" s="21">
        <f>lc_detailed!AW23/$T$2</f>
        <v>0</v>
      </c>
      <c r="F23" s="21">
        <f>lc_detailed!AX23/$T$2</f>
        <v>9.079842636033753</v>
      </c>
      <c r="G23" s="21">
        <f>lc_detailed!AY23/$T$2</f>
        <v>-0.13277184570278494</v>
      </c>
      <c r="H23" s="21">
        <f>lc_detailed!AZ23/$T$2</f>
        <v>0</v>
      </c>
      <c r="I23" s="21">
        <f>lc_detailed!BA23/$T$2</f>
        <v>5.1922874272807658</v>
      </c>
      <c r="J23" s="21">
        <f>lc_detailed!BB23/$T$2</f>
        <v>2.8418047707297904</v>
      </c>
      <c r="K23" s="21">
        <f>lc_detailed!BC23/$T$2</f>
        <v>0.69221423897216883</v>
      </c>
      <c r="L23" s="21">
        <f>lc_detailed!BK23/$T$2</f>
        <v>0</v>
      </c>
      <c r="M23" s="21">
        <f>lc_detailed!BL23/$T$2</f>
        <v>10.137163703266499</v>
      </c>
      <c r="N23" s="21">
        <f>lc_detailed!BJ23</f>
        <v>4.6265579669780523</v>
      </c>
      <c r="O23" s="21">
        <f>lc_detailed!AR23</f>
        <v>1252.3904228227045</v>
      </c>
      <c r="P23" s="21">
        <f t="shared" si="0"/>
        <v>27.464702254883871</v>
      </c>
      <c r="Q23" s="21">
        <f t="shared" si="1"/>
        <v>27.464702254883871</v>
      </c>
    </row>
    <row r="24" spans="2:17" x14ac:dyDescent="0.2">
      <c r="B24" t="str">
        <f>lc_detailed!AM24</f>
        <v>NW_TSC+CC90:H2</v>
      </c>
      <c r="C24" s="21">
        <f>lc_detailed!AU24/$T$2</f>
        <v>0</v>
      </c>
      <c r="D24" s="21">
        <f>lc_detailed!AV24/$T$2</f>
        <v>-0.34583867569632065</v>
      </c>
      <c r="E24" s="21">
        <f>lc_detailed!AW24/$T$2</f>
        <v>7.3957536450506525E-2</v>
      </c>
      <c r="F24" s="21">
        <f>lc_detailed!AX24/$T$2</f>
        <v>9.079842636033753</v>
      </c>
      <c r="G24" s="21">
        <f>lc_detailed!AY24/$T$2</f>
        <v>-0.13277184570278494</v>
      </c>
      <c r="H24" s="21">
        <f>lc_detailed!AZ24/$T$2</f>
        <v>0</v>
      </c>
      <c r="I24" s="21">
        <f>lc_detailed!BA24/$T$2</f>
        <v>5.5996407631099441</v>
      </c>
      <c r="J24" s="21">
        <f>lc_detailed!BB24/$T$2</f>
        <v>3.0648553418449445</v>
      </c>
      <c r="K24" s="21">
        <f>lc_detailed!BC24/$T$2</f>
        <v>0.74652089667940558</v>
      </c>
      <c r="L24" s="21">
        <f>lc_detailed!BK24/$T$2</f>
        <v>-1.6370056496735286</v>
      </c>
      <c r="M24" s="21">
        <f>lc_detailed!BL24/$T$2</f>
        <v>10.137163703266499</v>
      </c>
      <c r="N24" s="21">
        <f>lc_detailed!BJ24</f>
        <v>4.6265579669780523</v>
      </c>
      <c r="O24" s="21">
        <f>lc_detailed!AR24</f>
        <v>1212.3382306078463</v>
      </c>
      <c r="P24" s="21">
        <f t="shared" si="0"/>
        <v>26.58636470631242</v>
      </c>
      <c r="Q24" s="21">
        <f t="shared" si="1"/>
        <v>26.58636470631242</v>
      </c>
    </row>
    <row r="25" spans="2:17" x14ac:dyDescent="0.2">
      <c r="B25" t="str">
        <f>lc_detailed!AM25</f>
        <v>NW_TSC+H2in</v>
      </c>
      <c r="C25" s="21">
        <f>lc_detailed!AU25/$T$2</f>
        <v>4.8172944874591082E-2</v>
      </c>
      <c r="D25" s="21">
        <f>lc_detailed!AV25/$T$2</f>
        <v>0</v>
      </c>
      <c r="E25" s="21">
        <f>lc_detailed!AW25/$T$2</f>
        <v>0</v>
      </c>
      <c r="F25" s="21">
        <f>lc_detailed!AX25/$T$2</f>
        <v>9.079842636033753</v>
      </c>
      <c r="G25" s="21">
        <f>lc_detailed!AY25/$T$2</f>
        <v>0</v>
      </c>
      <c r="H25" s="21">
        <f>lc_detailed!AZ25/$T$2</f>
        <v>0</v>
      </c>
      <c r="I25" s="21">
        <f>lc_detailed!BA25/$T$2</f>
        <v>5.1922874272807658</v>
      </c>
      <c r="J25" s="21">
        <f>lc_detailed!BB25/$T$2</f>
        <v>2.8418047707297904</v>
      </c>
      <c r="K25" s="21">
        <f>lc_detailed!BC25/$T$2</f>
        <v>0.69221423897216883</v>
      </c>
      <c r="L25" s="21">
        <f>lc_detailed!BK25/$T$2</f>
        <v>0</v>
      </c>
      <c r="M25" s="21">
        <f>lc_detailed!BL25/$T$2</f>
        <v>9.1523263689779704</v>
      </c>
      <c r="N25" s="21">
        <f>lc_detailed!BJ25</f>
        <v>4.1770824382695828</v>
      </c>
      <c r="O25" s="21">
        <f>lc_detailed!AR25</f>
        <v>1231.5031664412281</v>
      </c>
      <c r="P25" s="21">
        <f t="shared" si="0"/>
        <v>27.006648386869038</v>
      </c>
      <c r="Q25" s="21">
        <f t="shared" si="1"/>
        <v>27.006648386869038</v>
      </c>
    </row>
    <row r="26" spans="2:17" x14ac:dyDescent="0.2">
      <c r="B26" t="str">
        <f>lc_detailed!AM26</f>
        <v>NW_TSC+H2in:CH4</v>
      </c>
      <c r="C26" s="21">
        <f>lc_detailed!AU26/$T$2</f>
        <v>0.297665730973173</v>
      </c>
      <c r="D26" s="21">
        <f>lc_detailed!AV26/$T$2</f>
        <v>0</v>
      </c>
      <c r="E26" s="21">
        <f>lc_detailed!AW26/$T$2</f>
        <v>0</v>
      </c>
      <c r="F26" s="21">
        <f>lc_detailed!AX26/$T$2</f>
        <v>9.079842636033753</v>
      </c>
      <c r="G26" s="21">
        <f>lc_detailed!AY26/$T$2</f>
        <v>0</v>
      </c>
      <c r="H26" s="21">
        <f>lc_detailed!AZ26/$T$2</f>
        <v>0.11898449019851967</v>
      </c>
      <c r="I26" s="21">
        <f>lc_detailed!BA26/$T$2</f>
        <v>5.1922874272807658</v>
      </c>
      <c r="J26" s="21">
        <f>lc_detailed!BB26/$T$2</f>
        <v>2.8418047707297904</v>
      </c>
      <c r="K26" s="21">
        <f>lc_detailed!BC26/$T$2</f>
        <v>0.69221423897216883</v>
      </c>
      <c r="L26" s="21">
        <f>lc_detailed!BK26/$T$2</f>
        <v>0</v>
      </c>
      <c r="M26" s="21">
        <f>lc_detailed!BL26/$T$2</f>
        <v>9.1523263689779704</v>
      </c>
      <c r="N26" s="21">
        <f>lc_detailed!BJ26</f>
        <v>4.1770824382695828</v>
      </c>
      <c r="O26" s="21">
        <f>lc_detailed!AR26</f>
        <v>1248.3057302403761</v>
      </c>
      <c r="P26" s="21">
        <f t="shared" si="0"/>
        <v>27.375125663166141</v>
      </c>
      <c r="Q26" s="21">
        <f t="shared" si="1"/>
        <v>27.375125663166141</v>
      </c>
    </row>
    <row r="27" spans="2:17" x14ac:dyDescent="0.2">
      <c r="B27" t="str">
        <f>lc_detailed!AM27</f>
        <v>TX_TSC+CC90</v>
      </c>
      <c r="C27" s="21">
        <f>lc_detailed!AU27/$T$2</f>
        <v>0</v>
      </c>
      <c r="D27" s="21">
        <f>lc_detailed!AV27/$T$2</f>
        <v>0</v>
      </c>
      <c r="E27" s="21">
        <f>lc_detailed!AW27/$T$2</f>
        <v>6.9701053208481759E-2</v>
      </c>
      <c r="F27" s="21">
        <f>lc_detailed!AX27/$T$2</f>
        <v>9.079842636033753</v>
      </c>
      <c r="G27" s="21">
        <f>lc_detailed!AY27/$T$2</f>
        <v>-1.388652757205903E-2</v>
      </c>
      <c r="H27" s="21">
        <f>lc_detailed!AZ27/$T$2</f>
        <v>0</v>
      </c>
      <c r="I27" s="21">
        <f>lc_detailed!BA27/$T$2</f>
        <v>5.5982890881479141</v>
      </c>
      <c r="J27" s="21">
        <f>lc_detailed!BB27/$T$2</f>
        <v>3.0641325531920858</v>
      </c>
      <c r="K27" s="21">
        <f>lc_detailed!BC27/$T$2</f>
        <v>0.74634069943059123</v>
      </c>
      <c r="L27" s="21">
        <f>lc_detailed!BK27/$T$2</f>
        <v>-0.94485860452547799</v>
      </c>
      <c r="M27" s="21">
        <f>lc_detailed!BL27/$T$2</f>
        <v>9.3219166960969169</v>
      </c>
      <c r="N27" s="21">
        <f>lc_detailed!BJ27</f>
        <v>4.2544827350411296</v>
      </c>
      <c r="O27" s="21">
        <f>lc_detailed!AR27</f>
        <v>1227.6193782869568</v>
      </c>
      <c r="P27" s="21">
        <f t="shared" si="0"/>
        <v>26.92147759401221</v>
      </c>
      <c r="Q27" s="21">
        <f t="shared" si="1"/>
        <v>26.921477594012202</v>
      </c>
    </row>
    <row r="28" spans="2:17" x14ac:dyDescent="0.2">
      <c r="B28" t="str">
        <f>lc_detailed!AM28</f>
        <v>TX_TSC:H2</v>
      </c>
      <c r="C28" s="21">
        <f>lc_detailed!AU28/$T$2</f>
        <v>0</v>
      </c>
      <c r="D28" s="21">
        <f>lc_detailed!AV28/$T$2</f>
        <v>-0.40004431463636292</v>
      </c>
      <c r="E28" s="21">
        <f>lc_detailed!AW28/$T$2</f>
        <v>0</v>
      </c>
      <c r="F28" s="21">
        <f>lc_detailed!AX28/$T$2</f>
        <v>9.079842636033753</v>
      </c>
      <c r="G28" s="21">
        <f>lc_detailed!AY28/$T$2</f>
        <v>-8.0641219513650136E-2</v>
      </c>
      <c r="H28" s="21">
        <f>lc_detailed!AZ28/$T$2</f>
        <v>0</v>
      </c>
      <c r="I28" s="21">
        <f>lc_detailed!BA28/$T$2</f>
        <v>5.1922874272807658</v>
      </c>
      <c r="J28" s="21">
        <f>lc_detailed!BB28/$T$2</f>
        <v>2.8418047707297904</v>
      </c>
      <c r="K28" s="21">
        <f>lc_detailed!BC28/$T$2</f>
        <v>0.69221423897216883</v>
      </c>
      <c r="L28" s="21">
        <f>lc_detailed!BK28/$T$2</f>
        <v>0</v>
      </c>
      <c r="M28" s="21">
        <f>lc_detailed!BL28/$T$2</f>
        <v>10.137163703266499</v>
      </c>
      <c r="N28" s="21">
        <f>lc_detailed!BJ28</f>
        <v>4.6265579669780523</v>
      </c>
      <c r="O28" s="21">
        <f>lc_detailed!AR28</f>
        <v>1252.2958022412631</v>
      </c>
      <c r="P28" s="21">
        <f t="shared" si="0"/>
        <v>27.462627242132964</v>
      </c>
      <c r="Q28" s="21">
        <f t="shared" si="1"/>
        <v>27.462627242132964</v>
      </c>
    </row>
    <row r="29" spans="2:17" x14ac:dyDescent="0.2">
      <c r="B29" t="str">
        <f>lc_detailed!AM29</f>
        <v>TX_TSC+CC90:H2</v>
      </c>
      <c r="C29" s="21">
        <f>lc_detailed!AU29/$T$2</f>
        <v>0</v>
      </c>
      <c r="D29" s="21">
        <f>lc_detailed!AV29/$T$2</f>
        <v>-0.40004431463636292</v>
      </c>
      <c r="E29" s="21">
        <f>lc_detailed!AW29/$T$2</f>
        <v>8.1262580837260803E-2</v>
      </c>
      <c r="F29" s="21">
        <f>lc_detailed!AX29/$T$2</f>
        <v>9.079842636033753</v>
      </c>
      <c r="G29" s="21">
        <f>lc_detailed!AY29/$T$2</f>
        <v>-8.0641219513650136E-2</v>
      </c>
      <c r="H29" s="21">
        <f>lc_detailed!AZ29/$T$2</f>
        <v>0</v>
      </c>
      <c r="I29" s="21">
        <f>lc_detailed!BA29/$T$2</f>
        <v>5.5996407631099441</v>
      </c>
      <c r="J29" s="21">
        <f>lc_detailed!BB29/$T$2</f>
        <v>3.0648553418449445</v>
      </c>
      <c r="K29" s="21">
        <f>lc_detailed!BC29/$T$2</f>
        <v>0.74652089667940558</v>
      </c>
      <c r="L29" s="21">
        <f>lc_detailed!BK29/$T$2</f>
        <v>-1.6418714570436073</v>
      </c>
      <c r="M29" s="21">
        <f>lc_detailed!BL29/$T$2</f>
        <v>10.137163703266499</v>
      </c>
      <c r="N29" s="21">
        <f>lc_detailed!BJ29</f>
        <v>4.6265579669780523</v>
      </c>
      <c r="O29" s="21">
        <f>lc_detailed!AR29</f>
        <v>1212.3548392343655</v>
      </c>
      <c r="P29" s="21">
        <f t="shared" si="0"/>
        <v>26.58672893057819</v>
      </c>
      <c r="Q29" s="21">
        <f t="shared" si="1"/>
        <v>26.586728930578186</v>
      </c>
    </row>
    <row r="30" spans="2:17" x14ac:dyDescent="0.2">
      <c r="B30" t="str">
        <f>lc_detailed!AM30</f>
        <v>TX_TSC+H2in</v>
      </c>
      <c r="C30" s="21">
        <f>lc_detailed!AU30/$T$2</f>
        <v>5.5723416930075022E-2</v>
      </c>
      <c r="D30" s="21">
        <f>lc_detailed!AV30/$T$2</f>
        <v>0</v>
      </c>
      <c r="E30" s="21">
        <f>lc_detailed!AW30/$T$2</f>
        <v>0</v>
      </c>
      <c r="F30" s="21">
        <f>lc_detailed!AX30/$T$2</f>
        <v>9.079842636033753</v>
      </c>
      <c r="G30" s="21">
        <f>lc_detailed!AY30/$T$2</f>
        <v>0</v>
      </c>
      <c r="H30" s="21">
        <f>lc_detailed!AZ30/$T$2</f>
        <v>0</v>
      </c>
      <c r="I30" s="21">
        <f>lc_detailed!BA30/$T$2</f>
        <v>5.1922874272807658</v>
      </c>
      <c r="J30" s="21">
        <f>lc_detailed!BB30/$T$2</f>
        <v>2.8418047707297904</v>
      </c>
      <c r="K30" s="21">
        <f>lc_detailed!BC30/$T$2</f>
        <v>0.69221423897216883</v>
      </c>
      <c r="L30" s="21">
        <f>lc_detailed!BK30/$T$2</f>
        <v>0</v>
      </c>
      <c r="M30" s="21">
        <f>lc_detailed!BL30/$T$2</f>
        <v>9.1523263689779704</v>
      </c>
      <c r="N30" s="21">
        <f>lc_detailed!BJ30</f>
        <v>4.1770824382695828</v>
      </c>
      <c r="O30" s="21">
        <f>lc_detailed!AR30</f>
        <v>1231.8474679669582</v>
      </c>
      <c r="P30" s="21">
        <f t="shared" si="0"/>
        <v>27.014198858924523</v>
      </c>
      <c r="Q30" s="21">
        <f t="shared" si="1"/>
        <v>27.014198858924523</v>
      </c>
    </row>
    <row r="31" spans="2:17" x14ac:dyDescent="0.2">
      <c r="B31" t="str">
        <f>lc_detailed!AM31</f>
        <v>TX_TSC+H2in:CH4</v>
      </c>
      <c r="C31" s="21">
        <f>lc_detailed!AU31/$T$2</f>
        <v>0.34432089788146808</v>
      </c>
      <c r="D31" s="21">
        <f>lc_detailed!AV31/$T$2</f>
        <v>0</v>
      </c>
      <c r="E31" s="21">
        <f>lc_detailed!AW31/$T$2</f>
        <v>0</v>
      </c>
      <c r="F31" s="21">
        <f>lc_detailed!AX31/$T$2</f>
        <v>9.079842636033753</v>
      </c>
      <c r="G31" s="21">
        <f>lc_detailed!AY31/$T$2</f>
        <v>0</v>
      </c>
      <c r="H31" s="21">
        <f>lc_detailed!AZ31/$T$2</f>
        <v>7.2267236642152941E-2</v>
      </c>
      <c r="I31" s="21">
        <f>lc_detailed!BA31/$T$2</f>
        <v>5.1922874272807658</v>
      </c>
      <c r="J31" s="21">
        <f>lc_detailed!BB31/$T$2</f>
        <v>2.8418047707297904</v>
      </c>
      <c r="K31" s="21">
        <f>lc_detailed!BC31/$T$2</f>
        <v>0.69221423897216883</v>
      </c>
      <c r="L31" s="21">
        <f>lc_detailed!BK31/$T$2</f>
        <v>0</v>
      </c>
      <c r="M31" s="21">
        <f>lc_detailed!BL31/$T$2</f>
        <v>9.1523263689779704</v>
      </c>
      <c r="N31" s="21">
        <f>lc_detailed!BJ31</f>
        <v>4.1770824382695828</v>
      </c>
      <c r="O31" s="21">
        <f>lc_detailed!AR31</f>
        <v>1248.302899089224</v>
      </c>
      <c r="P31" s="21">
        <f t="shared" si="0"/>
        <v>27.37506357651807</v>
      </c>
      <c r="Q31" s="21">
        <f t="shared" si="1"/>
        <v>27.37506357651807</v>
      </c>
    </row>
    <row r="32" spans="2:17" x14ac:dyDescent="0.2">
      <c r="B32" t="str">
        <f>lc_detailed!AM32</f>
        <v>NCEN_TSC+CC90</v>
      </c>
      <c r="C32" s="21">
        <f>lc_detailed!AU32/$T$2</f>
        <v>0</v>
      </c>
      <c r="D32" s="21">
        <f>lc_detailed!AV32/$T$2</f>
        <v>0</v>
      </c>
      <c r="E32" s="21">
        <f>lc_detailed!AW32/$T$2</f>
        <v>7.3620445215287919E-2</v>
      </c>
      <c r="F32" s="21">
        <f>lc_detailed!AX32/$T$2</f>
        <v>9.079842636033753</v>
      </c>
      <c r="G32" s="21">
        <f>lc_detailed!AY32/$T$2</f>
        <v>-7.7325109559540734E-3</v>
      </c>
      <c r="H32" s="21">
        <f>lc_detailed!AZ32/$T$2</f>
        <v>0</v>
      </c>
      <c r="I32" s="21">
        <f>lc_detailed!BA32/$T$2</f>
        <v>5.5982890881479141</v>
      </c>
      <c r="J32" s="21">
        <f>lc_detailed!BB32/$T$2</f>
        <v>3.0641325531920858</v>
      </c>
      <c r="K32" s="21">
        <f>lc_detailed!BC32/$T$2</f>
        <v>0.74634069943059123</v>
      </c>
      <c r="L32" s="21">
        <f>lc_detailed!BK32/$T$2</f>
        <v>-0.93400815294148254</v>
      </c>
      <c r="M32" s="21">
        <f>lc_detailed!BL32/$T$2</f>
        <v>9.3219166960969169</v>
      </c>
      <c r="N32" s="21">
        <f>lc_detailed!BJ32</f>
        <v>4.2544827350411296</v>
      </c>
      <c r="O32" s="21">
        <f>lc_detailed!AR32</f>
        <v>1228.5735063123916</v>
      </c>
      <c r="P32" s="21">
        <f t="shared" si="0"/>
        <v>26.942401454219112</v>
      </c>
      <c r="Q32" s="21">
        <f t="shared" si="1"/>
        <v>26.942401454219109</v>
      </c>
    </row>
    <row r="33" spans="2:17" x14ac:dyDescent="0.2">
      <c r="B33" t="str">
        <f>lc_detailed!AM33</f>
        <v>NCEN_TSC:H2</v>
      </c>
      <c r="C33" s="21">
        <f>lc_detailed!AU33/$T$2</f>
        <v>0</v>
      </c>
      <c r="D33" s="21">
        <f>lc_detailed!AV33/$T$2</f>
        <v>-0.44900706395587092</v>
      </c>
      <c r="E33" s="21">
        <f>lc_detailed!AW33/$T$2</f>
        <v>0</v>
      </c>
      <c r="F33" s="21">
        <f>lc_detailed!AX33/$T$2</f>
        <v>9.079842636033753</v>
      </c>
      <c r="G33" s="21">
        <f>lc_detailed!AY33/$T$2</f>
        <v>-4.4903890490625993E-2</v>
      </c>
      <c r="H33" s="21">
        <f>lc_detailed!AZ33/$T$2</f>
        <v>0</v>
      </c>
      <c r="I33" s="21">
        <f>lc_detailed!BA33/$T$2</f>
        <v>5.1922874272807658</v>
      </c>
      <c r="J33" s="21">
        <f>lc_detailed!BB33/$T$2</f>
        <v>2.8418047707297904</v>
      </c>
      <c r="K33" s="21">
        <f>lc_detailed!BC33/$T$2</f>
        <v>0.69221423897216883</v>
      </c>
      <c r="L33" s="21">
        <f>lc_detailed!BK33/$T$2</f>
        <v>0</v>
      </c>
      <c r="M33" s="21">
        <f>lc_detailed!BL33/$T$2</f>
        <v>10.137163703266499</v>
      </c>
      <c r="N33" s="21">
        <f>lc_detailed!BJ33</f>
        <v>4.6265579669780523</v>
      </c>
      <c r="O33" s="21">
        <f>lc_detailed!AR33</f>
        <v>1251.6927230757435</v>
      </c>
      <c r="P33" s="21">
        <f t="shared" si="0"/>
        <v>27.449401821836481</v>
      </c>
      <c r="Q33" s="21">
        <f t="shared" si="1"/>
        <v>27.449401821836478</v>
      </c>
    </row>
    <row r="34" spans="2:17" x14ac:dyDescent="0.2">
      <c r="B34" t="str">
        <f>lc_detailed!AM34</f>
        <v>NCEN_TSC+CC90:H2</v>
      </c>
      <c r="C34" s="21">
        <f>lc_detailed!AU34/$T$2</f>
        <v>0</v>
      </c>
      <c r="D34" s="21">
        <f>lc_detailed!AV34/$T$2</f>
        <v>-0.44900706395587092</v>
      </c>
      <c r="E34" s="21">
        <f>lc_detailed!AW34/$T$2</f>
        <v>8.5832094426005853E-2</v>
      </c>
      <c r="F34" s="21">
        <f>lc_detailed!AX34/$T$2</f>
        <v>9.079842636033753</v>
      </c>
      <c r="G34" s="21">
        <f>lc_detailed!AY34/$T$2</f>
        <v>-4.4903890490625993E-2</v>
      </c>
      <c r="H34" s="21">
        <f>lc_detailed!AZ34/$T$2</f>
        <v>0</v>
      </c>
      <c r="I34" s="21">
        <f>lc_detailed!BA34/$T$2</f>
        <v>5.5996407631099441</v>
      </c>
      <c r="J34" s="21">
        <f>lc_detailed!BB34/$T$2</f>
        <v>3.0648553418449445</v>
      </c>
      <c r="K34" s="21">
        <f>lc_detailed!BC34/$T$2</f>
        <v>0.74652089667940558</v>
      </c>
      <c r="L34" s="21">
        <f>lc_detailed!BK34/$T$2</f>
        <v>-1.6230167345841098</v>
      </c>
      <c r="M34" s="21">
        <f>lc_detailed!BL34/$T$2</f>
        <v>10.137163703266499</v>
      </c>
      <c r="N34" s="21">
        <f>lc_detailed!BJ34</f>
        <v>4.6265579669780523</v>
      </c>
      <c r="O34" s="21">
        <f>lc_detailed!AR34</f>
        <v>1212.8199052326454</v>
      </c>
      <c r="P34" s="21">
        <f t="shared" si="0"/>
        <v>26.596927746329943</v>
      </c>
      <c r="Q34" s="21">
        <f t="shared" si="1"/>
        <v>26.596927746329946</v>
      </c>
    </row>
    <row r="35" spans="2:17" x14ac:dyDescent="0.2">
      <c r="B35" t="str">
        <f>lc_detailed!AM35</f>
        <v>NCEN_TSC+H2in</v>
      </c>
      <c r="C35" s="21">
        <f>lc_detailed!AU35/$T$2</f>
        <v>6.2543590582220934E-2</v>
      </c>
      <c r="D35" s="21">
        <f>lc_detailed!AV35/$T$2</f>
        <v>0</v>
      </c>
      <c r="E35" s="21">
        <f>lc_detailed!AW35/$T$2</f>
        <v>0</v>
      </c>
      <c r="F35" s="21">
        <f>lc_detailed!AX35/$T$2</f>
        <v>9.079842636033753</v>
      </c>
      <c r="G35" s="21">
        <f>lc_detailed!AY35/$T$2</f>
        <v>0</v>
      </c>
      <c r="H35" s="21">
        <f>lc_detailed!AZ35/$T$2</f>
        <v>0</v>
      </c>
      <c r="I35" s="21">
        <f>lc_detailed!BA35/$T$2</f>
        <v>5.1922874272807658</v>
      </c>
      <c r="J35" s="21">
        <f>lc_detailed!BB35/$T$2</f>
        <v>2.8418047707297904</v>
      </c>
      <c r="K35" s="21">
        <f>lc_detailed!BC35/$T$2</f>
        <v>0.69221423897216883</v>
      </c>
      <c r="L35" s="21">
        <f>lc_detailed!BK35/$T$2</f>
        <v>0</v>
      </c>
      <c r="M35" s="21">
        <f>lc_detailed!BL35/$T$2</f>
        <v>9.1523263689779704</v>
      </c>
      <c r="N35" s="21">
        <f>lc_detailed!BJ35</f>
        <v>4.1770824382695828</v>
      </c>
      <c r="O35" s="21">
        <f>lc_detailed!AR35</f>
        <v>1232.1584678854961</v>
      </c>
      <c r="P35" s="21">
        <f t="shared" ref="P35:P65" si="2">O35/$T$2</f>
        <v>27.021019032576667</v>
      </c>
      <c r="Q35" s="21">
        <f t="shared" ref="Q35:Q65" si="3">SUM(C35:M35)</f>
        <v>27.021019032576671</v>
      </c>
    </row>
    <row r="36" spans="2:17" x14ac:dyDescent="0.2">
      <c r="B36" t="str">
        <f>lc_detailed!AM36</f>
        <v>NCEN_TSC+H2in:CH4</v>
      </c>
      <c r="C36" s="21">
        <f>lc_detailed!AU36/$T$2</f>
        <v>0.386463473570271</v>
      </c>
      <c r="D36" s="21">
        <f>lc_detailed!AV36/$T$2</f>
        <v>0</v>
      </c>
      <c r="E36" s="21">
        <f>lc_detailed!AW36/$T$2</f>
        <v>0</v>
      </c>
      <c r="F36" s="21">
        <f>lc_detailed!AX36/$T$2</f>
        <v>9.079842636033753</v>
      </c>
      <c r="G36" s="21">
        <f>lc_detailed!AY36/$T$2</f>
        <v>0</v>
      </c>
      <c r="H36" s="21">
        <f>lc_detailed!AZ36/$T$2</f>
        <v>4.0240959893843069E-2</v>
      </c>
      <c r="I36" s="21">
        <f>lc_detailed!BA36/$T$2</f>
        <v>5.1922874272807658</v>
      </c>
      <c r="J36" s="21">
        <f>lc_detailed!BB36/$T$2</f>
        <v>2.8418047707297904</v>
      </c>
      <c r="K36" s="21">
        <f>lc_detailed!BC36/$T$2</f>
        <v>0.69221423897216883</v>
      </c>
      <c r="L36" s="21">
        <f>lc_detailed!BK36/$T$2</f>
        <v>0</v>
      </c>
      <c r="M36" s="21">
        <f>lc_detailed!BL36/$T$2</f>
        <v>9.1523263689779704</v>
      </c>
      <c r="N36" s="21">
        <f>lc_detailed!BJ36</f>
        <v>4.1770824382695828</v>
      </c>
      <c r="O36" s="21">
        <f>lc_detailed!AR36</f>
        <v>1248.7642023209105</v>
      </c>
      <c r="P36" s="21">
        <f t="shared" si="2"/>
        <v>27.385179875458562</v>
      </c>
      <c r="Q36" s="21">
        <f t="shared" si="3"/>
        <v>27.385179875458562</v>
      </c>
    </row>
    <row r="37" spans="2:17" x14ac:dyDescent="0.2">
      <c r="B37" t="str">
        <f>lc_detailed!AM37</f>
        <v>CEN_TSC+CC90</v>
      </c>
      <c r="C37" s="21">
        <f>lc_detailed!AU37/$T$2</f>
        <v>0</v>
      </c>
      <c r="D37" s="21">
        <f>lc_detailed!AV37/$T$2</f>
        <v>0</v>
      </c>
      <c r="E37" s="21">
        <f>lc_detailed!AW37/$T$2</f>
        <v>7.1605037349995099E-2</v>
      </c>
      <c r="F37" s="21">
        <f>lc_detailed!AX37/$T$2</f>
        <v>9.079842636033753</v>
      </c>
      <c r="G37" s="21">
        <f>lc_detailed!AY37/$T$2</f>
        <v>-1.3420286350359913E-2</v>
      </c>
      <c r="H37" s="21">
        <f>lc_detailed!AZ37/$T$2</f>
        <v>0</v>
      </c>
      <c r="I37" s="21">
        <f>lc_detailed!BA37/$T$2</f>
        <v>5.5982890881479141</v>
      </c>
      <c r="J37" s="21">
        <f>lc_detailed!BB37/$T$2</f>
        <v>3.0641325531920858</v>
      </c>
      <c r="K37" s="21">
        <f>lc_detailed!BC37/$T$2</f>
        <v>0.74634069943059123</v>
      </c>
      <c r="L37" s="21">
        <f>lc_detailed!BK37/$T$2</f>
        <v>-0.93292475730075397</v>
      </c>
      <c r="M37" s="21">
        <f>lc_detailed!BL37/$T$2</f>
        <v>9.3219166960969169</v>
      </c>
      <c r="N37" s="21">
        <f>lc_detailed!BJ37</f>
        <v>4.2544827350411296</v>
      </c>
      <c r="O37" s="21">
        <f>lc_detailed!AR37</f>
        <v>1228.2716439969668</v>
      </c>
      <c r="P37" s="21">
        <f t="shared" si="2"/>
        <v>26.935781666600146</v>
      </c>
      <c r="Q37" s="21">
        <f t="shared" si="3"/>
        <v>26.935781666600139</v>
      </c>
    </row>
    <row r="38" spans="2:17" x14ac:dyDescent="0.2">
      <c r="B38" t="str">
        <f>lc_detailed!AM38</f>
        <v>CEN_TSC:H2</v>
      </c>
      <c r="C38" s="21">
        <f>lc_detailed!AU38/$T$2</f>
        <v>0</v>
      </c>
      <c r="D38" s="21">
        <f>lc_detailed!AV38/$T$2</f>
        <v>-0.41514095054329514</v>
      </c>
      <c r="E38" s="21">
        <f>lc_detailed!AW38/$T$2</f>
        <v>0</v>
      </c>
      <c r="F38" s="21">
        <f>lc_detailed!AX38/$T$2</f>
        <v>9.079842636033753</v>
      </c>
      <c r="G38" s="21">
        <f>lc_detailed!AY38/$T$2</f>
        <v>-7.7933684421795935E-2</v>
      </c>
      <c r="H38" s="21">
        <f>lc_detailed!AZ38/$T$2</f>
        <v>0</v>
      </c>
      <c r="I38" s="21">
        <f>lc_detailed!BA38/$T$2</f>
        <v>5.1922874272807658</v>
      </c>
      <c r="J38" s="21">
        <f>lc_detailed!BB38/$T$2</f>
        <v>2.8418047707297904</v>
      </c>
      <c r="K38" s="21">
        <f>lc_detailed!BC38/$T$2</f>
        <v>0.69221423897216883</v>
      </c>
      <c r="L38" s="21">
        <f>lc_detailed!BK38/$T$2</f>
        <v>0</v>
      </c>
      <c r="M38" s="21">
        <f>lc_detailed!BL38/$T$2</f>
        <v>10.137163703266499</v>
      </c>
      <c r="N38" s="21">
        <f>lc_detailed!BJ38</f>
        <v>4.6265579669780523</v>
      </c>
      <c r="O38" s="21">
        <f>lc_detailed!AR38</f>
        <v>1251.7308592440957</v>
      </c>
      <c r="P38" s="21">
        <f t="shared" si="2"/>
        <v>27.450238141317886</v>
      </c>
      <c r="Q38" s="21">
        <f t="shared" si="3"/>
        <v>27.450238141317886</v>
      </c>
    </row>
    <row r="39" spans="2:17" x14ac:dyDescent="0.2">
      <c r="B39" t="str">
        <f>lc_detailed!AM39</f>
        <v>CEN_TSC+CC90:H2</v>
      </c>
      <c r="C39" s="21">
        <f>lc_detailed!AU39/$T$2</f>
        <v>0</v>
      </c>
      <c r="D39" s="21">
        <f>lc_detailed!AV39/$T$2</f>
        <v>-0.41514095054329514</v>
      </c>
      <c r="E39" s="21">
        <f>lc_detailed!AW39/$T$2</f>
        <v>8.3482384672215804E-2</v>
      </c>
      <c r="F39" s="21">
        <f>lc_detailed!AX39/$T$2</f>
        <v>9.079842636033753</v>
      </c>
      <c r="G39" s="21">
        <f>lc_detailed!AY39/$T$2</f>
        <v>-7.7933684421795935E-2</v>
      </c>
      <c r="H39" s="21">
        <f>lc_detailed!AZ39/$T$2</f>
        <v>0</v>
      </c>
      <c r="I39" s="21">
        <f>lc_detailed!BA39/$T$2</f>
        <v>5.5996407631099441</v>
      </c>
      <c r="J39" s="21">
        <f>lc_detailed!BB39/$T$2</f>
        <v>3.0648553418449445</v>
      </c>
      <c r="K39" s="21">
        <f>lc_detailed!BC39/$T$2</f>
        <v>0.74652089667940558</v>
      </c>
      <c r="L39" s="21">
        <f>lc_detailed!BK39/$T$2</f>
        <v>-1.6211341286887113</v>
      </c>
      <c r="M39" s="21">
        <f>lc_detailed!BL39/$T$2</f>
        <v>10.137163703266499</v>
      </c>
      <c r="N39" s="21">
        <f>lc_detailed!BJ39</f>
        <v>4.6265579669780523</v>
      </c>
      <c r="O39" s="21">
        <f>lc_detailed!AR39</f>
        <v>1212.8367414650552</v>
      </c>
      <c r="P39" s="21">
        <f t="shared" si="2"/>
        <v>26.597296961952964</v>
      </c>
      <c r="Q39" s="21">
        <f t="shared" si="3"/>
        <v>26.59729696195296</v>
      </c>
    </row>
    <row r="40" spans="2:17" x14ac:dyDescent="0.2">
      <c r="B40" t="str">
        <f>lc_detailed!AM40</f>
        <v>CEN_TSC+H2in</v>
      </c>
      <c r="C40" s="21">
        <f>lc_detailed!AU40/$T$2</f>
        <v>5.7826274303884241E-2</v>
      </c>
      <c r="D40" s="21">
        <f>lc_detailed!AV40/$T$2</f>
        <v>0</v>
      </c>
      <c r="E40" s="21">
        <f>lc_detailed!AW40/$T$2</f>
        <v>0</v>
      </c>
      <c r="F40" s="21">
        <f>lc_detailed!AX40/$T$2</f>
        <v>9.079842636033753</v>
      </c>
      <c r="G40" s="21">
        <f>lc_detailed!AY40/$T$2</f>
        <v>0</v>
      </c>
      <c r="H40" s="21">
        <f>lc_detailed!AZ40/$T$2</f>
        <v>0</v>
      </c>
      <c r="I40" s="21">
        <f>lc_detailed!BA40/$T$2</f>
        <v>5.1922874272807658</v>
      </c>
      <c r="J40" s="21">
        <f>lc_detailed!BB40/$T$2</f>
        <v>2.8418047707297904</v>
      </c>
      <c r="K40" s="21">
        <f>lc_detailed!BC40/$T$2</f>
        <v>0.69221423897216883</v>
      </c>
      <c r="L40" s="21">
        <f>lc_detailed!BK40/$T$2</f>
        <v>0</v>
      </c>
      <c r="M40" s="21">
        <f>lc_detailed!BL40/$T$2</f>
        <v>9.1523263689779704</v>
      </c>
      <c r="N40" s="21">
        <f>lc_detailed!BJ40</f>
        <v>4.1770824382695828</v>
      </c>
      <c r="O40" s="21">
        <f>lc_detailed!AR40</f>
        <v>1231.9433582632039</v>
      </c>
      <c r="P40" s="21">
        <f t="shared" si="2"/>
        <v>27.016301716298329</v>
      </c>
      <c r="Q40" s="21">
        <f t="shared" si="3"/>
        <v>27.016301716298333</v>
      </c>
    </row>
    <row r="41" spans="2:17" x14ac:dyDescent="0.2">
      <c r="B41" t="str">
        <f>lc_detailed!AM41</f>
        <v>CEN_TSC+H2in:CH4</v>
      </c>
      <c r="C41" s="21">
        <f>lc_detailed!AU41/$T$2</f>
        <v>0.3573146764212019</v>
      </c>
      <c r="D41" s="21">
        <f>lc_detailed!AV41/$T$2</f>
        <v>0</v>
      </c>
      <c r="E41" s="21">
        <f>lc_detailed!AW41/$T$2</f>
        <v>0</v>
      </c>
      <c r="F41" s="21">
        <f>lc_detailed!AX41/$T$2</f>
        <v>9.079842636033753</v>
      </c>
      <c r="G41" s="21">
        <f>lc_detailed!AY41/$T$2</f>
        <v>0</v>
      </c>
      <c r="H41" s="21">
        <f>lc_detailed!AZ41/$T$2</f>
        <v>6.9840858663496E-2</v>
      </c>
      <c r="I41" s="21">
        <f>lc_detailed!BA41/$T$2</f>
        <v>5.1922874272807658</v>
      </c>
      <c r="J41" s="21">
        <f>lc_detailed!BB41/$T$2</f>
        <v>2.8418047707297904</v>
      </c>
      <c r="K41" s="21">
        <f>lc_detailed!BC41/$T$2</f>
        <v>0.69221423897216883</v>
      </c>
      <c r="L41" s="21">
        <f>lc_detailed!BK41/$T$2</f>
        <v>0</v>
      </c>
      <c r="M41" s="21">
        <f>lc_detailed!BL41/$T$2</f>
        <v>9.1523263689779704</v>
      </c>
      <c r="N41" s="21">
        <f>lc_detailed!BJ41</f>
        <v>4.1770824382695828</v>
      </c>
      <c r="O41" s="21">
        <f>lc_detailed!AR41</f>
        <v>1248.784772554809</v>
      </c>
      <c r="P41" s="21">
        <f t="shared" si="2"/>
        <v>27.385630977079146</v>
      </c>
      <c r="Q41" s="21">
        <f t="shared" si="3"/>
        <v>27.385630977079149</v>
      </c>
    </row>
    <row r="42" spans="2:17" x14ac:dyDescent="0.2">
      <c r="B42" t="str">
        <f>lc_detailed!AM42</f>
        <v>SE_TSC+CC90</v>
      </c>
      <c r="C42" s="21">
        <f>lc_detailed!AU42/$T$2</f>
        <v>0</v>
      </c>
      <c r="D42" s="21">
        <f>lc_detailed!AV42/$T$2</f>
        <v>0</v>
      </c>
      <c r="E42" s="21">
        <f>lc_detailed!AW42/$T$2</f>
        <v>7.0202326938120979E-2</v>
      </c>
      <c r="F42" s="21">
        <f>lc_detailed!AX42/$T$2</f>
        <v>9.079842636033753</v>
      </c>
      <c r="G42" s="21">
        <f>lc_detailed!AY42/$T$2</f>
        <v>-1.3616107475968278E-2</v>
      </c>
      <c r="H42" s="21">
        <f>lc_detailed!AZ42/$T$2</f>
        <v>0</v>
      </c>
      <c r="I42" s="21">
        <f>lc_detailed!BA42/$T$2</f>
        <v>5.5982890881479141</v>
      </c>
      <c r="J42" s="21">
        <f>lc_detailed!BB42/$T$2</f>
        <v>3.0641325531920858</v>
      </c>
      <c r="K42" s="21">
        <f>lc_detailed!BC42/$T$2</f>
        <v>0.74634069943059123</v>
      </c>
      <c r="L42" s="21">
        <f>lc_detailed!BK42/$T$2</f>
        <v>-0.93405257145595821</v>
      </c>
      <c r="M42" s="21">
        <f>lc_detailed!BL42/$T$2</f>
        <v>9.3219166960969169</v>
      </c>
      <c r="N42" s="21">
        <f>lc_detailed!BJ42</f>
        <v>4.2544827350411296</v>
      </c>
      <c r="O42" s="21">
        <f>lc_detailed!AR42</f>
        <v>1228.1473226333801</v>
      </c>
      <c r="P42" s="21">
        <f t="shared" si="2"/>
        <v>26.933055320907457</v>
      </c>
      <c r="Q42" s="21">
        <f t="shared" si="3"/>
        <v>26.933055320907453</v>
      </c>
    </row>
    <row r="43" spans="2:17" x14ac:dyDescent="0.2">
      <c r="B43" t="str">
        <f>lc_detailed!AM43</f>
        <v>SE_TSC:H2</v>
      </c>
      <c r="C43" s="21">
        <f>lc_detailed!AU43/$T$2</f>
        <v>0</v>
      </c>
      <c r="D43" s="21">
        <f>lc_detailed!AV43/$T$2</f>
        <v>-0.41197926741210172</v>
      </c>
      <c r="E43" s="21">
        <f>lc_detailed!AW43/$T$2</f>
        <v>0</v>
      </c>
      <c r="F43" s="21">
        <f>lc_detailed!AX43/$T$2</f>
        <v>9.079842636033753</v>
      </c>
      <c r="G43" s="21">
        <f>lc_detailed!AY43/$T$2</f>
        <v>-7.9070848071502525E-2</v>
      </c>
      <c r="H43" s="21">
        <f>lc_detailed!AZ43/$T$2</f>
        <v>0</v>
      </c>
      <c r="I43" s="21">
        <f>lc_detailed!BA43/$T$2</f>
        <v>5.1922874272807658</v>
      </c>
      <c r="J43" s="21">
        <f>lc_detailed!BB43/$T$2</f>
        <v>2.8418047707297904</v>
      </c>
      <c r="K43" s="21">
        <f>lc_detailed!BC43/$T$2</f>
        <v>0.69221423897216883</v>
      </c>
      <c r="L43" s="21">
        <f>lc_detailed!BK43/$T$2</f>
        <v>0</v>
      </c>
      <c r="M43" s="21">
        <f>lc_detailed!BL43/$T$2</f>
        <v>10.137163703266499</v>
      </c>
      <c r="N43" s="21">
        <f>lc_detailed!BJ43</f>
        <v>4.6265579669780523</v>
      </c>
      <c r="O43" s="21">
        <f>lc_detailed!AR43</f>
        <v>1251.8231773324515</v>
      </c>
      <c r="P43" s="21">
        <f t="shared" si="2"/>
        <v>27.452262660799374</v>
      </c>
      <c r="Q43" s="21">
        <f t="shared" si="3"/>
        <v>27.452262660799374</v>
      </c>
    </row>
    <row r="44" spans="2:17" x14ac:dyDescent="0.2">
      <c r="B44" t="str">
        <f>lc_detailed!AM44</f>
        <v>SE_TSC+CC90:H2</v>
      </c>
      <c r="C44" s="21">
        <f>lc_detailed!AU44/$T$2</f>
        <v>0</v>
      </c>
      <c r="D44" s="21">
        <f>lc_detailed!AV44/$T$2</f>
        <v>-0.41197926741210172</v>
      </c>
      <c r="E44" s="21">
        <f>lc_detailed!AW44/$T$2</f>
        <v>8.1847002378992201E-2</v>
      </c>
      <c r="F44" s="21">
        <f>lc_detailed!AX44/$T$2</f>
        <v>9.079842636033753</v>
      </c>
      <c r="G44" s="21">
        <f>lc_detailed!AY44/$T$2</f>
        <v>-7.9070848071502525E-2</v>
      </c>
      <c r="H44" s="21">
        <f>lc_detailed!AZ44/$T$2</f>
        <v>0</v>
      </c>
      <c r="I44" s="21">
        <f>lc_detailed!BA44/$T$2</f>
        <v>5.5996407631099441</v>
      </c>
      <c r="J44" s="21">
        <f>lc_detailed!BB44/$T$2</f>
        <v>3.0648553418449445</v>
      </c>
      <c r="K44" s="21">
        <f>lc_detailed!BC44/$T$2</f>
        <v>0.74652089667940558</v>
      </c>
      <c r="L44" s="21">
        <f>lc_detailed!BK44/$T$2</f>
        <v>-1.6230939201976322</v>
      </c>
      <c r="M44" s="21">
        <f>lc_detailed!BL44/$T$2</f>
        <v>10.137163703266499</v>
      </c>
      <c r="N44" s="21">
        <f>lc_detailed!BJ44</f>
        <v>4.6265579669780523</v>
      </c>
      <c r="O44" s="21">
        <f>lc_detailed!AR44</f>
        <v>1212.7651196280331</v>
      </c>
      <c r="P44" s="21">
        <f t="shared" si="2"/>
        <v>26.595726307632304</v>
      </c>
      <c r="Q44" s="21">
        <f t="shared" si="3"/>
        <v>26.595726307632301</v>
      </c>
    </row>
    <row r="45" spans="2:17" x14ac:dyDescent="0.2">
      <c r="B45" t="str">
        <f>lc_detailed!AM45</f>
        <v>SE_TSC+H2in</v>
      </c>
      <c r="C45" s="21">
        <f>lc_detailed!AU45/$T$2</f>
        <v>5.7385873626073267E-2</v>
      </c>
      <c r="D45" s="21">
        <f>lc_detailed!AV45/$T$2</f>
        <v>0</v>
      </c>
      <c r="E45" s="21">
        <f>lc_detailed!AW45/$T$2</f>
        <v>0</v>
      </c>
      <c r="F45" s="21">
        <f>lc_detailed!AX45/$T$2</f>
        <v>9.079842636033753</v>
      </c>
      <c r="G45" s="21">
        <f>lc_detailed!AY45/$T$2</f>
        <v>0</v>
      </c>
      <c r="H45" s="21">
        <f>lc_detailed!AZ45/$T$2</f>
        <v>0</v>
      </c>
      <c r="I45" s="21">
        <f>lc_detailed!BA45/$T$2</f>
        <v>5.1922874272807658</v>
      </c>
      <c r="J45" s="21">
        <f>lc_detailed!BB45/$T$2</f>
        <v>2.8418047707297904</v>
      </c>
      <c r="K45" s="21">
        <f>lc_detailed!BC45/$T$2</f>
        <v>0.69221423897216883</v>
      </c>
      <c r="L45" s="21">
        <f>lc_detailed!BK45/$T$2</f>
        <v>0</v>
      </c>
      <c r="M45" s="21">
        <f>lc_detailed!BL45/$T$2</f>
        <v>9.1523263689779704</v>
      </c>
      <c r="N45" s="21">
        <f>lc_detailed!BJ45</f>
        <v>4.1770824382695828</v>
      </c>
      <c r="O45" s="21">
        <f>lc_detailed!AR45</f>
        <v>1231.9232759922959</v>
      </c>
      <c r="P45" s="21">
        <f t="shared" si="2"/>
        <v>27.015861315620523</v>
      </c>
      <c r="Q45" s="21">
        <f t="shared" si="3"/>
        <v>27.015861315620523</v>
      </c>
    </row>
    <row r="46" spans="2:17" x14ac:dyDescent="0.2">
      <c r="B46" t="str">
        <f>lc_detailed!AM46</f>
        <v>SE_TSC+H2in:CH4</v>
      </c>
      <c r="C46" s="21">
        <f>lc_detailed!AU46/$T$2</f>
        <v>0.35459339396643497</v>
      </c>
      <c r="D46" s="21">
        <f>lc_detailed!AV46/$T$2</f>
        <v>0</v>
      </c>
      <c r="E46" s="21">
        <f>lc_detailed!AW46/$T$2</f>
        <v>0</v>
      </c>
      <c r="F46" s="21">
        <f>lc_detailed!AX46/$T$2</f>
        <v>9.079842636033753</v>
      </c>
      <c r="G46" s="21">
        <f>lc_detailed!AY46/$T$2</f>
        <v>0</v>
      </c>
      <c r="H46" s="21">
        <f>lc_detailed!AZ46/$T$2</f>
        <v>7.0859936438730925E-2</v>
      </c>
      <c r="I46" s="21">
        <f>lc_detailed!BA46/$T$2</f>
        <v>5.1922874272807658</v>
      </c>
      <c r="J46" s="21">
        <f>lc_detailed!BB46/$T$2</f>
        <v>2.8418047707297904</v>
      </c>
      <c r="K46" s="21">
        <f>lc_detailed!BC46/$T$2</f>
        <v>0.69221423897216883</v>
      </c>
      <c r="L46" s="21">
        <f>lc_detailed!BK46/$T$2</f>
        <v>0</v>
      </c>
      <c r="M46" s="21">
        <f>lc_detailed!BL46/$T$2</f>
        <v>9.1523263689779704</v>
      </c>
      <c r="N46" s="21">
        <f>lc_detailed!BJ46</f>
        <v>4.1770824382695828</v>
      </c>
      <c r="O46" s="21">
        <f>lc_detailed!AR46</f>
        <v>1248.7071520214224</v>
      </c>
      <c r="P46" s="21">
        <f t="shared" si="2"/>
        <v>27.383928772399614</v>
      </c>
      <c r="Q46" s="21">
        <f t="shared" si="3"/>
        <v>27.383928772399617</v>
      </c>
    </row>
    <row r="47" spans="2:17" x14ac:dyDescent="0.2">
      <c r="B47" t="str">
        <f>lc_detailed!AM47</f>
        <v>MIDAT_TSC+CC90</v>
      </c>
      <c r="C47" s="21">
        <f>lc_detailed!AU47/$T$2</f>
        <v>0</v>
      </c>
      <c r="D47" s="21">
        <f>lc_detailed!AV47/$T$2</f>
        <v>0</v>
      </c>
      <c r="E47" s="21">
        <f>lc_detailed!AW47/$T$2</f>
        <v>7.2167177752049907E-2</v>
      </c>
      <c r="F47" s="21">
        <f>lc_detailed!AX47/$T$2</f>
        <v>9.079842636033753</v>
      </c>
      <c r="G47" s="21">
        <f>lc_detailed!AY47/$T$2</f>
        <v>-8.7210762247168436E-3</v>
      </c>
      <c r="H47" s="21">
        <f>lc_detailed!AZ47/$T$2</f>
        <v>0</v>
      </c>
      <c r="I47" s="21">
        <f>lc_detailed!BA47/$T$2</f>
        <v>5.5982890881479141</v>
      </c>
      <c r="J47" s="21">
        <f>lc_detailed!BB47/$T$2</f>
        <v>3.0641325531920858</v>
      </c>
      <c r="K47" s="21">
        <f>lc_detailed!BC47/$T$2</f>
        <v>0.74634069943059123</v>
      </c>
      <c r="L47" s="21">
        <f>lc_detailed!BK47/$T$2</f>
        <v>-0.83882543846807256</v>
      </c>
      <c r="M47" s="21">
        <f>lc_detailed!BL47/$T$2</f>
        <v>9.3219166960969169</v>
      </c>
      <c r="N47" s="21">
        <f>lc_detailed!BJ47</f>
        <v>4.2544827350411296</v>
      </c>
      <c r="O47" s="21">
        <f>lc_detailed!AR47</f>
        <v>1232.8024905197999</v>
      </c>
      <c r="P47" s="21">
        <f t="shared" si="2"/>
        <v>27.035142335960522</v>
      </c>
      <c r="Q47" s="21">
        <f t="shared" si="3"/>
        <v>27.035142335960519</v>
      </c>
    </row>
    <row r="48" spans="2:17" x14ac:dyDescent="0.2">
      <c r="B48" t="str">
        <f>lc_detailed!AM48</f>
        <v>MIDAT_TSC:H2</v>
      </c>
      <c r="C48" s="21">
        <f>lc_detailed!AU48/$T$2</f>
        <v>0</v>
      </c>
      <c r="D48" s="21">
        <f>lc_detailed!AV48/$T$2</f>
        <v>-0.5311353695838219</v>
      </c>
      <c r="E48" s="21">
        <f>lc_detailed!AW48/$T$2</f>
        <v>0</v>
      </c>
      <c r="F48" s="21">
        <f>lc_detailed!AX48/$T$2</f>
        <v>9.079842636033753</v>
      </c>
      <c r="G48" s="21">
        <f>lc_detailed!AY48/$T$2</f>
        <v>-5.0644642340085554E-2</v>
      </c>
      <c r="H48" s="21">
        <f>lc_detailed!AZ48/$T$2</f>
        <v>0</v>
      </c>
      <c r="I48" s="21">
        <f>lc_detailed!BA48/$T$2</f>
        <v>5.1922874272807658</v>
      </c>
      <c r="J48" s="21">
        <f>lc_detailed!BB48/$T$2</f>
        <v>2.8418047707297904</v>
      </c>
      <c r="K48" s="21">
        <f>lc_detailed!BC48/$T$2</f>
        <v>0.69221423897216883</v>
      </c>
      <c r="L48" s="21">
        <f>lc_detailed!BK48/$T$2</f>
        <v>0</v>
      </c>
      <c r="M48" s="21">
        <f>lc_detailed!BL48/$T$2</f>
        <v>10.137163703266499</v>
      </c>
      <c r="N48" s="21">
        <f>lc_detailed!BJ48</f>
        <v>4.6265579669780523</v>
      </c>
      <c r="O48" s="21">
        <f>lc_detailed!AR48</f>
        <v>1247.6858940547736</v>
      </c>
      <c r="P48" s="21">
        <f t="shared" si="2"/>
        <v>27.361532764359069</v>
      </c>
      <c r="Q48" s="21">
        <f t="shared" si="3"/>
        <v>27.361532764359069</v>
      </c>
    </row>
    <row r="49" spans="2:17" x14ac:dyDescent="0.2">
      <c r="B49" t="str">
        <f>lc_detailed!AM49</f>
        <v>MIDAT_TSC+CC90:H2</v>
      </c>
      <c r="C49" s="21">
        <f>lc_detailed!AU49/$T$2</f>
        <v>0</v>
      </c>
      <c r="D49" s="21">
        <f>lc_detailed!AV49/$T$2</f>
        <v>-0.5311353695838219</v>
      </c>
      <c r="E49" s="21">
        <f>lc_detailed!AW49/$T$2</f>
        <v>8.4137769028134135E-2</v>
      </c>
      <c r="F49" s="21">
        <f>lc_detailed!AX49/$T$2</f>
        <v>9.079842636033753</v>
      </c>
      <c r="G49" s="21">
        <f>lc_detailed!AY49/$T$2</f>
        <v>-5.0644642340085554E-2</v>
      </c>
      <c r="H49" s="21">
        <f>lc_detailed!AZ49/$T$2</f>
        <v>0</v>
      </c>
      <c r="I49" s="21">
        <f>lc_detailed!BA49/$T$2</f>
        <v>5.5996407631099441</v>
      </c>
      <c r="J49" s="21">
        <f>lc_detailed!BB49/$T$2</f>
        <v>3.0648553418449445</v>
      </c>
      <c r="K49" s="21">
        <f>lc_detailed!BC49/$T$2</f>
        <v>0.74652089667940558</v>
      </c>
      <c r="L49" s="21">
        <f>lc_detailed!BK49/$T$2</f>
        <v>-1.4576186725361822</v>
      </c>
      <c r="M49" s="21">
        <f>lc_detailed!BL49/$T$2</f>
        <v>10.137163703266499</v>
      </c>
      <c r="N49" s="21">
        <f>lc_detailed!BJ49</f>
        <v>4.6265579669780523</v>
      </c>
      <c r="O49" s="21">
        <f>lc_detailed!AR49</f>
        <v>1216.2779666029182</v>
      </c>
      <c r="P49" s="21">
        <f t="shared" si="2"/>
        <v>26.672762425502594</v>
      </c>
      <c r="Q49" s="21">
        <f t="shared" si="3"/>
        <v>26.67276242550259</v>
      </c>
    </row>
    <row r="50" spans="2:17" x14ac:dyDescent="0.2">
      <c r="B50" t="str">
        <f>lc_detailed!AM50</f>
        <v>MIDAT_TSC+H2in</v>
      </c>
      <c r="C50" s="21">
        <f>lc_detailed!AU50/$T$2</f>
        <v>7.3983497734574591E-2</v>
      </c>
      <c r="D50" s="21">
        <f>lc_detailed!AV50/$T$2</f>
        <v>0</v>
      </c>
      <c r="E50" s="21">
        <f>lc_detailed!AW50/$T$2</f>
        <v>0</v>
      </c>
      <c r="F50" s="21">
        <f>lc_detailed!AX50/$T$2</f>
        <v>9.079842636033753</v>
      </c>
      <c r="G50" s="21">
        <f>lc_detailed!AY50/$T$2</f>
        <v>0</v>
      </c>
      <c r="H50" s="21">
        <f>lc_detailed!AZ50/$T$2</f>
        <v>0</v>
      </c>
      <c r="I50" s="21">
        <f>lc_detailed!BA50/$T$2</f>
        <v>5.1922874272807658</v>
      </c>
      <c r="J50" s="21">
        <f>lc_detailed!BB50/$T$2</f>
        <v>2.8418047707297904</v>
      </c>
      <c r="K50" s="21">
        <f>lc_detailed!BC50/$T$2</f>
        <v>0.69221423897216883</v>
      </c>
      <c r="L50" s="21">
        <f>lc_detailed!BK50/$T$2</f>
        <v>0</v>
      </c>
      <c r="M50" s="21">
        <f>lc_detailed!BL50/$T$2</f>
        <v>9.1523263689779704</v>
      </c>
      <c r="N50" s="21">
        <f>lc_detailed!BJ50</f>
        <v>4.1770824382695828</v>
      </c>
      <c r="O50" s="21">
        <f>lc_detailed!AR50</f>
        <v>1232.6801276516435</v>
      </c>
      <c r="P50" s="21">
        <f t="shared" si="2"/>
        <v>27.032458939729022</v>
      </c>
      <c r="Q50" s="21">
        <f t="shared" si="3"/>
        <v>27.032458939729025</v>
      </c>
    </row>
    <row r="51" spans="2:17" x14ac:dyDescent="0.2">
      <c r="B51" t="str">
        <f>lc_detailed!AM51</f>
        <v>MIDAT_TSC+H2in:CH4</v>
      </c>
      <c r="C51" s="21">
        <f>lc_detailed!AU51/$T$2</f>
        <v>0.4571518720818325</v>
      </c>
      <c r="D51" s="21">
        <f>lc_detailed!AV51/$T$2</f>
        <v>0</v>
      </c>
      <c r="E51" s="21">
        <f>lc_detailed!AW51/$T$2</f>
        <v>0</v>
      </c>
      <c r="F51" s="21">
        <f>lc_detailed!AX51/$T$2</f>
        <v>9.079842636033753</v>
      </c>
      <c r="G51" s="21">
        <f>lc_detailed!AY51/$T$2</f>
        <v>0</v>
      </c>
      <c r="H51" s="21">
        <f>lc_detailed!AZ51/$T$2</f>
        <v>4.5385577930510373E-2</v>
      </c>
      <c r="I51" s="21">
        <f>lc_detailed!BA51/$T$2</f>
        <v>5.1922874272807658</v>
      </c>
      <c r="J51" s="21">
        <f>lc_detailed!BB51/$T$2</f>
        <v>2.8418047707297904</v>
      </c>
      <c r="K51" s="21">
        <f>lc_detailed!BC51/$T$2</f>
        <v>0.69221423897216883</v>
      </c>
      <c r="L51" s="21">
        <f>lc_detailed!BK51/$T$2</f>
        <v>0</v>
      </c>
      <c r="M51" s="21">
        <f>lc_detailed!BL51/$T$2</f>
        <v>9.1523263689779704</v>
      </c>
      <c r="N51" s="21">
        <f>lc_detailed!BJ51</f>
        <v>4.1770824382695828</v>
      </c>
      <c r="O51" s="21">
        <f>lc_detailed!AR51</f>
        <v>1252.2221878755097</v>
      </c>
      <c r="P51" s="21">
        <f t="shared" si="2"/>
        <v>27.461012892006792</v>
      </c>
      <c r="Q51" s="21">
        <f t="shared" si="3"/>
        <v>27.461012892006792</v>
      </c>
    </row>
    <row r="52" spans="2:17" x14ac:dyDescent="0.2">
      <c r="B52" t="str">
        <f>lc_detailed!AM52</f>
        <v>NE_TSC+CC90</v>
      </c>
      <c r="C52" s="21">
        <f>lc_detailed!AU52/$T$2</f>
        <v>0</v>
      </c>
      <c r="D52" s="21">
        <f>lc_detailed!AV52/$T$2</f>
        <v>0</v>
      </c>
      <c r="E52" s="21">
        <f>lc_detailed!AW52/$T$2</f>
        <v>6.9766309784054834E-2</v>
      </c>
      <c r="F52" s="21">
        <f>lc_detailed!AX52/$T$2</f>
        <v>9.079842636033753</v>
      </c>
      <c r="G52" s="21">
        <f>lc_detailed!AY52/$T$2</f>
        <v>5.5208385176549898E-2</v>
      </c>
      <c r="H52" s="21">
        <f>lc_detailed!AZ52/$T$2</f>
        <v>0</v>
      </c>
      <c r="I52" s="21">
        <f>lc_detailed!BA52/$T$2</f>
        <v>5.5982890881479141</v>
      </c>
      <c r="J52" s="21">
        <f>lc_detailed!BB52/$T$2</f>
        <v>3.0641325531920858</v>
      </c>
      <c r="K52" s="21">
        <f>lc_detailed!BC52/$T$2</f>
        <v>0.74634069943059123</v>
      </c>
      <c r="L52" s="21">
        <f>lc_detailed!BK52/$T$2</f>
        <v>-0.77832841723626556</v>
      </c>
      <c r="M52" s="21">
        <f>lc_detailed!BL52/$T$2</f>
        <v>9.3219166960969169</v>
      </c>
      <c r="N52" s="21">
        <f>lc_detailed!BJ52</f>
        <v>4.2544827350411296</v>
      </c>
      <c r="O52" s="21">
        <f>lc_detailed!AR52</f>
        <v>1238.3668585485275</v>
      </c>
      <c r="P52" s="21">
        <f t="shared" si="2"/>
        <v>27.157167950625603</v>
      </c>
      <c r="Q52" s="21">
        <f t="shared" si="3"/>
        <v>27.157167950625595</v>
      </c>
    </row>
    <row r="53" spans="2:17" x14ac:dyDescent="0.2">
      <c r="B53" t="str">
        <f>lc_detailed!AM53</f>
        <v>NE_TSC:H2</v>
      </c>
      <c r="C53" s="21">
        <f>lc_detailed!AU53/$T$2</f>
        <v>0</v>
      </c>
      <c r="D53" s="21">
        <f>lc_detailed!AV53/$T$2</f>
        <v>-0.82828077146940482</v>
      </c>
      <c r="E53" s="21">
        <f>lc_detailed!AW53/$T$2</f>
        <v>0</v>
      </c>
      <c r="F53" s="21">
        <f>lc_detailed!AX53/$T$2</f>
        <v>9.079842636033753</v>
      </c>
      <c r="G53" s="21">
        <f>lc_detailed!AY53/$T$2</f>
        <v>0.32060365594738643</v>
      </c>
      <c r="H53" s="21">
        <f>lc_detailed!AZ53/$T$2</f>
        <v>0</v>
      </c>
      <c r="I53" s="21">
        <f>lc_detailed!BA53/$T$2</f>
        <v>5.1922874272807658</v>
      </c>
      <c r="J53" s="21">
        <f>lc_detailed!BB53/$T$2</f>
        <v>2.8418047707297904</v>
      </c>
      <c r="K53" s="21">
        <f>lc_detailed!BC53/$T$2</f>
        <v>0.69221423897216883</v>
      </c>
      <c r="L53" s="21">
        <f>lc_detailed!BK53/$T$2</f>
        <v>0</v>
      </c>
      <c r="M53" s="21">
        <f>lc_detailed!BL53/$T$2</f>
        <v>10.137163703266499</v>
      </c>
      <c r="N53" s="21">
        <f>lc_detailed!BJ53</f>
        <v>4.6265579669780523</v>
      </c>
      <c r="O53" s="21">
        <f>lc_detailed!AR53</f>
        <v>1251.0649861306997</v>
      </c>
      <c r="P53" s="21">
        <f t="shared" si="2"/>
        <v>27.435635660760958</v>
      </c>
      <c r="Q53" s="21">
        <f t="shared" si="3"/>
        <v>27.435635660760958</v>
      </c>
    </row>
    <row r="54" spans="2:17" x14ac:dyDescent="0.2">
      <c r="B54" t="str">
        <f>lc_detailed!AM54</f>
        <v>NE_TSC+CC90:H2</v>
      </c>
      <c r="C54" s="21">
        <f>lc_detailed!AU54/$T$2</f>
        <v>0</v>
      </c>
      <c r="D54" s="21">
        <f>lc_detailed!AV54/$T$2</f>
        <v>-0.82828077146940482</v>
      </c>
      <c r="E54" s="21">
        <f>lc_detailed!AW54/$T$2</f>
        <v>8.1338661721315875E-2</v>
      </c>
      <c r="F54" s="21">
        <f>lc_detailed!AX54/$T$2</f>
        <v>9.079842636033753</v>
      </c>
      <c r="G54" s="21">
        <f>lc_detailed!AY54/$T$2</f>
        <v>0.32060365594738643</v>
      </c>
      <c r="H54" s="21">
        <f>lc_detailed!AZ54/$T$2</f>
        <v>0</v>
      </c>
      <c r="I54" s="21">
        <f>lc_detailed!BA54/$T$2</f>
        <v>5.5996407631099441</v>
      </c>
      <c r="J54" s="21">
        <f>lc_detailed!BB54/$T$2</f>
        <v>3.0648553418449445</v>
      </c>
      <c r="K54" s="21">
        <f>lc_detailed!BC54/$T$2</f>
        <v>0.74652089667940558</v>
      </c>
      <c r="L54" s="21">
        <f>lc_detailed!BK54/$T$2</f>
        <v>-1.3524935967619618</v>
      </c>
      <c r="M54" s="21">
        <f>lc_detailed!BL54/$T$2</f>
        <v>10.137163703266499</v>
      </c>
      <c r="N54" s="21">
        <f>lc_detailed!BJ54</f>
        <v>4.6265579669780523</v>
      </c>
      <c r="O54" s="21">
        <f>lc_detailed!AR54</f>
        <v>1224.3231228409577</v>
      </c>
      <c r="P54" s="21">
        <f t="shared" si="2"/>
        <v>26.849191290371877</v>
      </c>
      <c r="Q54" s="21">
        <f t="shared" si="3"/>
        <v>26.849191290371881</v>
      </c>
    </row>
    <row r="55" spans="2:17" x14ac:dyDescent="0.2">
      <c r="B55" t="str">
        <f>lc_detailed!AM55</f>
        <v>NE_TSC+H2in</v>
      </c>
      <c r="C55" s="21">
        <f>lc_detailed!AU55/$T$2</f>
        <v>0.11537380503884434</v>
      </c>
      <c r="D55" s="21">
        <f>lc_detailed!AV55/$T$2</f>
        <v>0</v>
      </c>
      <c r="E55" s="21">
        <f>lc_detailed!AW55/$T$2</f>
        <v>0</v>
      </c>
      <c r="F55" s="21">
        <f>lc_detailed!AX55/$T$2</f>
        <v>9.079842636033753</v>
      </c>
      <c r="G55" s="21">
        <f>lc_detailed!AY55/$T$2</f>
        <v>0</v>
      </c>
      <c r="H55" s="21">
        <f>lc_detailed!AZ55/$T$2</f>
        <v>0</v>
      </c>
      <c r="I55" s="21">
        <f>lc_detailed!BA55/$T$2</f>
        <v>5.1922874272807658</v>
      </c>
      <c r="J55" s="21">
        <f>lc_detailed!BB55/$T$2</f>
        <v>2.8418047707297904</v>
      </c>
      <c r="K55" s="21">
        <f>lc_detailed!BC55/$T$2</f>
        <v>0.69221423897216883</v>
      </c>
      <c r="L55" s="21">
        <f>lc_detailed!BK55/$T$2</f>
        <v>0</v>
      </c>
      <c r="M55" s="21">
        <f>lc_detailed!BL55/$T$2</f>
        <v>9.1523263689779704</v>
      </c>
      <c r="N55" s="21">
        <f>lc_detailed!BJ55</f>
        <v>4.1770824382695828</v>
      </c>
      <c r="O55" s="21">
        <f>lc_detailed!AR55</f>
        <v>1234.5675256647182</v>
      </c>
      <c r="P55" s="21">
        <f t="shared" si="2"/>
        <v>27.073849247033294</v>
      </c>
      <c r="Q55" s="21">
        <f t="shared" si="3"/>
        <v>27.073849247033294</v>
      </c>
    </row>
    <row r="56" spans="2:17" x14ac:dyDescent="0.2">
      <c r="B56" t="str">
        <f>lc_detailed!AM56</f>
        <v>NE_TSC+H2in:CH4</v>
      </c>
      <c r="C56" s="21">
        <f>lc_detailed!AU56/$T$2</f>
        <v>0.71290696679326626</v>
      </c>
      <c r="D56" s="21">
        <f>lc_detailed!AV56/$T$2</f>
        <v>0</v>
      </c>
      <c r="E56" s="21">
        <f>lc_detailed!AW56/$T$2</f>
        <v>0</v>
      </c>
      <c r="F56" s="21">
        <f>lc_detailed!AX56/$T$2</f>
        <v>9.079842636033753</v>
      </c>
      <c r="G56" s="21">
        <f>lc_detailed!AY56/$T$2</f>
        <v>0</v>
      </c>
      <c r="H56" s="21">
        <f>lc_detailed!AZ56/$T$2</f>
        <v>-0.28731138259593558</v>
      </c>
      <c r="I56" s="21">
        <f>lc_detailed!BA56/$T$2</f>
        <v>5.1922874272807658</v>
      </c>
      <c r="J56" s="21">
        <f>lc_detailed!BB56/$T$2</f>
        <v>2.8418047707297904</v>
      </c>
      <c r="K56" s="21">
        <f>lc_detailed!BC56/$T$2</f>
        <v>0.69221423897216883</v>
      </c>
      <c r="L56" s="21">
        <f>lc_detailed!BK56/$T$2</f>
        <v>0</v>
      </c>
      <c r="M56" s="21">
        <f>lc_detailed!BL56/$T$2</f>
        <v>9.1523263689779704</v>
      </c>
      <c r="N56" s="21">
        <f>lc_detailed!BJ56</f>
        <v>4.1770824382695828</v>
      </c>
      <c r="O56" s="21">
        <f>lc_detailed!AR56</f>
        <v>1248.7136387943451</v>
      </c>
      <c r="P56" s="21">
        <f t="shared" si="2"/>
        <v>27.384071026191776</v>
      </c>
      <c r="Q56" s="21">
        <f t="shared" si="3"/>
        <v>27.38407102619178</v>
      </c>
    </row>
    <row r="57" spans="2:17" x14ac:dyDescent="0.2">
      <c r="B57" t="str">
        <f>lc_detailed!AM57</f>
        <v>CA_ESC</v>
      </c>
      <c r="C57" s="21">
        <f>lc_detailed!AU57/$T$2</f>
        <v>0</v>
      </c>
      <c r="D57" s="21">
        <f>lc_detailed!AV57/$T$2</f>
        <v>-0.30639510581400747</v>
      </c>
      <c r="E57" s="21">
        <f>lc_detailed!AW57/$T$2</f>
        <v>1.5190713853820867</v>
      </c>
      <c r="F57" s="21">
        <f>lc_detailed!AX57/$T$2</f>
        <v>9.079842636033753</v>
      </c>
      <c r="G57" s="21">
        <f>lc_detailed!AY57/$T$2</f>
        <v>0</v>
      </c>
      <c r="H57" s="21">
        <f>lc_detailed!AZ57/$T$2</f>
        <v>0.15299954696665649</v>
      </c>
      <c r="I57" s="21">
        <f>lc_detailed!BA57/$T$2</f>
        <v>6.8789631956535189</v>
      </c>
      <c r="J57" s="21">
        <f>lc_detailed!BB57/$T$2</f>
        <v>3.7649438231017713</v>
      </c>
      <c r="K57" s="21">
        <f>lc_detailed!BC57/$T$2</f>
        <v>0.91707486414789374</v>
      </c>
      <c r="L57" s="21">
        <f>lc_detailed!BK57/$T$2</f>
        <v>0</v>
      </c>
      <c r="M57" s="21">
        <f>lc_detailed!BL57/$T$2</f>
        <v>9.1523263689779704</v>
      </c>
      <c r="N57" s="21">
        <f>lc_detailed!BJ57</f>
        <v>4.1770824382695828</v>
      </c>
      <c r="O57" s="21">
        <f>lc_detailed!AR57</f>
        <v>1420.842498178904</v>
      </c>
      <c r="P57" s="21">
        <f t="shared" si="2"/>
        <v>31.158826714449646</v>
      </c>
      <c r="Q57" s="21">
        <f t="shared" si="3"/>
        <v>31.158826714449638</v>
      </c>
    </row>
    <row r="58" spans="2:17" x14ac:dyDescent="0.2">
      <c r="B58" t="str">
        <f>lc_detailed!AM58</f>
        <v>SW_ESC</v>
      </c>
      <c r="C58" s="21">
        <f>lc_detailed!AU58/$T$2</f>
        <v>0</v>
      </c>
      <c r="D58" s="21">
        <f>lc_detailed!AV58/$T$2</f>
        <v>-0.41182630936364006</v>
      </c>
      <c r="E58" s="21">
        <f>lc_detailed!AW58/$T$2</f>
        <v>1.5877382663001753</v>
      </c>
      <c r="F58" s="21">
        <f>lc_detailed!AX58/$T$2</f>
        <v>9.079842636033753</v>
      </c>
      <c r="G58" s="21">
        <f>lc_detailed!AY58/$T$2</f>
        <v>0</v>
      </c>
      <c r="H58" s="21">
        <f>lc_detailed!AZ58/$T$2</f>
        <v>6.2347194877488923E-2</v>
      </c>
      <c r="I58" s="21">
        <f>lc_detailed!BA58/$T$2</f>
        <v>6.8789631956535189</v>
      </c>
      <c r="J58" s="21">
        <f>lc_detailed!BB58/$T$2</f>
        <v>3.7649438231017713</v>
      </c>
      <c r="K58" s="21">
        <f>lc_detailed!BC58/$T$2</f>
        <v>0.91707486414789374</v>
      </c>
      <c r="L58" s="21">
        <f>lc_detailed!BK58/$T$2</f>
        <v>0</v>
      </c>
      <c r="M58" s="21">
        <f>lc_detailed!BL58/$T$2</f>
        <v>9.1523263689779704</v>
      </c>
      <c r="N58" s="21">
        <f>lc_detailed!BJ58</f>
        <v>4.1770824382695828</v>
      </c>
      <c r="O58" s="21">
        <f>lc_detailed!AR58</f>
        <v>1415.0322978116394</v>
      </c>
      <c r="P58" s="21">
        <f t="shared" si="2"/>
        <v>31.031410039728932</v>
      </c>
      <c r="Q58" s="21">
        <f t="shared" si="3"/>
        <v>31.031410039728929</v>
      </c>
    </row>
    <row r="59" spans="2:17" x14ac:dyDescent="0.2">
      <c r="B59" t="str">
        <f>lc_detailed!AM59</f>
        <v>NW_ESC</v>
      </c>
      <c r="C59" s="21">
        <f>lc_detailed!AU59/$T$2</f>
        <v>0</v>
      </c>
      <c r="D59" s="21">
        <f>lc_detailed!AV59/$T$2</f>
        <v>-0.34583867569632065</v>
      </c>
      <c r="E59" s="21">
        <f>lc_detailed!AW59/$T$2</f>
        <v>1.5075723568325916</v>
      </c>
      <c r="F59" s="21">
        <f>lc_detailed!AX59/$T$2</f>
        <v>9.079842636033753</v>
      </c>
      <c r="G59" s="21">
        <f>lc_detailed!AY59/$T$2</f>
        <v>0</v>
      </c>
      <c r="H59" s="21">
        <f>lc_detailed!AZ59/$T$2</f>
        <v>0.11898449019851967</v>
      </c>
      <c r="I59" s="21">
        <f>lc_detailed!BA59/$T$2</f>
        <v>6.8789631956535189</v>
      </c>
      <c r="J59" s="21">
        <f>lc_detailed!BB59/$T$2</f>
        <v>3.7649438231017713</v>
      </c>
      <c r="K59" s="21">
        <f>lc_detailed!BC59/$T$2</f>
        <v>0.91707486414789374</v>
      </c>
      <c r="L59" s="21">
        <f>lc_detailed!BK59/$T$2</f>
        <v>0</v>
      </c>
      <c r="M59" s="21">
        <f>lc_detailed!BL59/$T$2</f>
        <v>9.1523263689779704</v>
      </c>
      <c r="N59" s="21">
        <f>lc_detailed!BJ59</f>
        <v>4.1770824382695828</v>
      </c>
      <c r="O59" s="21">
        <f>lc_detailed!AR59</f>
        <v>1416.9684291017863</v>
      </c>
      <c r="P59" s="21">
        <f t="shared" si="2"/>
        <v>31.073869059249699</v>
      </c>
      <c r="Q59" s="21">
        <f t="shared" si="3"/>
        <v>31.073869059249695</v>
      </c>
    </row>
    <row r="60" spans="2:17" x14ac:dyDescent="0.2">
      <c r="B60" t="str">
        <f>lc_detailed!AM60</f>
        <v>TX_ESC</v>
      </c>
      <c r="C60" s="21">
        <f>lc_detailed!AU60/$T$2</f>
        <v>0</v>
      </c>
      <c r="D60" s="21">
        <f>lc_detailed!AV60/$T$2</f>
        <v>-0.40004431463636292</v>
      </c>
      <c r="E60" s="21">
        <f>lc_detailed!AW60/$T$2</f>
        <v>1.6564805480927998</v>
      </c>
      <c r="F60" s="21">
        <f>lc_detailed!AX60/$T$2</f>
        <v>9.079842636033753</v>
      </c>
      <c r="G60" s="21">
        <f>lc_detailed!AY60/$T$2</f>
        <v>0</v>
      </c>
      <c r="H60" s="21">
        <f>lc_detailed!AZ60/$T$2</f>
        <v>7.2267236642152941E-2</v>
      </c>
      <c r="I60" s="21">
        <f>lc_detailed!BA60/$T$2</f>
        <v>6.8789631956535189</v>
      </c>
      <c r="J60" s="21">
        <f>lc_detailed!BB60/$T$2</f>
        <v>3.7649438231017713</v>
      </c>
      <c r="K60" s="21">
        <f>lc_detailed!BC60/$T$2</f>
        <v>0.91707486414789374</v>
      </c>
      <c r="L60" s="21">
        <f>lc_detailed!BK60/$T$2</f>
        <v>0</v>
      </c>
      <c r="M60" s="21">
        <f>lc_detailed!BL60/$T$2</f>
        <v>9.1523263689779704</v>
      </c>
      <c r="N60" s="21">
        <f>lc_detailed!BJ60</f>
        <v>4.1770824382695828</v>
      </c>
      <c r="O60" s="21">
        <f>lc_detailed!AR60</f>
        <v>1419.1565587254156</v>
      </c>
      <c r="P60" s="21">
        <f t="shared" si="2"/>
        <v>31.121854358013501</v>
      </c>
      <c r="Q60" s="21">
        <f t="shared" si="3"/>
        <v>31.121854358013493</v>
      </c>
    </row>
    <row r="61" spans="2:17" x14ac:dyDescent="0.2">
      <c r="B61" t="str">
        <f>lc_detailed!AM61</f>
        <v>NCEN_ESC</v>
      </c>
      <c r="C61" s="21">
        <f>lc_detailed!AU61/$T$2</f>
        <v>0</v>
      </c>
      <c r="D61" s="21">
        <f>lc_detailed!AV61/$T$2</f>
        <v>-0.44900706395587092</v>
      </c>
      <c r="E61" s="21">
        <f>lc_detailed!AW61/$T$2</f>
        <v>1.7496268682811835</v>
      </c>
      <c r="F61" s="21">
        <f>lc_detailed!AX61/$T$2</f>
        <v>9.079842636033753</v>
      </c>
      <c r="G61" s="21">
        <f>lc_detailed!AY61/$T$2</f>
        <v>0</v>
      </c>
      <c r="H61" s="21">
        <f>lc_detailed!AZ61/$T$2</f>
        <v>4.0240959893843069E-2</v>
      </c>
      <c r="I61" s="21">
        <f>lc_detailed!BA61/$T$2</f>
        <v>6.8789631956535189</v>
      </c>
      <c r="J61" s="21">
        <f>lc_detailed!BB61/$T$2</f>
        <v>3.7649438231017713</v>
      </c>
      <c r="K61" s="21">
        <f>lc_detailed!BC61/$T$2</f>
        <v>0.91707486414789374</v>
      </c>
      <c r="L61" s="21">
        <f>lc_detailed!BK61/$T$2</f>
        <v>0</v>
      </c>
      <c r="M61" s="21">
        <f>lc_detailed!BL61/$T$2</f>
        <v>9.1523263689779704</v>
      </c>
      <c r="N61" s="21">
        <f>lc_detailed!BJ61</f>
        <v>4.1770824382695828</v>
      </c>
      <c r="O61" s="21">
        <f>lc_detailed!AR61</f>
        <v>1419.7109313373135</v>
      </c>
      <c r="P61" s="21">
        <f t="shared" si="2"/>
        <v>31.134011652134067</v>
      </c>
      <c r="Q61" s="21">
        <f t="shared" si="3"/>
        <v>31.134011652134063</v>
      </c>
    </row>
    <row r="62" spans="2:17" x14ac:dyDescent="0.2">
      <c r="B62" t="str">
        <f>lc_detailed!AM62</f>
        <v>CEN_ESC</v>
      </c>
      <c r="C62" s="21">
        <f>lc_detailed!AU62/$T$2</f>
        <v>0</v>
      </c>
      <c r="D62" s="21">
        <f>lc_detailed!AV62/$T$2</f>
        <v>-0.41514095054329514</v>
      </c>
      <c r="E62" s="21">
        <f>lc_detailed!AW62/$T$2</f>
        <v>1.7017296877989159</v>
      </c>
      <c r="F62" s="21">
        <f>lc_detailed!AX62/$T$2</f>
        <v>9.079842636033753</v>
      </c>
      <c r="G62" s="21">
        <f>lc_detailed!AY62/$T$2</f>
        <v>0</v>
      </c>
      <c r="H62" s="21">
        <f>lc_detailed!AZ62/$T$2</f>
        <v>6.9840858663496E-2</v>
      </c>
      <c r="I62" s="21">
        <f>lc_detailed!BA62/$T$2</f>
        <v>6.8789631956535189</v>
      </c>
      <c r="J62" s="21">
        <f>lc_detailed!BB62/$T$2</f>
        <v>3.7649438231017713</v>
      </c>
      <c r="K62" s="21">
        <f>lc_detailed!BC62/$T$2</f>
        <v>0.91707486414789374</v>
      </c>
      <c r="L62" s="21">
        <f>lc_detailed!BK62/$T$2</f>
        <v>0</v>
      </c>
      <c r="M62" s="21">
        <f>lc_detailed!BL62/$T$2</f>
        <v>9.1523263689779704</v>
      </c>
      <c r="N62" s="21">
        <f>lc_detailed!BJ62</f>
        <v>4.1770824382695828</v>
      </c>
      <c r="O62" s="21">
        <f>lc_detailed!AR62</f>
        <v>1420.4208700628317</v>
      </c>
      <c r="P62" s="21">
        <f t="shared" si="2"/>
        <v>31.149580483834026</v>
      </c>
      <c r="Q62" s="21">
        <f t="shared" si="3"/>
        <v>31.149580483834022</v>
      </c>
    </row>
    <row r="63" spans="2:17" x14ac:dyDescent="0.2">
      <c r="B63" t="str">
        <f>lc_detailed!AM63</f>
        <v>SE_ESC</v>
      </c>
      <c r="C63" s="21">
        <f>lc_detailed!AU63/$T$2</f>
        <v>0</v>
      </c>
      <c r="D63" s="21">
        <f>lc_detailed!AV63/$T$2</f>
        <v>-0.41197926741210172</v>
      </c>
      <c r="E63" s="21">
        <f>lc_detailed!AW63/$T$2</f>
        <v>1.6683935701232369</v>
      </c>
      <c r="F63" s="21">
        <f>lc_detailed!AX63/$T$2</f>
        <v>9.079842636033753</v>
      </c>
      <c r="G63" s="21">
        <f>lc_detailed!AY63/$T$2</f>
        <v>0</v>
      </c>
      <c r="H63" s="21">
        <f>lc_detailed!AZ63/$T$2</f>
        <v>7.0859936438730925E-2</v>
      </c>
      <c r="I63" s="21">
        <f>lc_detailed!BA63/$T$2</f>
        <v>6.8789631956535189</v>
      </c>
      <c r="J63" s="21">
        <f>lc_detailed!BB63/$T$2</f>
        <v>3.7649438231017713</v>
      </c>
      <c r="K63" s="21">
        <f>lc_detailed!BC63/$T$2</f>
        <v>0.91707486414789374</v>
      </c>
      <c r="L63" s="21">
        <f>lc_detailed!BK63/$T$2</f>
        <v>0</v>
      </c>
      <c r="M63" s="21">
        <f>lc_detailed!BL63/$T$2</f>
        <v>9.1523263689779704</v>
      </c>
      <c r="N63" s="21">
        <f>lc_detailed!BJ63</f>
        <v>4.1770824382695828</v>
      </c>
      <c r="O63" s="21">
        <f>lc_detailed!AR63</f>
        <v>1419.0913857941539</v>
      </c>
      <c r="P63" s="21">
        <f t="shared" si="2"/>
        <v>31.120425127064777</v>
      </c>
      <c r="Q63" s="21">
        <f t="shared" si="3"/>
        <v>31.12042512706477</v>
      </c>
    </row>
    <row r="64" spans="2:17" x14ac:dyDescent="0.2">
      <c r="B64" t="str">
        <f>lc_detailed!AM64</f>
        <v>MIDAT_ESC</v>
      </c>
      <c r="C64" s="21">
        <f>lc_detailed!AU64/$T$2</f>
        <v>0</v>
      </c>
      <c r="D64" s="21">
        <f>lc_detailed!AV64/$T$2</f>
        <v>-0.5311353695838219</v>
      </c>
      <c r="E64" s="21">
        <f>lc_detailed!AW64/$T$2</f>
        <v>1.7150892368794102</v>
      </c>
      <c r="F64" s="21">
        <f>lc_detailed!AX64/$T$2</f>
        <v>9.079842636033753</v>
      </c>
      <c r="G64" s="21">
        <f>lc_detailed!AY64/$T$2</f>
        <v>0</v>
      </c>
      <c r="H64" s="21">
        <f>lc_detailed!AZ64/$T$2</f>
        <v>4.5385577930510373E-2</v>
      </c>
      <c r="I64" s="21">
        <f>lc_detailed!BA64/$T$2</f>
        <v>6.8789631956535189</v>
      </c>
      <c r="J64" s="21">
        <f>lc_detailed!BB64/$T$2</f>
        <v>3.7649438231017713</v>
      </c>
      <c r="K64" s="21">
        <f>lc_detailed!BC64/$T$2</f>
        <v>0.91707486414789374</v>
      </c>
      <c r="L64" s="21">
        <f>lc_detailed!BK64/$T$2</f>
        <v>0</v>
      </c>
      <c r="M64" s="21">
        <f>lc_detailed!BL64/$T$2</f>
        <v>9.1523263689779704</v>
      </c>
      <c r="N64" s="21">
        <f>lc_detailed!BJ64</f>
        <v>4.1770824382695828</v>
      </c>
      <c r="O64" s="21">
        <f>lc_detailed!AR64</f>
        <v>1414.62555919123</v>
      </c>
      <c r="P64" s="21">
        <f t="shared" si="2"/>
        <v>31.022490333141008</v>
      </c>
      <c r="Q64" s="21">
        <f t="shared" si="3"/>
        <v>31.022490333141004</v>
      </c>
    </row>
    <row r="65" spans="2:17" x14ac:dyDescent="0.2">
      <c r="B65" t="str">
        <f>lc_detailed!AM65</f>
        <v>NE_ESC</v>
      </c>
      <c r="C65" s="21">
        <f>lc_detailed!AU65/$T$2</f>
        <v>0</v>
      </c>
      <c r="D65" s="21">
        <f>lc_detailed!AV65/$T$2</f>
        <v>-0.82828077146940482</v>
      </c>
      <c r="E65" s="21">
        <f>lc_detailed!AW65/$T$2</f>
        <v>1.6580314033969319</v>
      </c>
      <c r="F65" s="21">
        <f>lc_detailed!AX65/$T$2</f>
        <v>9.079842636033753</v>
      </c>
      <c r="G65" s="21">
        <f>lc_detailed!AY65/$T$2</f>
        <v>0</v>
      </c>
      <c r="H65" s="21">
        <f>lc_detailed!AZ65/$T$2</f>
        <v>-0.28731138259593558</v>
      </c>
      <c r="I65" s="21">
        <f>lc_detailed!BA65/$T$2</f>
        <v>6.8789631956535189</v>
      </c>
      <c r="J65" s="21">
        <f>lc_detailed!BB65/$T$2</f>
        <v>3.7649438231017713</v>
      </c>
      <c r="K65" s="21">
        <f>lc_detailed!BC65/$T$2</f>
        <v>0.91707486414789374</v>
      </c>
      <c r="L65" s="21">
        <f>lc_detailed!BK65/$T$2</f>
        <v>0</v>
      </c>
      <c r="M65" s="21">
        <f>lc_detailed!BL65/$T$2</f>
        <v>9.1523263689779704</v>
      </c>
      <c r="N65" s="21">
        <f>lc_detailed!BJ65</f>
        <v>4.1770824382695828</v>
      </c>
      <c r="O65" s="21">
        <f>lc_detailed!AR65</f>
        <v>1383.3029102584405</v>
      </c>
      <c r="P65" s="21">
        <f t="shared" si="2"/>
        <v>30.335590137246502</v>
      </c>
      <c r="Q65" s="21">
        <f t="shared" si="3"/>
        <v>30.335590137246498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lc_detailed</vt:lpstr>
      <vt:lpstr>lc_summary_seq</vt:lpstr>
      <vt:lpstr>lc_summary_noseq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2026-04-11T18:53:43Z</dcterms:modified>
</cp:coreProperties>
</file>