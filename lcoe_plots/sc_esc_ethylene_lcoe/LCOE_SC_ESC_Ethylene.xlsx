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400" yWindow="500" windowWidth="38400" windowHeight="21100" tabRatio="600" firstSheet="0" activeTab="0" autoFilterDateGrouping="1"/>
  </bookViews>
  <sheets>
    <sheet name="lc_detailed" sheetId="1" state="visible" r:id="rId1"/>
    <sheet name="lc_summary_seq" sheetId="2" state="visible" r:id="rId2"/>
    <sheet name="lc_summary_noseq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7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0" fontId="0" fillId="8" borderId="0" pivotButton="0" quotePrefix="0" xfId="0"/>
    <xf numFmtId="164" fontId="1" fillId="9" borderId="0" pivotButton="0" quotePrefix="0" xfId="0"/>
    <xf numFmtId="0" fontId="0" fillId="10" borderId="0" pivotButton="0" quotePrefix="0" xfId="0"/>
    <xf numFmtId="0" fontId="4" fillId="11" borderId="0" pivotButton="0" quotePrefix="0" xfId="0"/>
    <xf numFmtId="0" fontId="2" fillId="12" borderId="0" pivotButton="0" quotePrefix="0" xfId="0"/>
    <xf numFmtId="0" fontId="0" fillId="13" borderId="0" pivotButton="0" quotePrefix="0" xfId="0"/>
    <xf numFmtId="0" fontId="1" fillId="14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2" fillId="5" borderId="0" applyAlignment="1" pivotButton="0" quotePrefix="0" xfId="0">
      <alignment horizontal="left" wrapText="1"/>
    </xf>
    <xf numFmtId="2" fontId="0" fillId="0" borderId="0" pivotButton="0" quotePrefix="0" xfId="0"/>
    <xf numFmtId="0" fontId="0" fillId="1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07"/>
  <sheetViews>
    <sheetView tabSelected="1" topLeftCell="A8" zoomScale="89" zoomScaleNormal="157" workbookViewId="0">
      <selection activeCell="L11" sqref="L11"/>
    </sheetView>
  </sheetViews>
  <sheetFormatPr baseColWidth="10" defaultRowHeight="16"/>
  <cols>
    <col width="2.6640625" customWidth="1" style="1" min="1" max="1"/>
    <col width="19.6640625" customWidth="1" style="1" min="2" max="2"/>
    <col width="10" bestFit="1" customWidth="1" style="1" min="3" max="3"/>
    <col width="4.5" bestFit="1" customWidth="1" style="1" min="4" max="4"/>
    <col width="14" customWidth="1" style="1" min="5" max="5"/>
    <col width="12.33203125" customWidth="1" style="1" min="6" max="6"/>
    <col width="14.6640625" customWidth="1" style="1" min="7" max="7"/>
    <col width="37.5" bestFit="1" customWidth="1" style="1" min="8" max="8"/>
    <col width="16.33203125" customWidth="1" style="1" min="9" max="9"/>
    <col width="15.1640625" customWidth="1" style="1" min="10" max="10"/>
    <col width="17" customWidth="1" style="1" min="11" max="11"/>
    <col width="17.6640625" customWidth="1" style="1" min="12" max="13"/>
    <col width="19.33203125" customWidth="1" style="1" min="14" max="14"/>
    <col width="17" customWidth="1" style="1" min="15" max="15"/>
    <col width="12.1640625" customWidth="1" style="1" min="16" max="16"/>
    <col width="15.83203125" customWidth="1" style="1" min="17" max="17"/>
    <col width="28.5" bestFit="1" customWidth="1" style="1" min="18" max="18"/>
    <col width="3" customWidth="1" style="1" min="19" max="19"/>
    <col width="12.83203125" bestFit="1" customWidth="1" style="1" min="20" max="20"/>
    <col width="11" customWidth="1" style="1" min="21" max="21"/>
    <col width="12.83203125" customWidth="1" style="1" min="22" max="22"/>
    <col width="13.83203125" customWidth="1" style="1" min="23" max="23"/>
    <col width="12" customWidth="1" style="1" min="24" max="25"/>
    <col width="11.83203125" customWidth="1" style="1" min="26" max="26"/>
    <col width="13.5" customWidth="1" style="1" min="27" max="27"/>
    <col width="14.33203125" customWidth="1" style="1" min="28" max="28"/>
    <col width="11" customWidth="1" style="1" min="29" max="29"/>
    <col width="9.33203125" customWidth="1" style="1" min="30" max="30"/>
    <col width="10.33203125" customWidth="1" style="1" min="31" max="31"/>
    <col width="14.83203125" customWidth="1" style="1" min="32" max="32"/>
    <col width="14.5" customWidth="1" style="1" min="33" max="33"/>
    <col width="12.5" customWidth="1" style="1" min="34" max="35"/>
    <col width="12.1640625" customWidth="1" style="1" min="36" max="36"/>
    <col width="13.1640625" customWidth="1" style="1" min="37" max="37"/>
    <col width="9.33203125" customWidth="1" style="1" min="38" max="38"/>
    <col width="9.83203125" customWidth="1" style="1" min="39" max="39"/>
    <col width="14.5" customWidth="1" style="1" min="40" max="40"/>
    <col width="15.33203125" customWidth="1" style="1" min="41" max="41"/>
    <col width="3.33203125" customWidth="1" min="42" max="42"/>
    <col width="18.83203125" customWidth="1" style="1" min="43" max="43"/>
    <col width="19.83203125" customWidth="1" style="1" min="44" max="44"/>
    <col width="15.6640625" bestFit="1" customWidth="1" style="1" min="45" max="45"/>
    <col width="15.6640625" customWidth="1" style="1" min="46" max="46"/>
    <col width="18.33203125" bestFit="1" customWidth="1" style="1" min="47" max="47"/>
    <col width="15.6640625" customWidth="1" style="1" min="48" max="49"/>
    <col width="18.33203125" bestFit="1" customWidth="1" style="1" min="50" max="50"/>
    <col width="14.1640625" bestFit="1" customWidth="1" style="1" min="51" max="51"/>
    <col width="12.6640625" bestFit="1" customWidth="1" style="1" min="52" max="52"/>
    <col width="15.1640625" bestFit="1" customWidth="1" style="1" min="53" max="53"/>
    <col width="17.33203125" bestFit="1" customWidth="1" style="1" min="54" max="54"/>
    <col width="17.1640625" bestFit="1" customWidth="1" style="1" min="55" max="55"/>
    <col width="15.5" customWidth="1" style="1" min="56" max="56"/>
    <col width="13.6640625" bestFit="1" customWidth="1" style="1" min="57" max="57"/>
    <col width="12.1640625" bestFit="1" customWidth="1" style="1" min="58" max="58"/>
    <col width="14.5" bestFit="1" customWidth="1" style="1" min="59" max="59"/>
    <col width="10.5" customWidth="1" style="1" min="60" max="60"/>
    <col width="17.83203125" bestFit="1" customWidth="1" style="1" min="61" max="61"/>
    <col width="19.6640625" bestFit="1" customWidth="1" style="1" min="62" max="62"/>
    <col width="12.1640625" customWidth="1" style="1" min="63" max="63"/>
    <col width="17.83203125" bestFit="1" customWidth="1" style="1" min="64" max="64"/>
    <col width="19.33203125" bestFit="1" customWidth="1" style="1" min="65" max="65"/>
    <col width="18" customWidth="1" style="1" min="66" max="66"/>
    <col width="17.83203125" bestFit="1" customWidth="1" style="1" min="67" max="67"/>
    <col width="19.33203125" bestFit="1" customWidth="1" style="1" min="68" max="68"/>
    <col width="9.6640625" customWidth="1" style="1" min="69" max="69"/>
    <col width="17.83203125" bestFit="1" customWidth="1" style="1" min="70" max="70"/>
    <col width="19.33203125" bestFit="1" customWidth="1" style="1" min="71" max="71"/>
    <col width="3.33203125" customWidth="1" style="1" min="72" max="72"/>
    <col width="12.83203125" customWidth="1" style="1" min="73" max="73"/>
    <col width="11.6640625" customWidth="1" style="1" min="74" max="74"/>
    <col width="19.1640625" bestFit="1" customWidth="1" style="1" min="75" max="75"/>
    <col width="15.33203125" bestFit="1" customWidth="1" style="1" min="76" max="76"/>
    <col width="3.6640625" customWidth="1" style="1" min="77" max="77"/>
    <col width="21.6640625" bestFit="1" customWidth="1" style="1" min="78" max="78"/>
    <col width="18.33203125" bestFit="1" customWidth="1" style="1" min="79" max="79"/>
    <col width="24.33203125" bestFit="1" customWidth="1" style="1" min="80" max="80"/>
    <col width="3.33203125" customWidth="1" style="1" min="81" max="81"/>
    <col width="23" bestFit="1" customWidth="1" style="1" min="82" max="82"/>
    <col width="17.83203125" bestFit="1" customWidth="1" style="1" min="83" max="83"/>
    <col width="23.6640625" bestFit="1" customWidth="1" style="1" min="84" max="84"/>
    <col width="23.1640625" bestFit="1" customWidth="1" style="1" min="85" max="85"/>
    <col width="18.5" bestFit="1" customWidth="1" style="1" min="86" max="86"/>
    <col width="26" bestFit="1" customWidth="1" style="1" min="87" max="87"/>
    <col width="3" customWidth="1" style="1" min="88" max="88"/>
    <col width="43.5" bestFit="1" customWidth="1" style="1" min="89" max="89"/>
    <col width="10.83203125" customWidth="1" style="1" min="90" max="98"/>
    <col width="10.83203125" customWidth="1" style="1" min="99" max="16384"/>
  </cols>
  <sheetData>
    <row r="1">
      <c r="B1" s="1" t="inlineStr">
        <is>
          <t>Asset Parameters (normalized by commodity feedstock)</t>
        </is>
      </c>
      <c r="N1" s="1" t="inlineStr">
        <is>
          <t>doesn't include LPG</t>
        </is>
      </c>
      <c r="T1" s="1" t="inlineStr">
        <is>
          <t>Duals</t>
        </is>
      </c>
      <c r="AQ1" s="1" t="inlineStr">
        <is>
          <t>LCOE for assets with ethane capacity ($/t-ethylene)</t>
        </is>
      </c>
      <c r="AS1" s="1" t="inlineStr">
        <is>
          <t>SEQ - CI</t>
        </is>
      </c>
      <c r="AT1" s="1" t="inlineStr">
        <is>
          <t>SEQ - CREDIT</t>
        </is>
      </c>
      <c r="AV1" s="1" t="inlineStr">
        <is>
          <t>NO SEQ - CI</t>
        </is>
      </c>
      <c r="AW1" s="1" t="inlineStr">
        <is>
          <t>NO SEQ - CREDIT</t>
        </is>
      </c>
      <c r="BH1" s="1" t="inlineStr">
        <is>
          <t>CHEM SEQUESTRATION - CARBON INTENSITY</t>
        </is>
      </c>
      <c r="BK1" s="1" t="inlineStr">
        <is>
          <t>CHEM SEQUESTRATION - CREDIT</t>
        </is>
      </c>
      <c r="BN1" s="1" t="inlineStr">
        <is>
          <t>NO CHEM SEQUESTRATION - CARBON INTENSITY</t>
        </is>
      </c>
      <c r="BQ1" s="1" t="inlineStr">
        <is>
          <t>NO CHEM SEQUESTRATION - CREDIT</t>
        </is>
      </c>
      <c r="BU1" s="1" t="inlineStr">
        <is>
          <t>Carbon Content</t>
        </is>
      </c>
      <c r="BZ1" s="1" t="inlineStr">
        <is>
          <t>Carbon Inputs</t>
        </is>
      </c>
      <c r="CD1" s="1" t="inlineStr">
        <is>
          <t>Carbon Outputs</t>
        </is>
      </c>
      <c r="CK1" s="1" t="inlineStr">
        <is>
          <t>Sanity Checks</t>
        </is>
      </c>
    </row>
    <row r="2">
      <c r="B2" s="2" t="inlineStr">
        <is>
          <t>id</t>
        </is>
      </c>
      <c r="C2" s="2" t="inlineStr">
        <is>
          <t>commodity</t>
        </is>
      </c>
      <c r="D2" s="2" t="inlineStr">
        <is>
          <t>CCS</t>
        </is>
      </c>
      <c r="E2" s="2" t="inlineStr">
        <is>
          <t>h2_consumption (MWh/MWh-ethane)</t>
        </is>
      </c>
      <c r="F2" s="2" t="inlineStr">
        <is>
          <t>h2_production (MWh/MWh-ethane)</t>
        </is>
      </c>
      <c r="G2" s="2" t="inlineStr">
        <is>
          <t>elec_consumption (MWh/MWh-ethane)</t>
        </is>
      </c>
      <c r="H2" s="2" t="inlineStr">
        <is>
          <t>ethylene_production (t-ethylene/MWh-ethane)</t>
        </is>
      </c>
      <c r="I2" s="2" t="inlineStr">
        <is>
          <t>natgas_consumption (MWh/MWh-ethane)</t>
        </is>
      </c>
      <c r="J2" s="2" t="inlineStr">
        <is>
          <t>natgas_production (MWh/MWh-ethane)</t>
        </is>
      </c>
      <c r="K2" s="2" t="inlineStr">
        <is>
          <t>ASSET capture_rate (t-CO2/MWh-ethane)</t>
        </is>
      </c>
      <c r="L2" s="2" t="inlineStr">
        <is>
          <t>ASSET emission_rate (t-CO2/MWh-ethane)</t>
        </is>
      </c>
      <c r="M2" s="7" t="inlineStr">
        <is>
          <t>capture_rate (t-CO2/MWh-ethane)</t>
        </is>
      </c>
      <c r="N2" s="7" t="inlineStr">
        <is>
          <t>emission_rate (t-CO2/MWh-ethane)</t>
        </is>
      </c>
      <c r="O2" s="2" t="inlineStr">
        <is>
          <t>investment_cost ($/yr per MW ethane)</t>
        </is>
      </c>
      <c r="P2" s="2" t="inlineStr">
        <is>
          <t>fixed_om_cost ($/yr per MW ethane)</t>
        </is>
      </c>
      <c r="Q2" s="2" t="inlineStr">
        <is>
          <t>variable_om_cost ($/MWh-ethane)</t>
        </is>
      </c>
      <c r="R2" s="7" t="inlineStr">
        <is>
          <t>LPG_production (t-LPG/t-ethylene)</t>
        </is>
      </c>
      <c r="T2" s="15" t="inlineStr">
        <is>
          <t>co2_sink ($/t)</t>
        </is>
      </c>
      <c r="U2" s="15" t="inlineStr">
        <is>
          <t>co2_captured ($/t)</t>
        </is>
      </c>
      <c r="V2" s="15" t="inlineStr">
        <is>
          <t>bioherb_supply ($/t)</t>
        </is>
      </c>
      <c r="W2" s="15" t="inlineStr">
        <is>
          <t>biowood_supply ($/t)</t>
        </is>
      </c>
      <c r="X2" s="15" t="inlineStr">
        <is>
          <t>bioagri_supply ($/t)</t>
        </is>
      </c>
      <c r="Y2" s="7" t="inlineStr">
        <is>
          <t>LPG_demand ($/t-LPG)</t>
        </is>
      </c>
      <c r="Z2" s="7" t="inlineStr">
        <is>
          <t>ethane_supply ($/MWh)</t>
        </is>
      </c>
      <c r="AA2" s="15" t="inlineStr">
        <is>
          <t>ethanol_balance ($/MWh)</t>
        </is>
      </c>
      <c r="AB2" s="15" t="inlineStr">
        <is>
          <t>ethanol_demand ($/MWh)</t>
        </is>
      </c>
      <c r="AC2" s="15" t="inlineStr">
        <is>
          <t>elec_demand ($/MWh)</t>
        </is>
      </c>
      <c r="AD2" s="15" t="inlineStr">
        <is>
          <t>h2_balance ($/MWh)</t>
        </is>
      </c>
      <c r="AE2" s="15" t="inlineStr">
        <is>
          <t>h2_demand ($/MWh)</t>
        </is>
      </c>
      <c r="AF2" s="15" t="inlineStr">
        <is>
          <t>gasoline_balance ($/MWh)</t>
        </is>
      </c>
      <c r="AG2" s="15" t="inlineStr">
        <is>
          <t>gasoline_demand ($/MWh)</t>
        </is>
      </c>
      <c r="AH2" s="15" t="inlineStr">
        <is>
          <t>diesel_balance ($/MWh)</t>
        </is>
      </c>
      <c r="AI2" s="15" t="inlineStr">
        <is>
          <t>diesel_demand ($/MWh)</t>
        </is>
      </c>
      <c r="AJ2" s="15" t="inlineStr">
        <is>
          <t>jetfuel_balance ($/MWh)</t>
        </is>
      </c>
      <c r="AK2" s="15" t="inlineStr">
        <is>
          <t>jetfuel_demand ($/MWh)</t>
        </is>
      </c>
      <c r="AL2" s="15" t="inlineStr">
        <is>
          <t>ng_balance ($/MWh)</t>
        </is>
      </c>
      <c r="AM2" s="15" t="inlineStr">
        <is>
          <t>ng_demand ($/MWh)</t>
        </is>
      </c>
      <c r="AN2" s="15" t="inlineStr">
        <is>
          <t>ethylene_balance ($/t)</t>
        </is>
      </c>
      <c r="AO2" s="15" t="inlineStr">
        <is>
          <t>ethylene_demand ($/t)</t>
        </is>
      </c>
      <c r="AQ2" s="4" t="inlineStr">
        <is>
          <t>id_LC</t>
        </is>
      </c>
      <c r="AR2" s="4" t="inlineStr">
        <is>
          <t>commodity_LC</t>
        </is>
      </c>
      <c r="AS2" s="3" t="inlineStr">
        <is>
          <t>LCOE ($/t-ethylene)</t>
        </is>
      </c>
      <c r="AT2" s="6" t="inlineStr">
        <is>
          <t>LCOE ($/t-ethylene)</t>
        </is>
      </c>
      <c r="AU2" s="7" t="inlineStr">
        <is>
          <t>Diff. Between Methods</t>
        </is>
      </c>
      <c r="AV2" s="3" t="inlineStr">
        <is>
          <t>LCOE ($/t-ethylene)</t>
        </is>
      </c>
      <c r="AW2" s="6" t="inlineStr">
        <is>
          <t>LCOE ($/t-ethylene)</t>
        </is>
      </c>
      <c r="AX2" s="7" t="inlineStr">
        <is>
          <t>Diff. Between Methods</t>
        </is>
      </c>
      <c r="AY2" s="4" t="inlineStr">
        <is>
          <t>h2_consumption</t>
        </is>
      </c>
      <c r="AZ2" s="4" t="inlineStr">
        <is>
          <t>h2_production</t>
        </is>
      </c>
      <c r="BA2" s="4" t="inlineStr">
        <is>
          <t>elec_consumption</t>
        </is>
      </c>
      <c r="BB2" s="4" t="inlineStr">
        <is>
          <t>ethane_consumption</t>
        </is>
      </c>
      <c r="BC2" s="4" t="inlineStr">
        <is>
          <t>natgas_consumption</t>
        </is>
      </c>
      <c r="BD2" s="4" t="inlineStr">
        <is>
          <t>natgas_production</t>
        </is>
      </c>
      <c r="BE2" s="4" t="inlineStr">
        <is>
          <t>investment_cost</t>
        </is>
      </c>
      <c r="BF2" s="4" t="inlineStr">
        <is>
          <t>fixed_om_cost</t>
        </is>
      </c>
      <c r="BG2" s="4" t="inlineStr">
        <is>
          <t>variable_om_cost</t>
        </is>
      </c>
      <c r="BH2" s="3" t="inlineStr">
        <is>
          <t>CI</t>
        </is>
      </c>
      <c r="BI2" s="3" t="inlineStr">
        <is>
          <t>modified capture cost</t>
        </is>
      </c>
      <c r="BJ2" s="3" t="inlineStr">
        <is>
          <t>modified emissions cost</t>
        </is>
      </c>
      <c r="BK2" s="6" t="inlineStr">
        <is>
          <t>CI</t>
        </is>
      </c>
      <c r="BL2" s="6" t="inlineStr">
        <is>
          <t>modified capture cost</t>
        </is>
      </c>
      <c r="BM2" s="6" t="inlineStr">
        <is>
          <t>modified emissions cost</t>
        </is>
      </c>
      <c r="BN2" s="3" t="inlineStr">
        <is>
          <t>CI</t>
        </is>
      </c>
      <c r="BO2" s="3" t="inlineStr">
        <is>
          <t>modified capture cost</t>
        </is>
      </c>
      <c r="BP2" s="3" t="inlineStr">
        <is>
          <t>modified emissions cost</t>
        </is>
      </c>
      <c r="BQ2" s="6" t="inlineStr">
        <is>
          <t>CI</t>
        </is>
      </c>
      <c r="BR2" s="6" t="inlineStr">
        <is>
          <t>modified capture cost</t>
        </is>
      </c>
      <c r="BS2" s="6" t="inlineStr">
        <is>
          <t>modified emissions cost</t>
        </is>
      </c>
      <c r="BU2" s="7" t="inlineStr">
        <is>
          <t>Ethylene (t-CO2/t-ethylene)</t>
        </is>
      </c>
      <c r="BV2" s="7" t="inlineStr">
        <is>
          <t>Ethane (t-CO2/MWh-ethane)</t>
        </is>
      </c>
      <c r="BW2" s="7" t="inlineStr">
        <is>
          <t>NG (t-CO2/MWh-NG)</t>
        </is>
      </c>
      <c r="BX2" s="7" t="inlineStr">
        <is>
          <t>LPG (t-CO2/t-LPG)</t>
        </is>
      </c>
      <c r="BZ2" s="7" t="inlineStr">
        <is>
          <t>Ethane (t-CO2/t-ethylene)</t>
        </is>
      </c>
      <c r="CA2" s="7" t="inlineStr">
        <is>
          <t>NG (t-CO2/t-ethylene)</t>
        </is>
      </c>
      <c r="CB2" s="7" t="inlineStr">
        <is>
          <t>Total input (t-CO2/t-ethylene)</t>
        </is>
      </c>
      <c r="CD2" s="7" t="inlineStr">
        <is>
          <t>Ethylene (t-CO2/t-ethylene)</t>
        </is>
      </c>
      <c r="CE2" s="7" t="inlineStr">
        <is>
          <t>Methane (t-CO2/MWh-NG)</t>
        </is>
      </c>
      <c r="CF2" s="7" t="inlineStr">
        <is>
          <t>Emissions (t-CO2/t-ethylene)</t>
        </is>
      </c>
      <c r="CG2" s="7" t="inlineStr">
        <is>
          <t>Captured (t-CO2/t-ethylene)</t>
        </is>
      </c>
      <c r="CH2" s="7" t="inlineStr">
        <is>
          <t>LPG (t-CO2/t-ethylene)</t>
        </is>
      </c>
      <c r="CI2" s="7" t="inlineStr">
        <is>
          <t>Total Output (t-CO2/t-ethylene)</t>
        </is>
      </c>
      <c r="CK2" s="7" t="inlineStr">
        <is>
          <t>Diff. Between Input and Output CO2 (t-CO2/t-ethylene)</t>
        </is>
      </c>
    </row>
    <row r="3">
      <c r="B3" s="14" t="inlineStr">
        <is>
          <t>CA_TSC</t>
        </is>
      </c>
      <c r="C3" s="13" t="inlineStr">
        <is>
          <t>Ethane</t>
        </is>
      </c>
      <c r="D3" s="13" t="n">
        <v>0</v>
      </c>
      <c r="E3" s="13" t="n">
        <v>0</v>
      </c>
      <c r="F3" s="13" t="n">
        <v>0</v>
      </c>
      <c r="G3" s="13" t="n">
        <v>0</v>
      </c>
      <c r="H3" s="13" t="n">
        <v>0.05310189724</v>
      </c>
      <c r="I3" s="13" t="n">
        <v>0.02270169876</v>
      </c>
      <c r="J3" s="13" t="n">
        <v>0</v>
      </c>
      <c r="K3" s="13" t="n"/>
      <c r="L3" s="13" t="n"/>
      <c r="M3" s="11">
        <f>CG3*H3</f>
        <v/>
      </c>
      <c r="N3" s="11">
        <f>CF3*H3</f>
        <v/>
      </c>
      <c r="O3" s="13" t="n">
        <v>99124.32016</v>
      </c>
      <c r="P3" s="13" t="n">
        <v>54251.99777</v>
      </c>
      <c r="Q3" s="13" t="n">
        <v>1.676159756</v>
      </c>
      <c r="R3" s="11" t="n">
        <v>0.2020556</v>
      </c>
      <c r="T3" s="16" t="n">
        <v>99.913298</v>
      </c>
      <c r="U3" s="16" t="n">
        <v>-5.387721</v>
      </c>
      <c r="V3" s="16" t="n">
        <v>69.443859</v>
      </c>
      <c r="W3" s="16" t="n">
        <v>44.089523</v>
      </c>
      <c r="X3" s="16" t="n">
        <v>38.115627</v>
      </c>
      <c r="Y3" s="22" t="n">
        <v>420</v>
      </c>
      <c r="Z3" s="11" t="n">
        <v>21.9863533</v>
      </c>
      <c r="AA3" s="17" t="n"/>
      <c r="AB3" s="17" t="n"/>
      <c r="AC3" s="16" t="n">
        <v>19.219858</v>
      </c>
      <c r="AD3" s="16" t="n">
        <v>4.641256</v>
      </c>
      <c r="AE3" s="16" t="n"/>
      <c r="AF3" s="17" t="n"/>
      <c r="AG3" s="17" t="n"/>
      <c r="AH3" s="17" t="n"/>
      <c r="AI3" s="17" t="n"/>
      <c r="AJ3" s="17" t="n"/>
      <c r="AK3" s="17" t="n"/>
      <c r="AL3" s="16" t="n">
        <v>-3.135876</v>
      </c>
      <c r="AM3" s="16" t="n">
        <v>-4.519557</v>
      </c>
      <c r="AN3" s="16" t="n">
        <v>796.736008</v>
      </c>
      <c r="AO3" s="16" t="n">
        <v>0</v>
      </c>
      <c r="AQ3" s="1">
        <f>B3</f>
        <v/>
      </c>
      <c r="AR3" s="1">
        <f>C3</f>
        <v/>
      </c>
      <c r="AS3" s="12">
        <f>SUM(AY3:BG3)+BI3+BJ3</f>
        <v/>
      </c>
      <c r="AT3" s="12">
        <f>SUM(AY3:BG3)+BL3+BM3</f>
        <v/>
      </c>
      <c r="AU3" s="5">
        <f>AS3-AT3</f>
        <v/>
      </c>
      <c r="AV3" s="12">
        <f>SUM(AY3:BG3)+BO3+BP3</f>
        <v/>
      </c>
      <c r="AW3" s="12">
        <f>SUM(AY3:BG3)+BR3+BS3</f>
        <v/>
      </c>
      <c r="AX3" s="5">
        <f>AV3-AW3</f>
        <v/>
      </c>
      <c r="AY3" s="5">
        <f>E3/H3*AD3</f>
        <v/>
      </c>
      <c r="AZ3" s="1">
        <f>F3/H3*AD3*-1</f>
        <v/>
      </c>
      <c r="BA3" s="1">
        <f>G3/H3*AC3</f>
        <v/>
      </c>
      <c r="BB3" s="1">
        <f>1/H3*Z3</f>
        <v/>
      </c>
      <c r="BC3" s="1">
        <f>I3/H3*AL3</f>
        <v/>
      </c>
      <c r="BD3" s="1">
        <f>J3/H3*AL3*-1</f>
        <v/>
      </c>
      <c r="BE3" s="1">
        <f>O3/H3/(0.9*8760)</f>
        <v/>
      </c>
      <c r="BF3" s="1">
        <f>P3/H3/(0.9*8760)</f>
        <v/>
      </c>
      <c r="BG3" s="1">
        <f>Q3/H3</f>
        <v/>
      </c>
      <c r="BH3" s="1">
        <f>CE3+CF3+CG3</f>
        <v/>
      </c>
      <c r="BI3" s="1">
        <f>(T3+U3)*-1*M3/H3</f>
        <v/>
      </c>
      <c r="BJ3" s="1">
        <f>BH3*T3</f>
        <v/>
      </c>
      <c r="BK3" s="1">
        <f>CE3+CF3</f>
        <v/>
      </c>
      <c r="BL3" s="1">
        <f>U3*M3*-1/H3</f>
        <v/>
      </c>
      <c r="BM3" s="1">
        <f>BK3*T3</f>
        <v/>
      </c>
      <c r="BN3" s="1">
        <f>SUM(CD3:CH3)</f>
        <v/>
      </c>
      <c r="BO3" s="1">
        <f>(T3+U3)*-1*M3/H3</f>
        <v/>
      </c>
      <c r="BP3" s="1">
        <f>BN3*T3</f>
        <v/>
      </c>
      <c r="BQ3" s="1">
        <f>CD3+CE3+CF3+CH3</f>
        <v/>
      </c>
      <c r="BR3" s="1">
        <f>M3/H3*U3*-1</f>
        <v/>
      </c>
      <c r="BS3" s="1">
        <f>T3*BQ3</f>
        <v/>
      </c>
      <c r="BU3" s="9" t="n">
        <v>3.14</v>
      </c>
      <c r="BV3" s="10" t="n">
        <v>0.2218110024</v>
      </c>
      <c r="BW3" s="9" t="n">
        <v>0.18104824</v>
      </c>
      <c r="BX3" s="9" t="n">
        <v>0.015714286</v>
      </c>
      <c r="BZ3" s="10">
        <f>1/H3*BV3</f>
        <v/>
      </c>
      <c r="CA3" s="10">
        <f>I3/H3*BW3</f>
        <v/>
      </c>
      <c r="CB3" s="10">
        <f>BZ3+CA3</f>
        <v/>
      </c>
      <c r="CD3" s="10">
        <f>BU3</f>
        <v/>
      </c>
      <c r="CE3" s="10">
        <f>J3/H3*BW3</f>
        <v/>
      </c>
      <c r="CF3" s="10">
        <f>(CB3-CD3-CE3-CH3)*(1-D3)</f>
        <v/>
      </c>
      <c r="CG3" s="10">
        <f>(CB3-CD3-CE3-CH3)*D3</f>
        <v/>
      </c>
      <c r="CH3" s="10">
        <f>BX3*R3</f>
        <v/>
      </c>
      <c r="CI3" s="10">
        <f>SUM(CD3:CH3)</f>
        <v/>
      </c>
      <c r="CK3" s="1">
        <f>CI3-CB3</f>
        <v/>
      </c>
    </row>
    <row r="4">
      <c r="B4" s="14" t="inlineStr">
        <is>
          <t>SW_TSC</t>
        </is>
      </c>
      <c r="C4" s="13" t="inlineStr">
        <is>
          <t>Ethane</t>
        </is>
      </c>
      <c r="D4" s="13" t="n">
        <v>0</v>
      </c>
      <c r="E4" s="13" t="n">
        <v>0</v>
      </c>
      <c r="F4" s="13" t="n">
        <v>0</v>
      </c>
      <c r="G4" s="13" t="n">
        <v>0</v>
      </c>
      <c r="H4" s="13" t="n">
        <v>0.05310189724</v>
      </c>
      <c r="I4" s="13" t="n">
        <v>0.02270169876</v>
      </c>
      <c r="J4" s="13" t="n">
        <v>0</v>
      </c>
      <c r="K4" s="13" t="n"/>
      <c r="L4" s="13" t="n"/>
      <c r="M4" s="11">
        <f>CG4*H4</f>
        <v/>
      </c>
      <c r="N4" s="11">
        <f>CF4*H4</f>
        <v/>
      </c>
      <c r="O4" s="13" t="n">
        <v>99124.32016</v>
      </c>
      <c r="P4" s="13" t="n">
        <v>54251.99777</v>
      </c>
      <c r="Q4" s="13" t="n">
        <v>1.676159756</v>
      </c>
      <c r="R4" s="11" t="n">
        <v>0.2020556</v>
      </c>
      <c r="T4" s="16" t="n">
        <v>99.913298</v>
      </c>
      <c r="U4" s="16" t="n">
        <v>-5.321206</v>
      </c>
      <c r="V4" s="16" t="n">
        <v>65.718464</v>
      </c>
      <c r="W4" s="16" t="n">
        <v>44.094475</v>
      </c>
      <c r="X4" s="16" t="n">
        <v>41.17053</v>
      </c>
      <c r="Y4" s="22" t="n">
        <v>420</v>
      </c>
      <c r="Z4" s="11" t="n">
        <v>21.9863533</v>
      </c>
      <c r="AA4" s="17" t="n"/>
      <c r="AB4" s="17" t="n"/>
      <c r="AC4" s="16" t="n">
        <v>20.088657</v>
      </c>
      <c r="AD4" s="16" t="n">
        <v>6.238322</v>
      </c>
      <c r="AE4" s="16" t="n"/>
      <c r="AF4" s="17" t="n"/>
      <c r="AG4" s="17" t="n"/>
      <c r="AH4" s="17" t="n"/>
      <c r="AI4" s="17" t="n"/>
      <c r="AJ4" s="17" t="n"/>
      <c r="AK4" s="17" t="n"/>
      <c r="AL4" s="16" t="n">
        <v>-1.277867</v>
      </c>
      <c r="AM4" s="16" t="n">
        <v>-3.020989</v>
      </c>
      <c r="AN4" s="16" t="n">
        <v>796.736008</v>
      </c>
      <c r="AO4" s="16" t="n">
        <v>0</v>
      </c>
      <c r="AQ4" s="1">
        <f>B4</f>
        <v/>
      </c>
      <c r="AR4" s="1">
        <f>C4</f>
        <v/>
      </c>
      <c r="AS4" s="12">
        <f>SUM(AY4:BG4)+BI4+BJ4</f>
        <v/>
      </c>
      <c r="AT4" s="12">
        <f>SUM(AY4:BG4)+BL4+BM4</f>
        <v/>
      </c>
      <c r="AU4" s="5">
        <f>AS4-AT4</f>
        <v/>
      </c>
      <c r="AV4" s="12">
        <f>SUM(AY4:BG4)+BO4+BP4</f>
        <v/>
      </c>
      <c r="AW4" s="12">
        <f>SUM(AY4:BG4)+BR4+BS4</f>
        <v/>
      </c>
      <c r="AX4" s="5">
        <f>AV4-AW4</f>
        <v/>
      </c>
      <c r="AY4" s="5">
        <f>E4/H4*AD4</f>
        <v/>
      </c>
      <c r="AZ4" s="1">
        <f>F4/H4*AD4*-1</f>
        <v/>
      </c>
      <c r="BA4" s="1">
        <f>G4/H4*AC4</f>
        <v/>
      </c>
      <c r="BB4" s="1">
        <f>1/H4*Z4</f>
        <v/>
      </c>
      <c r="BC4" s="1">
        <f>I4/H4*AL4</f>
        <v/>
      </c>
      <c r="BD4" s="1">
        <f>J4/H4*AL4*-1</f>
        <v/>
      </c>
      <c r="BE4" s="1">
        <f>O4/H4/(0.9*8760)</f>
        <v/>
      </c>
      <c r="BF4" s="1">
        <f>P4/H4/(0.9*8760)</f>
        <v/>
      </c>
      <c r="BG4" s="1">
        <f>Q4/H4</f>
        <v/>
      </c>
      <c r="BH4" s="1">
        <f>CE4+CF4+CG4</f>
        <v/>
      </c>
      <c r="BI4" s="1">
        <f>(T4+U4)*-1*M4/H4</f>
        <v/>
      </c>
      <c r="BJ4" s="1">
        <f>BH4*T4</f>
        <v/>
      </c>
      <c r="BK4" s="1">
        <f>CE4+CF4</f>
        <v/>
      </c>
      <c r="BL4" s="1">
        <f>U4*M4*-1/H4</f>
        <v/>
      </c>
      <c r="BM4" s="1">
        <f>BK4*T4</f>
        <v/>
      </c>
      <c r="BN4" s="1">
        <f>SUM(CD4:CH4)</f>
        <v/>
      </c>
      <c r="BO4" s="1">
        <f>(T4+U4)*-1*M4/H4</f>
        <v/>
      </c>
      <c r="BP4" s="1">
        <f>BN4*T4</f>
        <v/>
      </c>
      <c r="BQ4" s="1">
        <f>CD4+CE4+CF4+CH4</f>
        <v/>
      </c>
      <c r="BR4" s="1">
        <f>M4/H4*U4*-1</f>
        <v/>
      </c>
      <c r="BS4" s="1">
        <f>T4*BQ4</f>
        <v/>
      </c>
      <c r="BU4" s="9" t="n">
        <v>3.14</v>
      </c>
      <c r="BV4" s="10" t="n">
        <v>0.2218110024</v>
      </c>
      <c r="BW4" s="9" t="n">
        <v>0.18104824</v>
      </c>
      <c r="BX4" s="9" t="n">
        <v>0.015714286</v>
      </c>
      <c r="BZ4" s="10">
        <f>1/H4*BV4</f>
        <v/>
      </c>
      <c r="CA4" s="10">
        <f>I4/H4*BW4</f>
        <v/>
      </c>
      <c r="CB4" s="10">
        <f>BZ4+CA4</f>
        <v/>
      </c>
      <c r="CD4" s="10">
        <f>BU4</f>
        <v/>
      </c>
      <c r="CE4" s="10">
        <f>J4/H4*BW4</f>
        <v/>
      </c>
      <c r="CF4" s="10">
        <f>(CB4-CD4-CE4-CH4)*(1-D4)</f>
        <v/>
      </c>
      <c r="CG4" s="10">
        <f>(CB4-CD4-CE4-CH4)*D4</f>
        <v/>
      </c>
      <c r="CH4" s="10">
        <f>BX4*R4</f>
        <v/>
      </c>
      <c r="CI4" s="10">
        <f>SUM(CD4:CH4)</f>
        <v/>
      </c>
      <c r="CK4" s="1">
        <f>CI4-CB4</f>
        <v/>
      </c>
    </row>
    <row r="5">
      <c r="B5" s="14" t="inlineStr">
        <is>
          <t>NW_TSC</t>
        </is>
      </c>
      <c r="C5" s="13" t="inlineStr">
        <is>
          <t>Ethane</t>
        </is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0.05310189724</v>
      </c>
      <c r="I5" s="13" t="n">
        <v>0.02270169876</v>
      </c>
      <c r="J5" s="13" t="n">
        <v>0</v>
      </c>
      <c r="K5" s="13" t="n"/>
      <c r="L5" s="13" t="n"/>
      <c r="M5" s="11">
        <f>CG5*H5</f>
        <v/>
      </c>
      <c r="N5" s="11">
        <f>CF5*H5</f>
        <v/>
      </c>
      <c r="O5" s="13" t="n">
        <v>99124.32016</v>
      </c>
      <c r="P5" s="13" t="n">
        <v>54251.99777</v>
      </c>
      <c r="Q5" s="13" t="n">
        <v>1.676159756</v>
      </c>
      <c r="R5" s="11" t="n">
        <v>0.2020556</v>
      </c>
      <c r="T5" s="16" t="n">
        <v>99.913298</v>
      </c>
      <c r="U5" s="16" t="n">
        <v>-5.280129</v>
      </c>
      <c r="V5" s="16" t="n">
        <v>67.91567999999999</v>
      </c>
      <c r="W5" s="16" t="n">
        <v>44.074162</v>
      </c>
      <c r="X5" s="16" t="n">
        <v>42.063157</v>
      </c>
      <c r="Y5" s="22" t="n">
        <v>420</v>
      </c>
      <c r="Z5" s="11" t="n">
        <v>21.9863533</v>
      </c>
      <c r="AA5" s="17" t="n"/>
      <c r="AB5" s="17" t="n"/>
      <c r="AC5" s="16" t="n">
        <v>19.074368</v>
      </c>
      <c r="AD5" s="16" t="n">
        <v>5.238745</v>
      </c>
      <c r="AE5" s="16" t="n"/>
      <c r="AF5" s="17" t="n"/>
      <c r="AG5" s="17" t="n"/>
      <c r="AH5" s="17" t="n"/>
      <c r="AI5" s="17" t="n"/>
      <c r="AJ5" s="17" t="n"/>
      <c r="AK5" s="17" t="n"/>
      <c r="AL5" s="16" t="n">
        <v>-2.438704</v>
      </c>
      <c r="AM5" s="16" t="n">
        <v>-3.956322</v>
      </c>
      <c r="AN5" s="16" t="n">
        <v>796.736008</v>
      </c>
      <c r="AO5" s="16" t="n">
        <v>0</v>
      </c>
      <c r="AQ5" s="1">
        <f>B5</f>
        <v/>
      </c>
      <c r="AR5" s="1">
        <f>C5</f>
        <v/>
      </c>
      <c r="AS5" s="12">
        <f>SUM(AY5:BG5)+BI5+BJ5</f>
        <v/>
      </c>
      <c r="AT5" s="12">
        <f>SUM(AY5:BG5)+BL5+BM5</f>
        <v/>
      </c>
      <c r="AU5" s="5">
        <f>AS5-AT5</f>
        <v/>
      </c>
      <c r="AV5" s="12">
        <f>SUM(AY5:BG5)+BO5+BP5</f>
        <v/>
      </c>
      <c r="AW5" s="12">
        <f>SUM(AY5:BG5)+BR5+BS5</f>
        <v/>
      </c>
      <c r="AX5" s="5">
        <f>AV5-AW5</f>
        <v/>
      </c>
      <c r="AY5" s="5">
        <f>E5/H5*AD5</f>
        <v/>
      </c>
      <c r="AZ5" s="1">
        <f>F5/H5*AD5*-1</f>
        <v/>
      </c>
      <c r="BA5" s="1">
        <f>G5/H5*AC5</f>
        <v/>
      </c>
      <c r="BB5" s="1">
        <f>1/H5*Z5</f>
        <v/>
      </c>
      <c r="BC5" s="1">
        <f>I5/H5*AL5</f>
        <v/>
      </c>
      <c r="BD5" s="1">
        <f>J5/H5*AL5*-1</f>
        <v/>
      </c>
      <c r="BE5" s="1">
        <f>O5/H5/(0.9*8760)</f>
        <v/>
      </c>
      <c r="BF5" s="1">
        <f>P5/H5/(0.9*8760)</f>
        <v/>
      </c>
      <c r="BG5" s="1">
        <f>Q5/H5</f>
        <v/>
      </c>
      <c r="BH5" s="1">
        <f>CE5+CF5+CG5</f>
        <v/>
      </c>
      <c r="BI5" s="1">
        <f>(T5+U5)*-1*M5/H5</f>
        <v/>
      </c>
      <c r="BJ5" s="1">
        <f>BH5*T5</f>
        <v/>
      </c>
      <c r="BK5" s="1">
        <f>CE5+CF5</f>
        <v/>
      </c>
      <c r="BL5" s="1">
        <f>U5*M5*-1/H5</f>
        <v/>
      </c>
      <c r="BM5" s="1">
        <f>BK5*T5</f>
        <v/>
      </c>
      <c r="BN5" s="1">
        <f>SUM(CD5:CH5)</f>
        <v/>
      </c>
      <c r="BO5" s="1">
        <f>(T5+U5)*-1*M5/H5</f>
        <v/>
      </c>
      <c r="BP5" s="1">
        <f>BN5*T5</f>
        <v/>
      </c>
      <c r="BQ5" s="1">
        <f>CD5+CE5+CF5+CH5</f>
        <v/>
      </c>
      <c r="BR5" s="1">
        <f>M5/H5*U5*-1</f>
        <v/>
      </c>
      <c r="BS5" s="1">
        <f>T5*BQ5</f>
        <v/>
      </c>
      <c r="BU5" s="9" t="n">
        <v>3.14</v>
      </c>
      <c r="BV5" s="10" t="n">
        <v>0.2218110024</v>
      </c>
      <c r="BW5" s="9" t="n">
        <v>0.18104824</v>
      </c>
      <c r="BX5" s="9" t="n">
        <v>0.015714286</v>
      </c>
      <c r="BZ5" s="10">
        <f>1/H5*BV5</f>
        <v/>
      </c>
      <c r="CA5" s="10">
        <f>I5/H5*BW5</f>
        <v/>
      </c>
      <c r="CB5" s="10">
        <f>BZ5+CA5</f>
        <v/>
      </c>
      <c r="CD5" s="10">
        <f>BU5</f>
        <v/>
      </c>
      <c r="CE5" s="10">
        <f>J5/H5*BW5</f>
        <v/>
      </c>
      <c r="CF5" s="10">
        <f>(CB5-CD5-CE5-CH5)*(1-D5)</f>
        <v/>
      </c>
      <c r="CG5" s="10">
        <f>(CB5-CD5-CE5-CH5)*D5</f>
        <v/>
      </c>
      <c r="CH5" s="10">
        <f>BX5*R5</f>
        <v/>
      </c>
      <c r="CI5" s="10">
        <f>SUM(CD5:CH5)</f>
        <v/>
      </c>
      <c r="CK5" s="1">
        <f>CI5-CB5</f>
        <v/>
      </c>
    </row>
    <row r="6">
      <c r="B6" s="14" t="inlineStr">
        <is>
          <t>TX_TSC</t>
        </is>
      </c>
      <c r="C6" s="13" t="inlineStr">
        <is>
          <t>Ethane</t>
        </is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0.05310189724</v>
      </c>
      <c r="I6" s="13" t="n">
        <v>0.02270169876</v>
      </c>
      <c r="J6" s="13" t="n">
        <v>0</v>
      </c>
      <c r="K6" s="13" t="n"/>
      <c r="L6" s="13" t="n"/>
      <c r="M6" s="11">
        <f>CG6*H6</f>
        <v/>
      </c>
      <c r="N6" s="11">
        <f>CF6*H6</f>
        <v/>
      </c>
      <c r="O6" s="13" t="n">
        <v>99124.32016</v>
      </c>
      <c r="P6" s="13" t="n">
        <v>54251.99777</v>
      </c>
      <c r="Q6" s="13" t="n">
        <v>1.676159756</v>
      </c>
      <c r="R6" s="11" t="n">
        <v>0.2020556</v>
      </c>
      <c r="T6" s="16" t="n">
        <v>99.913298</v>
      </c>
      <c r="U6" s="16" t="n">
        <v>-4.998843</v>
      </c>
      <c r="V6" s="16" t="n">
        <v>65.086749</v>
      </c>
      <c r="W6" s="16" t="n">
        <v>44.879451</v>
      </c>
      <c r="X6" s="16" t="n">
        <v>38.220582</v>
      </c>
      <c r="Y6" s="22" t="n">
        <v>420</v>
      </c>
      <c r="Z6" s="11" t="n">
        <v>21.9863533</v>
      </c>
      <c r="AA6" s="17" t="n"/>
      <c r="AB6" s="17" t="n"/>
      <c r="AC6" s="16" t="n">
        <v>20.95841</v>
      </c>
      <c r="AD6" s="16" t="n">
        <v>6.059849</v>
      </c>
      <c r="AE6" s="16" t="n"/>
      <c r="AF6" s="17" t="n"/>
      <c r="AG6" s="17" t="n"/>
      <c r="AH6" s="17" t="n"/>
      <c r="AI6" s="17" t="n"/>
      <c r="AJ6" s="17" t="n"/>
      <c r="AK6" s="17" t="n"/>
      <c r="AL6" s="16" t="n">
        <v>-1.481188</v>
      </c>
      <c r="AM6" s="16" t="n">
        <v>-3.21388</v>
      </c>
      <c r="AN6" s="16" t="n">
        <v>796.736008</v>
      </c>
      <c r="AO6" s="16" t="n">
        <v>796.736008</v>
      </c>
      <c r="AQ6" s="1">
        <f>B6</f>
        <v/>
      </c>
      <c r="AR6" s="1">
        <f>C6</f>
        <v/>
      </c>
      <c r="AS6" s="12">
        <f>SUM(AY6:BG6)+BI6+BJ6</f>
        <v/>
      </c>
      <c r="AT6" s="12">
        <f>SUM(AY6:BG6)+BL6+BM6</f>
        <v/>
      </c>
      <c r="AU6" s="5">
        <f>AS6-AT6</f>
        <v/>
      </c>
      <c r="AV6" s="12">
        <f>SUM(AY6:BG6)+BO6+BP6</f>
        <v/>
      </c>
      <c r="AW6" s="12">
        <f>SUM(AY6:BG6)+BR6+BS6</f>
        <v/>
      </c>
      <c r="AX6" s="5">
        <f>AV6-AW6</f>
        <v/>
      </c>
      <c r="AY6" s="5">
        <f>E6/H6*AD6</f>
        <v/>
      </c>
      <c r="AZ6" s="1">
        <f>F6/H6*AD6*-1</f>
        <v/>
      </c>
      <c r="BA6" s="1">
        <f>G6/H6*AC6</f>
        <v/>
      </c>
      <c r="BB6" s="1">
        <f>1/H6*Z6</f>
        <v/>
      </c>
      <c r="BC6" s="1">
        <f>I6/H6*AL6</f>
        <v/>
      </c>
      <c r="BD6" s="1">
        <f>J6/H6*AL6*-1</f>
        <v/>
      </c>
      <c r="BE6" s="1">
        <f>O6/H6/(0.9*8760)</f>
        <v/>
      </c>
      <c r="BF6" s="1">
        <f>P6/H6/(0.9*8760)</f>
        <v/>
      </c>
      <c r="BG6" s="1">
        <f>Q6/H6</f>
        <v/>
      </c>
      <c r="BH6" s="1">
        <f>CE6+CF6+CG6</f>
        <v/>
      </c>
      <c r="BI6" s="1">
        <f>(T6+U6)*-1*M6/H6</f>
        <v/>
      </c>
      <c r="BJ6" s="1">
        <f>BH6*T6</f>
        <v/>
      </c>
      <c r="BK6" s="1">
        <f>CE6+CF6</f>
        <v/>
      </c>
      <c r="BL6" s="1">
        <f>U6*M6*-1/H6</f>
        <v/>
      </c>
      <c r="BM6" s="1">
        <f>BK6*T6</f>
        <v/>
      </c>
      <c r="BN6" s="1">
        <f>SUM(CD6:CH6)</f>
        <v/>
      </c>
      <c r="BO6" s="1">
        <f>(T6+U6)*-1*M6/H6</f>
        <v/>
      </c>
      <c r="BP6" s="1">
        <f>BN6*T6</f>
        <v/>
      </c>
      <c r="BQ6" s="1">
        <f>CD6+CE6+CF6+CH6</f>
        <v/>
      </c>
      <c r="BR6" s="1">
        <f>M6/H6*U6*-1</f>
        <v/>
      </c>
      <c r="BS6" s="1">
        <f>T6*BQ6</f>
        <v/>
      </c>
      <c r="BU6" s="9" t="n">
        <v>3.14</v>
      </c>
      <c r="BV6" s="10" t="n">
        <v>0.2218110024</v>
      </c>
      <c r="BW6" s="9" t="n">
        <v>0.18104824</v>
      </c>
      <c r="BX6" s="9" t="n">
        <v>0.015714286</v>
      </c>
      <c r="BZ6" s="10">
        <f>1/H6*BV6</f>
        <v/>
      </c>
      <c r="CA6" s="10">
        <f>I6/H6*BW6</f>
        <v/>
      </c>
      <c r="CB6" s="10">
        <f>BZ6+CA6</f>
        <v/>
      </c>
      <c r="CD6" s="10">
        <f>BU6</f>
        <v/>
      </c>
      <c r="CE6" s="10">
        <f>J6/H6*BW6</f>
        <v/>
      </c>
      <c r="CF6" s="10">
        <f>(CB6-CD6-CE6-CH6)*(1-D6)</f>
        <v/>
      </c>
      <c r="CG6" s="10">
        <f>(CB6-CD6-CE6-CH6)*D6</f>
        <v/>
      </c>
      <c r="CH6" s="10">
        <f>BX6*R6</f>
        <v/>
      </c>
      <c r="CI6" s="10">
        <f>SUM(CD6:CH6)</f>
        <v/>
      </c>
      <c r="CK6" s="1">
        <f>CI6-CB6</f>
        <v/>
      </c>
    </row>
    <row r="7">
      <c r="B7" s="14" t="inlineStr">
        <is>
          <t>NCEN_TSC</t>
        </is>
      </c>
      <c r="C7" s="13" t="inlineStr">
        <is>
          <t>Ethane</t>
        </is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0.05310189724</v>
      </c>
      <c r="I7" s="13" t="n">
        <v>0.02270169876</v>
      </c>
      <c r="J7" s="13" t="n">
        <v>0</v>
      </c>
      <c r="K7" s="13" t="n"/>
      <c r="L7" s="13" t="n"/>
      <c r="M7" s="11">
        <f>CG7*H7</f>
        <v/>
      </c>
      <c r="N7" s="11">
        <f>CF7*H7</f>
        <v/>
      </c>
      <c r="O7" s="13" t="n">
        <v>99124.32016</v>
      </c>
      <c r="P7" s="13" t="n">
        <v>54251.99777</v>
      </c>
      <c r="Q7" s="13" t="n">
        <v>1.676159756</v>
      </c>
      <c r="R7" s="11" t="n">
        <v>0.2020556</v>
      </c>
      <c r="T7" s="16" t="n">
        <v>99.913298</v>
      </c>
      <c r="U7" s="16" t="n">
        <v>-6.08881</v>
      </c>
      <c r="V7" s="16" t="n">
        <v>66.12049500000001</v>
      </c>
      <c r="W7" s="16" t="n">
        <v>43.630616</v>
      </c>
      <c r="X7" s="16" t="n">
        <v>43.105329</v>
      </c>
      <c r="Y7" s="22" t="n">
        <v>420</v>
      </c>
      <c r="Z7" s="11" t="n">
        <v>21.9863533</v>
      </c>
      <c r="AA7" s="17" t="n"/>
      <c r="AB7" s="17" t="n"/>
      <c r="AC7" s="16" t="n">
        <v>22.136932</v>
      </c>
      <c r="AD7" s="16" t="n">
        <v>6.801534</v>
      </c>
      <c r="AE7" s="16" t="n"/>
      <c r="AF7" s="17" t="n"/>
      <c r="AG7" s="17" t="n"/>
      <c r="AH7" s="17" t="n"/>
      <c r="AI7" s="17" t="n"/>
      <c r="AJ7" s="17" t="n"/>
      <c r="AK7" s="17" t="n"/>
      <c r="AL7" s="16" t="n">
        <v>-0.824778</v>
      </c>
      <c r="AM7" s="16" t="n">
        <v>-3.075704</v>
      </c>
      <c r="AN7" s="16" t="n">
        <v>796.736008</v>
      </c>
      <c r="AO7" s="16" t="n">
        <v>796.736008</v>
      </c>
      <c r="AQ7" s="1">
        <f>B7</f>
        <v/>
      </c>
      <c r="AR7" s="1">
        <f>C7</f>
        <v/>
      </c>
      <c r="AS7" s="12">
        <f>SUM(AY7:BG7)+BI7+BJ7</f>
        <v/>
      </c>
      <c r="AT7" s="12">
        <f>SUM(AY7:BG7)+BL7+BM7</f>
        <v/>
      </c>
      <c r="AU7" s="5">
        <f>AS7-AT7</f>
        <v/>
      </c>
      <c r="AV7" s="12">
        <f>SUM(AY7:BG7)+BO7+BP7</f>
        <v/>
      </c>
      <c r="AW7" s="12">
        <f>SUM(AY7:BG7)+BR7+BS7</f>
        <v/>
      </c>
      <c r="AX7" s="5">
        <f>AV7-AW7</f>
        <v/>
      </c>
      <c r="AY7" s="5">
        <f>E7/H7*AD7</f>
        <v/>
      </c>
      <c r="AZ7" s="1">
        <f>F7/H7*AD7*-1</f>
        <v/>
      </c>
      <c r="BA7" s="1">
        <f>G7/H7*AC7</f>
        <v/>
      </c>
      <c r="BB7" s="1">
        <f>1/H7*Z7</f>
        <v/>
      </c>
      <c r="BC7" s="1">
        <f>I7/H7*AL7</f>
        <v/>
      </c>
      <c r="BD7" s="1">
        <f>J7/H7*AL7*-1</f>
        <v/>
      </c>
      <c r="BE7" s="1">
        <f>O7/H7/(0.9*8760)</f>
        <v/>
      </c>
      <c r="BF7" s="1">
        <f>P7/H7/(0.9*8760)</f>
        <v/>
      </c>
      <c r="BG7" s="1">
        <f>Q7/H7</f>
        <v/>
      </c>
      <c r="BH7" s="1">
        <f>CE7+CF7+CG7</f>
        <v/>
      </c>
      <c r="BI7" s="1">
        <f>(T7+U7)*-1*M7/H7</f>
        <v/>
      </c>
      <c r="BJ7" s="1">
        <f>BH7*T7</f>
        <v/>
      </c>
      <c r="BK7" s="1">
        <f>CE7+CF7</f>
        <v/>
      </c>
      <c r="BL7" s="1">
        <f>U7*M7*-1/H7</f>
        <v/>
      </c>
      <c r="BM7" s="1">
        <f>BK7*T7</f>
        <v/>
      </c>
      <c r="BN7" s="1">
        <f>SUM(CD7:CH7)</f>
        <v/>
      </c>
      <c r="BO7" s="1">
        <f>(T7+U7)*-1*M7/H7</f>
        <v/>
      </c>
      <c r="BP7" s="1">
        <f>BN7*T7</f>
        <v/>
      </c>
      <c r="BQ7" s="1">
        <f>CD7+CE7+CF7+CH7</f>
        <v/>
      </c>
      <c r="BR7" s="1">
        <f>M7/H7*U7*-1</f>
        <v/>
      </c>
      <c r="BS7" s="1">
        <f>T7*BQ7</f>
        <v/>
      </c>
      <c r="BU7" s="9" t="n">
        <v>3.14</v>
      </c>
      <c r="BV7" s="10" t="n">
        <v>0.2218110024</v>
      </c>
      <c r="BW7" s="9" t="n">
        <v>0.18104824</v>
      </c>
      <c r="BX7" s="9" t="n">
        <v>0.015714286</v>
      </c>
      <c r="BZ7" s="10">
        <f>1/H7*BV7</f>
        <v/>
      </c>
      <c r="CA7" s="10">
        <f>I7/H7*BW7</f>
        <v/>
      </c>
      <c r="CB7" s="10">
        <f>BZ7+CA7</f>
        <v/>
      </c>
      <c r="CD7" s="10">
        <f>BU7</f>
        <v/>
      </c>
      <c r="CE7" s="10">
        <f>J7/H7*BW7</f>
        <v/>
      </c>
      <c r="CF7" s="10">
        <f>(CB7-CD7-CE7-CH7)*(1-D7)</f>
        <v/>
      </c>
      <c r="CG7" s="10">
        <f>(CB7-CD7-CE7-CH7)*D7</f>
        <v/>
      </c>
      <c r="CH7" s="10">
        <f>BX7*R7</f>
        <v/>
      </c>
      <c r="CI7" s="10">
        <f>SUM(CD7:CH7)</f>
        <v/>
      </c>
      <c r="CK7" s="1">
        <f>CI7-CB7</f>
        <v/>
      </c>
    </row>
    <row r="8">
      <c r="B8" s="14" t="inlineStr">
        <is>
          <t>CEN_TSC</t>
        </is>
      </c>
      <c r="C8" s="13" t="inlineStr">
        <is>
          <t>Ethane</t>
        </is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0.05310189724</v>
      </c>
      <c r="I8" s="13" t="n">
        <v>0.02270169876</v>
      </c>
      <c r="J8" s="13" t="n">
        <v>0</v>
      </c>
      <c r="K8" s="13" t="n"/>
      <c r="L8" s="13" t="n"/>
      <c r="M8" s="11">
        <f>CG8*H8</f>
        <v/>
      </c>
      <c r="N8" s="11">
        <f>CF8*H8</f>
        <v/>
      </c>
      <c r="O8" s="13" t="n">
        <v>99124.32016</v>
      </c>
      <c r="P8" s="13" t="n">
        <v>54251.99777</v>
      </c>
      <c r="Q8" s="13" t="n">
        <v>1.676159756</v>
      </c>
      <c r="R8" s="11" t="n">
        <v>0.2020556</v>
      </c>
      <c r="T8" s="16" t="n">
        <v>99.913298</v>
      </c>
      <c r="U8" s="16" t="n">
        <v>-6.197641</v>
      </c>
      <c r="V8" s="16" t="n">
        <v>65.135812</v>
      </c>
      <c r="W8" s="16" t="n">
        <v>43.37233</v>
      </c>
      <c r="X8" s="16" t="n">
        <v>42.438418</v>
      </c>
      <c r="Y8" s="22" t="n">
        <v>420</v>
      </c>
      <c r="Z8" s="11" t="n">
        <v>21.9863533</v>
      </c>
      <c r="AA8" s="17" t="n"/>
      <c r="AB8" s="17" t="n"/>
      <c r="AC8" s="16" t="n">
        <v>21.530919</v>
      </c>
      <c r="AD8" s="16" t="n">
        <v>6.288532</v>
      </c>
      <c r="AE8" s="16" t="n"/>
      <c r="AF8" s="17" t="n"/>
      <c r="AG8" s="17" t="n"/>
      <c r="AH8" s="17" t="n"/>
      <c r="AI8" s="17" t="n"/>
      <c r="AJ8" s="17" t="n"/>
      <c r="AK8" s="17" t="n"/>
      <c r="AL8" s="16" t="n">
        <v>-1.431457</v>
      </c>
      <c r="AM8" s="16" t="n">
        <v>-3.351826</v>
      </c>
      <c r="AN8" s="16" t="n">
        <v>796.736008</v>
      </c>
      <c r="AO8" s="16" t="n">
        <v>796.736008</v>
      </c>
      <c r="AQ8" s="1">
        <f>B8</f>
        <v/>
      </c>
      <c r="AR8" s="1">
        <f>C8</f>
        <v/>
      </c>
      <c r="AS8" s="12">
        <f>SUM(AY8:BG8)+BI8+BJ8</f>
        <v/>
      </c>
      <c r="AT8" s="12">
        <f>SUM(AY8:BG8)+BL8+BM8</f>
        <v/>
      </c>
      <c r="AU8" s="5">
        <f>AS8-AT8</f>
        <v/>
      </c>
      <c r="AV8" s="12">
        <f>SUM(AY8:BG8)+BO8+BP8</f>
        <v/>
      </c>
      <c r="AW8" s="12">
        <f>SUM(AY8:BG8)+BR8+BS8</f>
        <v/>
      </c>
      <c r="AX8" s="5">
        <f>AV8-AW8</f>
        <v/>
      </c>
      <c r="AY8" s="5">
        <f>E8/H8*AD8</f>
        <v/>
      </c>
      <c r="AZ8" s="1">
        <f>F8/H8*AD8*-1</f>
        <v/>
      </c>
      <c r="BA8" s="1">
        <f>G8/H8*AC8</f>
        <v/>
      </c>
      <c r="BB8" s="1">
        <f>1/H8*Z8</f>
        <v/>
      </c>
      <c r="BC8" s="1">
        <f>I8/H8*AL8</f>
        <v/>
      </c>
      <c r="BD8" s="1">
        <f>J8/H8*AL8*-1</f>
        <v/>
      </c>
      <c r="BE8" s="1">
        <f>O8/H8/(0.9*8760)</f>
        <v/>
      </c>
      <c r="BF8" s="1">
        <f>P8/H8/(0.9*8760)</f>
        <v/>
      </c>
      <c r="BG8" s="1">
        <f>Q8/H8</f>
        <v/>
      </c>
      <c r="BH8" s="1">
        <f>CE8+CF8+CG8</f>
        <v/>
      </c>
      <c r="BI8" s="1">
        <f>(T8+U8)*-1*M8/H8</f>
        <v/>
      </c>
      <c r="BJ8" s="1">
        <f>BH8*T8</f>
        <v/>
      </c>
      <c r="BK8" s="1">
        <f>CE8+CF8</f>
        <v/>
      </c>
      <c r="BL8" s="1">
        <f>U8*M8*-1/H8</f>
        <v/>
      </c>
      <c r="BM8" s="1">
        <f>BK8*T8</f>
        <v/>
      </c>
      <c r="BN8" s="1">
        <f>SUM(CD8:CH8)</f>
        <v/>
      </c>
      <c r="BO8" s="1">
        <f>(T8+U8)*-1*M8/H8</f>
        <v/>
      </c>
      <c r="BP8" s="1">
        <f>BN8*T8</f>
        <v/>
      </c>
      <c r="BQ8" s="1">
        <f>CD8+CE8+CF8+CH8</f>
        <v/>
      </c>
      <c r="BR8" s="1">
        <f>M8/H8*U8*-1</f>
        <v/>
      </c>
      <c r="BS8" s="1">
        <f>T8*BQ8</f>
        <v/>
      </c>
      <c r="BU8" s="9" t="n">
        <v>3.14</v>
      </c>
      <c r="BV8" s="10" t="n">
        <v>0.2218110024</v>
      </c>
      <c r="BW8" s="9" t="n">
        <v>0.18104824</v>
      </c>
      <c r="BX8" s="9" t="n">
        <v>0.015714286</v>
      </c>
      <c r="BZ8" s="10">
        <f>1/H8*BV8</f>
        <v/>
      </c>
      <c r="CA8" s="10">
        <f>I8/H8*BW8</f>
        <v/>
      </c>
      <c r="CB8" s="10">
        <f>BZ8+CA8</f>
        <v/>
      </c>
      <c r="CD8" s="10">
        <f>BU8</f>
        <v/>
      </c>
      <c r="CE8" s="10">
        <f>J8/H8*BW8</f>
        <v/>
      </c>
      <c r="CF8" s="10">
        <f>(CB8-CD8-CE8-CH8)*(1-D8)</f>
        <v/>
      </c>
      <c r="CG8" s="10">
        <f>(CB8-CD8-CE8-CH8)*D8</f>
        <v/>
      </c>
      <c r="CH8" s="10">
        <f>BX8*R8</f>
        <v/>
      </c>
      <c r="CI8" s="10">
        <f>SUM(CD8:CH8)</f>
        <v/>
      </c>
      <c r="CK8" s="1">
        <f>CI8-CB8</f>
        <v/>
      </c>
    </row>
    <row r="9">
      <c r="B9" s="14" t="inlineStr">
        <is>
          <t>SE_TSC</t>
        </is>
      </c>
      <c r="C9" s="13" t="inlineStr">
        <is>
          <t>Ethane</t>
        </is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0.05310189724</v>
      </c>
      <c r="I9" s="13" t="n">
        <v>0.02270169876</v>
      </c>
      <c r="J9" s="13" t="n">
        <v>0</v>
      </c>
      <c r="K9" s="13" t="n"/>
      <c r="L9" s="13" t="n"/>
      <c r="M9" s="11">
        <f>CG9*H9</f>
        <v/>
      </c>
      <c r="N9" s="11">
        <f>CF9*H9</f>
        <v/>
      </c>
      <c r="O9" s="13" t="n">
        <v>99124.32016</v>
      </c>
      <c r="P9" s="13" t="n">
        <v>54251.99777</v>
      </c>
      <c r="Q9" s="13" t="n">
        <v>1.676159756</v>
      </c>
      <c r="R9" s="11" t="n">
        <v>0.2020556</v>
      </c>
      <c r="T9" s="16" t="n">
        <v>99.913298</v>
      </c>
      <c r="U9" s="16" t="n">
        <v>-6.084348</v>
      </c>
      <c r="V9" s="16" t="n">
        <v>64.97039700000001</v>
      </c>
      <c r="W9" s="16" t="n">
        <v>43.861592</v>
      </c>
      <c r="X9" s="16" t="n">
        <v>39.255601</v>
      </c>
      <c r="Y9" s="22" t="n">
        <v>420</v>
      </c>
      <c r="Z9" s="11" t="n">
        <v>21.9863533</v>
      </c>
      <c r="AA9" s="17" t="n"/>
      <c r="AB9" s="17" t="n"/>
      <c r="AC9" s="16" t="n">
        <v>21.109138</v>
      </c>
      <c r="AD9" s="16" t="n">
        <v>6.240639</v>
      </c>
      <c r="AE9" s="16" t="n"/>
      <c r="AF9" s="17" t="n"/>
      <c r="AG9" s="17" t="n"/>
      <c r="AH9" s="17" t="n"/>
      <c r="AI9" s="17" t="n"/>
      <c r="AJ9" s="17" t="n"/>
      <c r="AK9" s="17" t="n"/>
      <c r="AL9" s="16" t="n">
        <v>-1.452344</v>
      </c>
      <c r="AM9" s="16" t="n">
        <v>-3.071509</v>
      </c>
      <c r="AN9" s="16" t="n">
        <v>796.736008</v>
      </c>
      <c r="AO9" s="16" t="n">
        <v>796.736008</v>
      </c>
      <c r="AQ9" s="1">
        <f>B9</f>
        <v/>
      </c>
      <c r="AR9" s="1">
        <f>C9</f>
        <v/>
      </c>
      <c r="AS9" s="12">
        <f>SUM(AY9:BG9)+BI9+BJ9</f>
        <v/>
      </c>
      <c r="AT9" s="12">
        <f>SUM(AY9:BG9)+BL9+BM9</f>
        <v/>
      </c>
      <c r="AU9" s="5">
        <f>AS9-AT9</f>
        <v/>
      </c>
      <c r="AV9" s="12">
        <f>SUM(AY9:BG9)+BO9+BP9</f>
        <v/>
      </c>
      <c r="AW9" s="12">
        <f>SUM(AY9:BG9)+BR9+BS9</f>
        <v/>
      </c>
      <c r="AX9" s="5">
        <f>AV9-AW9</f>
        <v/>
      </c>
      <c r="AY9" s="5">
        <f>E9/H9*AD9</f>
        <v/>
      </c>
      <c r="AZ9" s="1">
        <f>F9/H9*AD9*-1</f>
        <v/>
      </c>
      <c r="BA9" s="1">
        <f>G9/H9*AC9</f>
        <v/>
      </c>
      <c r="BB9" s="1">
        <f>1/H9*Z9</f>
        <v/>
      </c>
      <c r="BC9" s="1">
        <f>I9/H9*AL9</f>
        <v/>
      </c>
      <c r="BD9" s="1">
        <f>J9/H9*AL9*-1</f>
        <v/>
      </c>
      <c r="BE9" s="1">
        <f>O9/H9/(0.9*8760)</f>
        <v/>
      </c>
      <c r="BF9" s="1">
        <f>P9/H9/(0.9*8760)</f>
        <v/>
      </c>
      <c r="BG9" s="1">
        <f>Q9/H9</f>
        <v/>
      </c>
      <c r="BH9" s="1">
        <f>CE9+CF9+CG9</f>
        <v/>
      </c>
      <c r="BI9" s="1">
        <f>(T9+U9)*-1*M9/H9</f>
        <v/>
      </c>
      <c r="BJ9" s="1">
        <f>BH9*T9</f>
        <v/>
      </c>
      <c r="BK9" s="1">
        <f>CE9+CF9</f>
        <v/>
      </c>
      <c r="BL9" s="1">
        <f>U9*M9*-1/H9</f>
        <v/>
      </c>
      <c r="BM9" s="1">
        <f>BK9*T9</f>
        <v/>
      </c>
      <c r="BN9" s="1">
        <f>SUM(CD9:CH9)</f>
        <v/>
      </c>
      <c r="BO9" s="1">
        <f>(T9+U9)*-1*M9/H9</f>
        <v/>
      </c>
      <c r="BP9" s="1">
        <f>BN9*T9</f>
        <v/>
      </c>
      <c r="BQ9" s="1">
        <f>CD9+CE9+CF9+CH9</f>
        <v/>
      </c>
      <c r="BR9" s="1">
        <f>M9/H9*U9*-1</f>
        <v/>
      </c>
      <c r="BS9" s="1">
        <f>T9*BQ9</f>
        <v/>
      </c>
      <c r="BU9" s="9" t="n">
        <v>3.14</v>
      </c>
      <c r="BV9" s="10" t="n">
        <v>0.2218110024</v>
      </c>
      <c r="BW9" s="9" t="n">
        <v>0.18104824</v>
      </c>
      <c r="BX9" s="9" t="n">
        <v>0.015714286</v>
      </c>
      <c r="BZ9" s="10">
        <f>1/H9*BV9</f>
        <v/>
      </c>
      <c r="CA9" s="10">
        <f>I9/H9*BW9</f>
        <v/>
      </c>
      <c r="CB9" s="10">
        <f>BZ9+CA9</f>
        <v/>
      </c>
      <c r="CD9" s="10">
        <f>BU9</f>
        <v/>
      </c>
      <c r="CE9" s="10">
        <f>J9/H9*BW9</f>
        <v/>
      </c>
      <c r="CF9" s="10">
        <f>(CB9-CD9-CE9-CH9)*(1-D9)</f>
        <v/>
      </c>
      <c r="CG9" s="10">
        <f>(CB9-CD9-CE9-CH9)*D9</f>
        <v/>
      </c>
      <c r="CH9" s="10">
        <f>BX9*R9</f>
        <v/>
      </c>
      <c r="CI9" s="10">
        <f>SUM(CD9:CH9)</f>
        <v/>
      </c>
      <c r="CK9" s="1">
        <f>CI9-CB9</f>
        <v/>
      </c>
    </row>
    <row r="10">
      <c r="B10" s="14" t="inlineStr">
        <is>
          <t>MIDAT_TSC</t>
        </is>
      </c>
      <c r="C10" s="13" t="inlineStr">
        <is>
          <t>Ethane</t>
        </is>
      </c>
      <c r="D10" s="13" t="n">
        <v>0</v>
      </c>
      <c r="E10" s="13" t="n">
        <v>0</v>
      </c>
      <c r="F10" s="13" t="n">
        <v>0</v>
      </c>
      <c r="G10" s="13" t="n">
        <v>0</v>
      </c>
      <c r="H10" s="13" t="n">
        <v>0.05310189724</v>
      </c>
      <c r="I10" s="13" t="n">
        <v>0.02270169876</v>
      </c>
      <c r="J10" s="13" t="n">
        <v>0</v>
      </c>
      <c r="K10" s="13" t="n"/>
      <c r="L10" s="13" t="n"/>
      <c r="M10" s="11">
        <f>CG10*H10</f>
        <v/>
      </c>
      <c r="N10" s="11">
        <f>CF10*H10</f>
        <v/>
      </c>
      <c r="O10" s="13" t="n">
        <v>99124.32016</v>
      </c>
      <c r="P10" s="13" t="n">
        <v>54251.99777</v>
      </c>
      <c r="Q10" s="13" t="n">
        <v>1.676159756</v>
      </c>
      <c r="R10" s="11" t="n">
        <v>0.2020556</v>
      </c>
      <c r="T10" s="16" t="n">
        <v>99.913298</v>
      </c>
      <c r="U10" s="16" t="n">
        <v>-15.650257</v>
      </c>
      <c r="V10" s="16" t="n">
        <v>63.953341</v>
      </c>
      <c r="W10" s="16" t="n">
        <v>39.720462</v>
      </c>
      <c r="X10" s="16" t="n">
        <v>40.53758</v>
      </c>
      <c r="Y10" s="22" t="n">
        <v>420</v>
      </c>
      <c r="Z10" s="11" t="n">
        <v>21.9863533</v>
      </c>
      <c r="AA10" s="17" t="n"/>
      <c r="AB10" s="17" t="n"/>
      <c r="AC10" s="16" t="n">
        <v>21.699949</v>
      </c>
      <c r="AD10" s="16" t="n">
        <v>8.045609000000001</v>
      </c>
      <c r="AE10" s="16" t="n"/>
      <c r="AF10" s="17" t="n"/>
      <c r="AG10" s="17" t="n"/>
      <c r="AH10" s="17" t="n"/>
      <c r="AI10" s="17" t="n"/>
      <c r="AJ10" s="17" t="n"/>
      <c r="AK10" s="17" t="n"/>
      <c r="AL10" s="16" t="n">
        <v>-0.930222</v>
      </c>
      <c r="AM10" s="16" t="n">
        <v>-2.781275</v>
      </c>
      <c r="AN10" s="16" t="n">
        <v>796.736008</v>
      </c>
      <c r="AO10" s="16" t="n">
        <v>796.736008</v>
      </c>
      <c r="AQ10" s="1">
        <f>B10</f>
        <v/>
      </c>
      <c r="AR10" s="1">
        <f>C10</f>
        <v/>
      </c>
      <c r="AS10" s="12">
        <f>SUM(AY10:BG10)+BI10+BJ10</f>
        <v/>
      </c>
      <c r="AT10" s="12">
        <f>SUM(AY10:BG10)+BL10+BM10</f>
        <v/>
      </c>
      <c r="AU10" s="5">
        <f>AS10-AT10</f>
        <v/>
      </c>
      <c r="AV10" s="12">
        <f>SUM(AY10:BG10)+BO10+BP10</f>
        <v/>
      </c>
      <c r="AW10" s="12">
        <f>SUM(AY10:BG10)+BR10+BS10</f>
        <v/>
      </c>
      <c r="AX10" s="5">
        <f>AV10-AW10</f>
        <v/>
      </c>
      <c r="AY10" s="5">
        <f>E10/H10*AD10</f>
        <v/>
      </c>
      <c r="AZ10" s="1">
        <f>F10/H10*AD10*-1</f>
        <v/>
      </c>
      <c r="BA10" s="1">
        <f>G10/H10*AC10</f>
        <v/>
      </c>
      <c r="BB10" s="1">
        <f>1/H10*Z10</f>
        <v/>
      </c>
      <c r="BC10" s="1">
        <f>I10/H10*AL10</f>
        <v/>
      </c>
      <c r="BD10" s="1">
        <f>J10/H10*AL10*-1</f>
        <v/>
      </c>
      <c r="BE10" s="1">
        <f>O10/H10/(0.9*8760)</f>
        <v/>
      </c>
      <c r="BF10" s="1">
        <f>P10/H10/(0.9*8760)</f>
        <v/>
      </c>
      <c r="BG10" s="1">
        <f>Q10/H10</f>
        <v/>
      </c>
      <c r="BH10" s="1">
        <f>CE10+CF10+CG10</f>
        <v/>
      </c>
      <c r="BI10" s="1">
        <f>(T10+U10)*-1*M10/H10</f>
        <v/>
      </c>
      <c r="BJ10" s="1">
        <f>BH10*T10</f>
        <v/>
      </c>
      <c r="BK10" s="1">
        <f>CE10+CF10</f>
        <v/>
      </c>
      <c r="BL10" s="1">
        <f>U10*M10*-1/H10</f>
        <v/>
      </c>
      <c r="BM10" s="1">
        <f>BK10*T10</f>
        <v/>
      </c>
      <c r="BN10" s="1">
        <f>SUM(CD10:CH10)</f>
        <v/>
      </c>
      <c r="BO10" s="1">
        <f>(T10+U10)*-1*M10/H10</f>
        <v/>
      </c>
      <c r="BP10" s="1">
        <f>BN10*T10</f>
        <v/>
      </c>
      <c r="BQ10" s="1">
        <f>CD10+CE10+CF10+CH10</f>
        <v/>
      </c>
      <c r="BR10" s="1">
        <f>M10/H10*U10*-1</f>
        <v/>
      </c>
      <c r="BS10" s="1">
        <f>T10*BQ10</f>
        <v/>
      </c>
      <c r="BU10" s="9" t="n">
        <v>3.14</v>
      </c>
      <c r="BV10" s="10" t="n">
        <v>0.2218110024</v>
      </c>
      <c r="BW10" s="9" t="n">
        <v>0.18104824</v>
      </c>
      <c r="BX10" s="9" t="n">
        <v>0.015714286</v>
      </c>
      <c r="BZ10" s="10">
        <f>1/H10*BV10</f>
        <v/>
      </c>
      <c r="CA10" s="10">
        <f>I10/H10*BW10</f>
        <v/>
      </c>
      <c r="CB10" s="10">
        <f>BZ10+CA10</f>
        <v/>
      </c>
      <c r="CD10" s="10">
        <f>BU10</f>
        <v/>
      </c>
      <c r="CE10" s="10">
        <f>J10/H10*BW10</f>
        <v/>
      </c>
      <c r="CF10" s="10">
        <f>(CB10-CD10-CE10-CH10)*(1-D10)</f>
        <v/>
      </c>
      <c r="CG10" s="10">
        <f>(CB10-CD10-CE10-CH10)*D10</f>
        <v/>
      </c>
      <c r="CH10" s="10">
        <f>BX10*R10</f>
        <v/>
      </c>
      <c r="CI10" s="10">
        <f>SUM(CD10:CH10)</f>
        <v/>
      </c>
      <c r="CK10" s="1">
        <f>CI10-CB10</f>
        <v/>
      </c>
    </row>
    <row r="11">
      <c r="B11" s="14" t="inlineStr">
        <is>
          <t>NE_TSC</t>
        </is>
      </c>
      <c r="C11" s="13" t="inlineStr">
        <is>
          <t>Ethane</t>
        </is>
      </c>
      <c r="D11" s="13" t="n">
        <v>0</v>
      </c>
      <c r="E11" s="13" t="n">
        <v>0</v>
      </c>
      <c r="F11" s="13" t="n">
        <v>0</v>
      </c>
      <c r="G11" s="13" t="n">
        <v>0</v>
      </c>
      <c r="H11" s="13" t="n">
        <v>0.05310189724</v>
      </c>
      <c r="I11" s="13" t="n">
        <v>0.02270169876</v>
      </c>
      <c r="J11" s="13" t="n">
        <v>0</v>
      </c>
      <c r="K11" s="13" t="n"/>
      <c r="L11" s="13" t="n"/>
      <c r="M11" s="11">
        <f>CG11*H11</f>
        <v/>
      </c>
      <c r="N11" s="11">
        <f>CF11*H11</f>
        <v/>
      </c>
      <c r="O11" s="13" t="n">
        <v>99124.32016</v>
      </c>
      <c r="P11" s="13" t="n">
        <v>54251.99777</v>
      </c>
      <c r="Q11" s="13" t="n">
        <v>1.676159756</v>
      </c>
      <c r="R11" s="11" t="n">
        <v>0.2020556</v>
      </c>
      <c r="T11" s="16" t="n">
        <v>99.913298</v>
      </c>
      <c r="U11" s="16" t="n">
        <v>-21.727401</v>
      </c>
      <c r="V11" s="16" t="n">
        <v>66.936657</v>
      </c>
      <c r="W11" s="16" t="n">
        <v>41.693039</v>
      </c>
      <c r="X11" s="16" t="n">
        <v>41.333943</v>
      </c>
      <c r="Y11" s="22" t="n">
        <v>420</v>
      </c>
      <c r="Z11" s="11" t="n">
        <v>21.9863533</v>
      </c>
      <c r="AA11" s="17" t="n"/>
      <c r="AB11" s="17" t="n"/>
      <c r="AC11" s="16" t="n">
        <v>20.978032</v>
      </c>
      <c r="AD11" s="16" t="n">
        <v>12.546751</v>
      </c>
      <c r="AE11" s="16" t="n"/>
      <c r="AF11" s="17" t="n"/>
      <c r="AG11" s="17" t="n"/>
      <c r="AH11" s="17" t="n"/>
      <c r="AI11" s="17" t="n"/>
      <c r="AJ11" s="17" t="n"/>
      <c r="AK11" s="17" t="n"/>
      <c r="AL11" s="16" t="n">
        <v>5.888729</v>
      </c>
      <c r="AM11" s="16" t="n">
        <v>0</v>
      </c>
      <c r="AN11" s="16" t="n">
        <v>796.736008</v>
      </c>
      <c r="AO11" s="16" t="n">
        <v>0</v>
      </c>
      <c r="AQ11" s="1">
        <f>B11</f>
        <v/>
      </c>
      <c r="AR11" s="1">
        <f>C11</f>
        <v/>
      </c>
      <c r="AS11" s="12">
        <f>SUM(AY11:BG11)+BI11+BJ11</f>
        <v/>
      </c>
      <c r="AT11" s="12">
        <f>SUM(AY11:BG11)+BL11+BM11</f>
        <v/>
      </c>
      <c r="AU11" s="5">
        <f>AS11-AT11</f>
        <v/>
      </c>
      <c r="AV11" s="12">
        <f>SUM(AY11:BG11)+BO11+BP11</f>
        <v/>
      </c>
      <c r="AW11" s="12">
        <f>SUM(AY11:BG11)+BR11+BS11</f>
        <v/>
      </c>
      <c r="AX11" s="5">
        <f>AV11-AW11</f>
        <v/>
      </c>
      <c r="AY11" s="5">
        <f>E11/H11*AD11</f>
        <v/>
      </c>
      <c r="AZ11" s="1">
        <f>F11/H11*AD11*-1</f>
        <v/>
      </c>
      <c r="BA11" s="1">
        <f>G11/H11*AC11</f>
        <v/>
      </c>
      <c r="BB11" s="1">
        <f>1/H11*Z11</f>
        <v/>
      </c>
      <c r="BC11" s="1">
        <f>I11/H11*AL11</f>
        <v/>
      </c>
      <c r="BD11" s="1">
        <f>J11/H11*AL11*-1</f>
        <v/>
      </c>
      <c r="BE11" s="1">
        <f>O11/H11/(0.9*8760)</f>
        <v/>
      </c>
      <c r="BF11" s="1">
        <f>P11/H11/(0.9*8760)</f>
        <v/>
      </c>
      <c r="BG11" s="1">
        <f>Q11/H11</f>
        <v/>
      </c>
      <c r="BH11" s="1">
        <f>CE11+CF11+CG11</f>
        <v/>
      </c>
      <c r="BI11" s="1">
        <f>(T11+U11)*-1*M11/H11</f>
        <v/>
      </c>
      <c r="BJ11" s="1">
        <f>BH11*T11</f>
        <v/>
      </c>
      <c r="BK11" s="1">
        <f>CE11+CF11</f>
        <v/>
      </c>
      <c r="BL11" s="1">
        <f>U11*M11*-1/H11</f>
        <v/>
      </c>
      <c r="BM11" s="1">
        <f>BK11*T11</f>
        <v/>
      </c>
      <c r="BN11" s="1">
        <f>SUM(CD11:CH11)</f>
        <v/>
      </c>
      <c r="BO11" s="1">
        <f>(T11+U11)*-1*M11/H11</f>
        <v/>
      </c>
      <c r="BP11" s="1">
        <f>BN11*T11</f>
        <v/>
      </c>
      <c r="BQ11" s="1">
        <f>CD11+CE11+CF11+CH11</f>
        <v/>
      </c>
      <c r="BR11" s="1">
        <f>M11/H11*U11*-1</f>
        <v/>
      </c>
      <c r="BS11" s="1">
        <f>T11*BQ11</f>
        <v/>
      </c>
      <c r="BU11" s="9" t="n">
        <v>3.14</v>
      </c>
      <c r="BV11" s="10" t="n">
        <v>0.2218110024</v>
      </c>
      <c r="BW11" s="9" t="n">
        <v>0.18104824</v>
      </c>
      <c r="BX11" s="9" t="n">
        <v>0.015714286</v>
      </c>
      <c r="BZ11" s="10">
        <f>1/H11*BV11</f>
        <v/>
      </c>
      <c r="CA11" s="10">
        <f>I11/H11*BW11</f>
        <v/>
      </c>
      <c r="CB11" s="10">
        <f>BZ11+CA11</f>
        <v/>
      </c>
      <c r="CD11" s="10">
        <f>BU11</f>
        <v/>
      </c>
      <c r="CE11" s="10">
        <f>J11/H11*BW11</f>
        <v/>
      </c>
      <c r="CF11" s="10">
        <f>(CB11-CD11-CE11-CH11)*(1-D11)</f>
        <v/>
      </c>
      <c r="CG11" s="10">
        <f>(CB11-CD11-CE11-CH11)*D11</f>
        <v/>
      </c>
      <c r="CH11" s="10">
        <f>BX11*R11</f>
        <v/>
      </c>
      <c r="CI11" s="10">
        <f>SUM(CD11:CH11)</f>
        <v/>
      </c>
      <c r="CK11" s="1">
        <f>CI11-CB11</f>
        <v/>
      </c>
    </row>
    <row r="12">
      <c r="B12" s="14" t="inlineStr">
        <is>
          <t>CA_TSC+CC90</t>
        </is>
      </c>
      <c r="C12" s="13" t="inlineStr">
        <is>
          <t>Ethane</t>
        </is>
      </c>
      <c r="D12" s="13" t="n">
        <v>0.9</v>
      </c>
      <c r="E12" s="13" t="n">
        <v>0</v>
      </c>
      <c r="F12" s="13" t="n">
        <v>0</v>
      </c>
      <c r="G12" s="13" t="n">
        <v>0.008052966438000001</v>
      </c>
      <c r="H12" s="13" t="n">
        <v>0.05310189724</v>
      </c>
      <c r="I12" s="13" t="n">
        <v>0.02270169876</v>
      </c>
      <c r="J12" s="13" t="n">
        <v>0</v>
      </c>
      <c r="K12" s="13" t="n"/>
      <c r="L12" s="13" t="n"/>
      <c r="M12" s="11">
        <f>CG12*H12</f>
        <v/>
      </c>
      <c r="N12" s="11">
        <f>CF12*H12</f>
        <v/>
      </c>
      <c r="O12" s="13" t="n">
        <v>106875.1697</v>
      </c>
      <c r="P12" s="13" t="n">
        <v>58496.38728</v>
      </c>
      <c r="Q12" s="13" t="n">
        <v>1.807224085</v>
      </c>
      <c r="R12" s="11" t="n">
        <v>0.2020556</v>
      </c>
      <c r="T12" s="16" t="n">
        <v>99.913298</v>
      </c>
      <c r="U12" s="16" t="n">
        <v>-5.387721</v>
      </c>
      <c r="V12" s="16" t="n">
        <v>69.443859</v>
      </c>
      <c r="W12" s="16" t="n">
        <v>44.089523</v>
      </c>
      <c r="X12" s="16" t="n">
        <v>38.115627</v>
      </c>
      <c r="Y12" s="22" t="n">
        <v>420</v>
      </c>
      <c r="Z12" s="11" t="n">
        <v>21.9863533</v>
      </c>
      <c r="AA12" s="17" t="n"/>
      <c r="AB12" s="17" t="n"/>
      <c r="AC12" s="16" t="n">
        <v>19.219858</v>
      </c>
      <c r="AD12" s="16" t="n">
        <v>4.641256</v>
      </c>
      <c r="AE12" s="16" t="n"/>
      <c r="AF12" s="17" t="n"/>
      <c r="AG12" s="17" t="n"/>
      <c r="AH12" s="17" t="n"/>
      <c r="AI12" s="17" t="n"/>
      <c r="AJ12" s="17" t="n"/>
      <c r="AK12" s="17" t="n"/>
      <c r="AL12" s="16" t="n">
        <v>-3.135876</v>
      </c>
      <c r="AM12" s="16" t="n">
        <v>-4.519557</v>
      </c>
      <c r="AN12" s="16" t="n">
        <v>796.736008</v>
      </c>
      <c r="AO12" s="16" t="n">
        <v>0</v>
      </c>
      <c r="AQ12" s="1">
        <f>B12</f>
        <v/>
      </c>
      <c r="AR12" s="1">
        <f>C12</f>
        <v/>
      </c>
      <c r="AS12" s="12">
        <f>SUM(AY12:BG12)+BI12+BJ12</f>
        <v/>
      </c>
      <c r="AT12" s="12">
        <f>SUM(AY12:BG12)+BL12+BM12</f>
        <v/>
      </c>
      <c r="AU12" s="5">
        <f>AS12-AT12</f>
        <v/>
      </c>
      <c r="AV12" s="12">
        <f>SUM(AY12:BG12)+BO12+BP12</f>
        <v/>
      </c>
      <c r="AW12" s="12">
        <f>SUM(AY12:BG12)+BR12+BS12</f>
        <v/>
      </c>
      <c r="AX12" s="5">
        <f>AV12-AW12</f>
        <v/>
      </c>
      <c r="AY12" s="5">
        <f>E12/H12*AD12</f>
        <v/>
      </c>
      <c r="AZ12" s="1">
        <f>F12/H12*AD12*-1</f>
        <v/>
      </c>
      <c r="BA12" s="1">
        <f>G12/H12*AC12</f>
        <v/>
      </c>
      <c r="BB12" s="1">
        <f>1/H12*Z12</f>
        <v/>
      </c>
      <c r="BC12" s="1">
        <f>I12/H12*AL12</f>
        <v/>
      </c>
      <c r="BD12" s="1">
        <f>J12/H12*AL12*-1</f>
        <v/>
      </c>
      <c r="BE12" s="1">
        <f>O12/H12/(0.9*8760)</f>
        <v/>
      </c>
      <c r="BF12" s="1">
        <f>P12/H12/(0.9*8760)</f>
        <v/>
      </c>
      <c r="BG12" s="1">
        <f>Q12/H12</f>
        <v/>
      </c>
      <c r="BH12" s="1">
        <f>CE12+CF12+CG12</f>
        <v/>
      </c>
      <c r="BI12" s="1">
        <f>(T12+U12)*-1*M12/H12</f>
        <v/>
      </c>
      <c r="BJ12" s="1">
        <f>BH12*T12</f>
        <v/>
      </c>
      <c r="BK12" s="1">
        <f>CE12+CF12</f>
        <v/>
      </c>
      <c r="BL12" s="1">
        <f>U12*M12*-1/H12</f>
        <v/>
      </c>
      <c r="BM12" s="1">
        <f>BK12*T12</f>
        <v/>
      </c>
      <c r="BN12" s="1">
        <f>SUM(CD12:CH12)</f>
        <v/>
      </c>
      <c r="BO12" s="1">
        <f>(T12+U12)*-1*M12/H12</f>
        <v/>
      </c>
      <c r="BP12" s="1">
        <f>BN12*T12</f>
        <v/>
      </c>
      <c r="BQ12" s="1">
        <f>CD12+CE12+CF12+CH12</f>
        <v/>
      </c>
      <c r="BR12" s="1">
        <f>M12/H12*U12*-1</f>
        <v/>
      </c>
      <c r="BS12" s="1">
        <f>T12*BQ12</f>
        <v/>
      </c>
      <c r="BU12" s="9" t="n">
        <v>3.14</v>
      </c>
      <c r="BV12" s="10" t="n">
        <v>0.2218110024</v>
      </c>
      <c r="BW12" s="9" t="n">
        <v>0.18104824</v>
      </c>
      <c r="BX12" s="9" t="n">
        <v>0.015714286</v>
      </c>
      <c r="BZ12" s="10">
        <f>1/H12*BV12</f>
        <v/>
      </c>
      <c r="CA12" s="10">
        <f>I12/H12*BW12</f>
        <v/>
      </c>
      <c r="CB12" s="10">
        <f>BZ12+CA12</f>
        <v/>
      </c>
      <c r="CD12" s="10">
        <f>BU12</f>
        <v/>
      </c>
      <c r="CE12" s="10">
        <f>J12/H12*BW12</f>
        <v/>
      </c>
      <c r="CF12" s="10">
        <f>(CB12-CD12-CE12-CH12)*(1-D12)</f>
        <v/>
      </c>
      <c r="CG12" s="10">
        <f>(CB12-CD12-CE12-CH12)*D12</f>
        <v/>
      </c>
      <c r="CH12" s="10">
        <f>BX12*R12</f>
        <v/>
      </c>
      <c r="CI12" s="10">
        <f>SUM(CD12:CH12)</f>
        <v/>
      </c>
      <c r="CK12" s="1">
        <f>CI12-CB12</f>
        <v/>
      </c>
    </row>
    <row r="13">
      <c r="B13" s="14" t="inlineStr">
        <is>
          <t>CA_TSC:H2</t>
        </is>
      </c>
      <c r="C13" s="13" t="inlineStr">
        <is>
          <t>Ethane</t>
        </is>
      </c>
      <c r="D13" s="13" t="n">
        <v>0</v>
      </c>
      <c r="E13" s="13" t="n">
        <v>0</v>
      </c>
      <c r="F13" s="13" t="n">
        <v>0.1598531434</v>
      </c>
      <c r="G13" s="13" t="n">
        <v>0</v>
      </c>
      <c r="H13" s="13" t="n">
        <v>0.05310189724</v>
      </c>
      <c r="I13" s="13" t="n">
        <v>0.1318322859</v>
      </c>
      <c r="J13" s="13" t="n">
        <v>0</v>
      </c>
      <c r="K13" s="13" t="n"/>
      <c r="L13" s="13" t="n"/>
      <c r="M13" s="11">
        <f>CG13*H13</f>
        <v/>
      </c>
      <c r="N13" s="11">
        <f>CF13*H13</f>
        <v/>
      </c>
      <c r="O13" s="13" t="n">
        <v>99124.32016</v>
      </c>
      <c r="P13" s="13" t="n">
        <v>54251.99777</v>
      </c>
      <c r="Q13" s="13" t="n">
        <v>1.676159756</v>
      </c>
      <c r="R13" s="11" t="n">
        <v>0.2020556</v>
      </c>
      <c r="T13" s="16" t="n">
        <v>99.913298</v>
      </c>
      <c r="U13" s="16" t="n">
        <v>-5.387721</v>
      </c>
      <c r="V13" s="16" t="n">
        <v>69.443859</v>
      </c>
      <c r="W13" s="16" t="n">
        <v>44.089523</v>
      </c>
      <c r="X13" s="16" t="n">
        <v>38.115627</v>
      </c>
      <c r="Y13" s="22" t="n">
        <v>420</v>
      </c>
      <c r="Z13" s="11" t="n">
        <v>21.9863533</v>
      </c>
      <c r="AA13" s="17" t="n"/>
      <c r="AB13" s="17" t="n"/>
      <c r="AC13" s="16" t="n">
        <v>19.219858</v>
      </c>
      <c r="AD13" s="16" t="n">
        <v>4.641256</v>
      </c>
      <c r="AE13" s="16" t="n"/>
      <c r="AF13" s="17" t="n"/>
      <c r="AG13" s="17" t="n"/>
      <c r="AH13" s="17" t="n"/>
      <c r="AI13" s="17" t="n"/>
      <c r="AJ13" s="17" t="n"/>
      <c r="AK13" s="17" t="n"/>
      <c r="AL13" s="16" t="n">
        <v>-3.135876</v>
      </c>
      <c r="AM13" s="16" t="n">
        <v>-4.519557</v>
      </c>
      <c r="AN13" s="16" t="n">
        <v>796.736008</v>
      </c>
      <c r="AO13" s="16" t="n">
        <v>0</v>
      </c>
      <c r="AQ13" s="1">
        <f>B13</f>
        <v/>
      </c>
      <c r="AR13" s="1">
        <f>C13</f>
        <v/>
      </c>
      <c r="AS13" s="12">
        <f>SUM(AY13:BG13)+BI13+BJ13</f>
        <v/>
      </c>
      <c r="AT13" s="12">
        <f>SUM(AY13:BG13)+BL13+BM13</f>
        <v/>
      </c>
      <c r="AU13" s="5">
        <f>AS13-AT13</f>
        <v/>
      </c>
      <c r="AV13" s="12">
        <f>SUM(AY13:BG13)+BO13+BP13</f>
        <v/>
      </c>
      <c r="AW13" s="12">
        <f>SUM(AY13:BG13)+BR13+BS13</f>
        <v/>
      </c>
      <c r="AX13" s="5">
        <f>AV13-AW13</f>
        <v/>
      </c>
      <c r="AY13" s="5">
        <f>E13/H13*AD13</f>
        <v/>
      </c>
      <c r="AZ13" s="1">
        <f>F13/H13*AD13*-1</f>
        <v/>
      </c>
      <c r="BA13" s="1">
        <f>G13/H13*AC13</f>
        <v/>
      </c>
      <c r="BB13" s="1">
        <f>1/H13*Z13</f>
        <v/>
      </c>
      <c r="BC13" s="1">
        <f>I13/H13*AL13</f>
        <v/>
      </c>
      <c r="BD13" s="1">
        <f>J13/H13*AL13*-1</f>
        <v/>
      </c>
      <c r="BE13" s="1">
        <f>O13/H13/(0.9*8760)</f>
        <v/>
      </c>
      <c r="BF13" s="1">
        <f>P13/H13/(0.9*8760)</f>
        <v/>
      </c>
      <c r="BG13" s="1">
        <f>Q13/H13</f>
        <v/>
      </c>
      <c r="BH13" s="1">
        <f>CE13+CF13+CG13</f>
        <v/>
      </c>
      <c r="BI13" s="1">
        <f>(T13+U13)*-1*M13/H13</f>
        <v/>
      </c>
      <c r="BJ13" s="1">
        <f>BH13*T13</f>
        <v/>
      </c>
      <c r="BK13" s="1">
        <f>CE13+CF13</f>
        <v/>
      </c>
      <c r="BL13" s="1">
        <f>U13*M13*-1/H13</f>
        <v/>
      </c>
      <c r="BM13" s="1">
        <f>BK13*T13</f>
        <v/>
      </c>
      <c r="BN13" s="1">
        <f>SUM(CD13:CH13)</f>
        <v/>
      </c>
      <c r="BO13" s="1">
        <f>(T13+U13)*-1*M13/H13</f>
        <v/>
      </c>
      <c r="BP13" s="1">
        <f>BN13*T13</f>
        <v/>
      </c>
      <c r="BQ13" s="1">
        <f>CD13+CE13+CF13+CH13</f>
        <v/>
      </c>
      <c r="BR13" s="1">
        <f>M13/H13*U13*-1</f>
        <v/>
      </c>
      <c r="BS13" s="1">
        <f>T13*BQ13</f>
        <v/>
      </c>
      <c r="BU13" s="9" t="n">
        <v>3.14</v>
      </c>
      <c r="BV13" s="10" t="n">
        <v>0.2218110024</v>
      </c>
      <c r="BW13" s="9" t="n">
        <v>0.18104824</v>
      </c>
      <c r="BX13" s="9" t="n">
        <v>0.015714286</v>
      </c>
      <c r="BZ13" s="10">
        <f>1/H13*BV13</f>
        <v/>
      </c>
      <c r="CA13" s="10">
        <f>I13/H13*BW13</f>
        <v/>
      </c>
      <c r="CB13" s="10">
        <f>BZ13+CA13</f>
        <v/>
      </c>
      <c r="CD13" s="10">
        <f>BU13</f>
        <v/>
      </c>
      <c r="CE13" s="10">
        <f>J13/H13*BW13</f>
        <v/>
      </c>
      <c r="CF13" s="10">
        <f>(CB13-CD13-CE13-CH13)*(1-D13)</f>
        <v/>
      </c>
      <c r="CG13" s="10">
        <f>(CB13-CD13-CE13-CH13)*D13</f>
        <v/>
      </c>
      <c r="CH13" s="10">
        <f>BX13*R13</f>
        <v/>
      </c>
      <c r="CI13" s="10">
        <f>SUM(CD13:CH13)</f>
        <v/>
      </c>
      <c r="CK13" s="1">
        <f>CI13-CB13</f>
        <v/>
      </c>
    </row>
    <row r="14">
      <c r="B14" s="14" t="inlineStr">
        <is>
          <t>CA_TSC+CC90:H2</t>
        </is>
      </c>
      <c r="C14" s="13" t="inlineStr">
        <is>
          <t>Ethane</t>
        </is>
      </c>
      <c r="D14" s="13" t="n">
        <v>0.9</v>
      </c>
      <c r="E14" s="13" t="n">
        <v>0</v>
      </c>
      <c r="F14" s="13" t="n">
        <v>0.1598531434</v>
      </c>
      <c r="G14" s="13" t="n">
        <v>0.009388736698</v>
      </c>
      <c r="H14" s="13" t="n">
        <v>0.05310189724</v>
      </c>
      <c r="I14" s="13" t="n">
        <v>0.1318322859</v>
      </c>
      <c r="J14" s="13" t="n">
        <v>0</v>
      </c>
      <c r="K14" s="13" t="n"/>
      <c r="L14" s="13" t="n"/>
      <c r="M14" s="11">
        <f>CG14*H14</f>
        <v/>
      </c>
      <c r="N14" s="11">
        <f>CF14*H14</f>
        <v/>
      </c>
      <c r="O14" s="13" t="n">
        <v>106900.9741</v>
      </c>
      <c r="P14" s="13" t="n">
        <v>58510.18581</v>
      </c>
      <c r="Q14" s="13" t="n">
        <v>1.807660423</v>
      </c>
      <c r="R14" s="11" t="n">
        <v>0.2020556</v>
      </c>
      <c r="T14" s="16" t="n">
        <v>99.913298</v>
      </c>
      <c r="U14" s="16" t="n">
        <v>-5.387721</v>
      </c>
      <c r="V14" s="16" t="n">
        <v>69.443859</v>
      </c>
      <c r="W14" s="16" t="n">
        <v>44.089523</v>
      </c>
      <c r="X14" s="16" t="n">
        <v>38.115627</v>
      </c>
      <c r="Y14" s="22" t="n">
        <v>420</v>
      </c>
      <c r="Z14" s="11" t="n">
        <v>21.9863533</v>
      </c>
      <c r="AA14" s="17" t="n"/>
      <c r="AB14" s="17" t="n"/>
      <c r="AC14" s="16" t="n">
        <v>19.219858</v>
      </c>
      <c r="AD14" s="16" t="n">
        <v>4.641256</v>
      </c>
      <c r="AE14" s="16" t="n"/>
      <c r="AF14" s="17" t="n"/>
      <c r="AG14" s="17" t="n"/>
      <c r="AH14" s="17" t="n"/>
      <c r="AI14" s="17" t="n"/>
      <c r="AJ14" s="17" t="n"/>
      <c r="AK14" s="17" t="n"/>
      <c r="AL14" s="16" t="n">
        <v>-3.135876</v>
      </c>
      <c r="AM14" s="16" t="n">
        <v>-4.519557</v>
      </c>
      <c r="AN14" s="16" t="n">
        <v>796.736008</v>
      </c>
      <c r="AO14" s="16" t="n">
        <v>0</v>
      </c>
      <c r="AQ14" s="1">
        <f>B14</f>
        <v/>
      </c>
      <c r="AR14" s="1">
        <f>C14</f>
        <v/>
      </c>
      <c r="AS14" s="12">
        <f>SUM(AY14:BG14)+BI14+BJ14</f>
        <v/>
      </c>
      <c r="AT14" s="12">
        <f>SUM(AY14:BG14)+BL14+BM14</f>
        <v/>
      </c>
      <c r="AU14" s="5">
        <f>AS14-AT14</f>
        <v/>
      </c>
      <c r="AV14" s="12">
        <f>SUM(AY14:BG14)+BO14+BP14</f>
        <v/>
      </c>
      <c r="AW14" s="12">
        <f>SUM(AY14:BG14)+BR14+BS14</f>
        <v/>
      </c>
      <c r="AX14" s="5">
        <f>AV14-AW14</f>
        <v/>
      </c>
      <c r="AY14" s="5">
        <f>E14/H14*AD14</f>
        <v/>
      </c>
      <c r="AZ14" s="1">
        <f>F14/H14*AD14*-1</f>
        <v/>
      </c>
      <c r="BA14" s="1">
        <f>G14/H14*AC14</f>
        <v/>
      </c>
      <c r="BB14" s="1">
        <f>1/H14*Z14</f>
        <v/>
      </c>
      <c r="BC14" s="1">
        <f>I14/H14*AL14</f>
        <v/>
      </c>
      <c r="BD14" s="1">
        <f>J14/H14*AL14*-1</f>
        <v/>
      </c>
      <c r="BE14" s="1">
        <f>O14/H14/(0.9*8760)</f>
        <v/>
      </c>
      <c r="BF14" s="1">
        <f>P14/H14/(0.9*8760)</f>
        <v/>
      </c>
      <c r="BG14" s="1">
        <f>Q14/H14</f>
        <v/>
      </c>
      <c r="BH14" s="1">
        <f>CE14+CF14+CG14</f>
        <v/>
      </c>
      <c r="BI14" s="1">
        <f>(T14+U14)*-1*M14/H14</f>
        <v/>
      </c>
      <c r="BJ14" s="1">
        <f>BH14*T14</f>
        <v/>
      </c>
      <c r="BK14" s="1">
        <f>CE14+CF14</f>
        <v/>
      </c>
      <c r="BL14" s="1">
        <f>U14*M14*-1/H14</f>
        <v/>
      </c>
      <c r="BM14" s="1">
        <f>BK14*T14</f>
        <v/>
      </c>
      <c r="BN14" s="1">
        <f>SUM(CD14:CH14)</f>
        <v/>
      </c>
      <c r="BO14" s="1">
        <f>(T14+U14)*-1*M14/H14</f>
        <v/>
      </c>
      <c r="BP14" s="1">
        <f>BN14*T14</f>
        <v/>
      </c>
      <c r="BQ14" s="1">
        <f>CD14+CE14+CF14+CH14</f>
        <v/>
      </c>
      <c r="BR14" s="1">
        <f>M14/H14*U14*-1</f>
        <v/>
      </c>
      <c r="BS14" s="1">
        <f>T14*BQ14</f>
        <v/>
      </c>
      <c r="BU14" s="9" t="n">
        <v>3.14</v>
      </c>
      <c r="BV14" s="10" t="n">
        <v>0.2218110024</v>
      </c>
      <c r="BW14" s="9" t="n">
        <v>0.18104824</v>
      </c>
      <c r="BX14" s="9" t="n">
        <v>0.015714286</v>
      </c>
      <c r="BZ14" s="10">
        <f>1/H14*BV14</f>
        <v/>
      </c>
      <c r="CA14" s="10">
        <f>I14/H14*BW14</f>
        <v/>
      </c>
      <c r="CB14" s="10">
        <f>BZ14+CA14</f>
        <v/>
      </c>
      <c r="CD14" s="10">
        <f>BU14</f>
        <v/>
      </c>
      <c r="CE14" s="10">
        <f>J14/H14*BW14</f>
        <v/>
      </c>
      <c r="CF14" s="10">
        <f>(CB14-CD14-CE14-CH14)*(1-D14)</f>
        <v/>
      </c>
      <c r="CG14" s="10">
        <f>(CB14-CD14-CE14-CH14)*D14</f>
        <v/>
      </c>
      <c r="CH14" s="10">
        <f>BX14*R14</f>
        <v/>
      </c>
      <c r="CI14" s="10">
        <f>SUM(CD14:CH14)</f>
        <v/>
      </c>
      <c r="CK14" s="1">
        <f>CI14-CB14</f>
        <v/>
      </c>
    </row>
    <row r="15">
      <c r="B15" s="14" t="inlineStr">
        <is>
          <t>CA_TSC+H2in</t>
        </is>
      </c>
      <c r="C15" s="13" t="inlineStr">
        <is>
          <t>Ethane</t>
        </is>
      </c>
      <c r="D15" s="13" t="n">
        <v>0</v>
      </c>
      <c r="E15" s="13" t="n">
        <v>0.02226644157</v>
      </c>
      <c r="F15" s="13" t="n">
        <v>0</v>
      </c>
      <c r="G15" s="13" t="n">
        <v>0</v>
      </c>
      <c r="H15" s="13" t="n">
        <v>0.05310189724</v>
      </c>
      <c r="I15" s="13" t="n">
        <v>0</v>
      </c>
      <c r="J15" s="13" t="n">
        <v>0</v>
      </c>
      <c r="K15" s="13" t="n"/>
      <c r="L15" s="13" t="n"/>
      <c r="M15" s="11">
        <f>CG15*H15</f>
        <v/>
      </c>
      <c r="N15" s="11">
        <f>CF15*H15</f>
        <v/>
      </c>
      <c r="O15" s="13" t="n">
        <v>99124.32016</v>
      </c>
      <c r="P15" s="13" t="n">
        <v>54251.99777</v>
      </c>
      <c r="Q15" s="13" t="n">
        <v>1.676159756</v>
      </c>
      <c r="R15" s="11" t="n">
        <v>0.2020556</v>
      </c>
      <c r="T15" s="16" t="n">
        <v>99.913298</v>
      </c>
      <c r="U15" s="16" t="n">
        <v>-5.387721</v>
      </c>
      <c r="V15" s="16" t="n">
        <v>69.443859</v>
      </c>
      <c r="W15" s="16" t="n">
        <v>44.089523</v>
      </c>
      <c r="X15" s="16" t="n">
        <v>38.115627</v>
      </c>
      <c r="Y15" s="22" t="n">
        <v>420</v>
      </c>
      <c r="Z15" s="11" t="n">
        <v>21.9863533</v>
      </c>
      <c r="AA15" s="17" t="n"/>
      <c r="AB15" s="17" t="n"/>
      <c r="AC15" s="16" t="n">
        <v>19.219858</v>
      </c>
      <c r="AD15" s="16" t="n">
        <v>4.641256</v>
      </c>
      <c r="AE15" s="16" t="n"/>
      <c r="AF15" s="17" t="n"/>
      <c r="AG15" s="17" t="n"/>
      <c r="AH15" s="17" t="n"/>
      <c r="AI15" s="17" t="n"/>
      <c r="AJ15" s="17" t="n"/>
      <c r="AK15" s="17" t="n"/>
      <c r="AL15" s="16" t="n">
        <v>-3.135876</v>
      </c>
      <c r="AM15" s="16" t="n">
        <v>-4.519557</v>
      </c>
      <c r="AN15" s="16" t="n">
        <v>796.736008</v>
      </c>
      <c r="AO15" s="16" t="n">
        <v>0</v>
      </c>
      <c r="AQ15" s="1">
        <f>B15</f>
        <v/>
      </c>
      <c r="AR15" s="1">
        <f>C15</f>
        <v/>
      </c>
      <c r="AS15" s="12">
        <f>SUM(AY15:BG15)+BI15+BJ15</f>
        <v/>
      </c>
      <c r="AT15" s="12">
        <f>SUM(AY15:BG15)+BL15+BM15</f>
        <v/>
      </c>
      <c r="AU15" s="5">
        <f>AS15-AT15</f>
        <v/>
      </c>
      <c r="AV15" s="12">
        <f>SUM(AY15:BG15)+BO15+BP15</f>
        <v/>
      </c>
      <c r="AW15" s="12">
        <f>SUM(AY15:BG15)+BR15+BS15</f>
        <v/>
      </c>
      <c r="AX15" s="5">
        <f>AV15-AW15</f>
        <v/>
      </c>
      <c r="AY15" s="5">
        <f>E15/H15*AD15</f>
        <v/>
      </c>
      <c r="AZ15" s="1">
        <f>F15/H15*AD15*-1</f>
        <v/>
      </c>
      <c r="BA15" s="1">
        <f>G15/H15*AC15</f>
        <v/>
      </c>
      <c r="BB15" s="1">
        <f>1/H15*Z15</f>
        <v/>
      </c>
      <c r="BC15" s="1">
        <f>I15/H15*AL15</f>
        <v/>
      </c>
      <c r="BD15" s="1">
        <f>J15/H15*AL15*-1</f>
        <v/>
      </c>
      <c r="BE15" s="1">
        <f>O15/H15/(0.9*8760)</f>
        <v/>
      </c>
      <c r="BF15" s="1">
        <f>P15/H15/(0.9*8760)</f>
        <v/>
      </c>
      <c r="BG15" s="1">
        <f>Q15/H15</f>
        <v/>
      </c>
      <c r="BH15" s="1">
        <f>CE15+CF15+CG15</f>
        <v/>
      </c>
      <c r="BI15" s="1">
        <f>(T15+U15)*-1*M15/H15</f>
        <v/>
      </c>
      <c r="BJ15" s="1">
        <f>BH15*T15</f>
        <v/>
      </c>
      <c r="BK15" s="1">
        <f>CE15+CF15</f>
        <v/>
      </c>
      <c r="BL15" s="1">
        <f>U15*M15*-1/H15</f>
        <v/>
      </c>
      <c r="BM15" s="1">
        <f>BK15*T15</f>
        <v/>
      </c>
      <c r="BN15" s="1">
        <f>SUM(CD15:CH15)</f>
        <v/>
      </c>
      <c r="BO15" s="1">
        <f>(T15+U15)*-1*M15/H15</f>
        <v/>
      </c>
      <c r="BP15" s="1">
        <f>BN15*T15</f>
        <v/>
      </c>
      <c r="BQ15" s="1">
        <f>CD15+CE15+CF15+CH15</f>
        <v/>
      </c>
      <c r="BR15" s="1">
        <f>M15/H15*U15*-1</f>
        <v/>
      </c>
      <c r="BS15" s="1">
        <f>T15*BQ15</f>
        <v/>
      </c>
      <c r="BU15" s="9" t="n">
        <v>3.14</v>
      </c>
      <c r="BV15" s="10" t="n">
        <v>0.2218110024</v>
      </c>
      <c r="BW15" s="9" t="n">
        <v>0.18104824</v>
      </c>
      <c r="BX15" s="9" t="n">
        <v>0.015714286</v>
      </c>
      <c r="BZ15" s="10">
        <f>1/H15*BV15</f>
        <v/>
      </c>
      <c r="CA15" s="10">
        <f>I15/H15*BW15</f>
        <v/>
      </c>
      <c r="CB15" s="10">
        <f>BZ15+CA15</f>
        <v/>
      </c>
      <c r="CD15" s="10">
        <f>BU15</f>
        <v/>
      </c>
      <c r="CE15" s="10">
        <f>J15/H15*BW15</f>
        <v/>
      </c>
      <c r="CF15" s="10">
        <f>(CB15-CD15-CE15-CH15)*(1-D15)</f>
        <v/>
      </c>
      <c r="CG15" s="10">
        <f>(CB15-CD15-CE15-CH15)*D15</f>
        <v/>
      </c>
      <c r="CH15" s="10">
        <f>BX15*R15</f>
        <v/>
      </c>
      <c r="CI15" s="10">
        <f>SUM(CD15:CH15)</f>
        <v/>
      </c>
      <c r="CK15" s="1">
        <f>CI15-CB15</f>
        <v/>
      </c>
    </row>
    <row r="16">
      <c r="B16" s="14" t="inlineStr">
        <is>
          <t>CA_TSC+H2in:CH4</t>
        </is>
      </c>
      <c r="C16" s="13" t="inlineStr">
        <is>
          <t>Ethane</t>
        </is>
      </c>
      <c r="D16" s="13" t="n">
        <v>0</v>
      </c>
      <c r="E16" s="13" t="n">
        <v>0.1375867019</v>
      </c>
      <c r="F16" s="13" t="n">
        <v>0</v>
      </c>
      <c r="G16" s="13" t="n">
        <v>0</v>
      </c>
      <c r="H16" s="13" t="n">
        <v>0.05310189724</v>
      </c>
      <c r="I16" s="13" t="n">
        <v>0</v>
      </c>
      <c r="J16" s="13" t="n">
        <v>0.1181424966</v>
      </c>
      <c r="K16" s="13" t="n"/>
      <c r="L16" s="13" t="n"/>
      <c r="M16" s="11">
        <f>CG16*H16</f>
        <v/>
      </c>
      <c r="N16" s="11">
        <f>CF16*H16</f>
        <v/>
      </c>
      <c r="O16" s="13" t="n">
        <v>99124.32016</v>
      </c>
      <c r="P16" s="13" t="n">
        <v>54251.99777</v>
      </c>
      <c r="Q16" s="13" t="n">
        <v>1.676159756</v>
      </c>
      <c r="R16" s="11" t="n">
        <v>0.2020556</v>
      </c>
      <c r="T16" s="16" t="n">
        <v>99.913298</v>
      </c>
      <c r="U16" s="16" t="n">
        <v>-5.387721</v>
      </c>
      <c r="V16" s="16" t="n">
        <v>69.443859</v>
      </c>
      <c r="W16" s="16" t="n">
        <v>44.089523</v>
      </c>
      <c r="X16" s="16" t="n">
        <v>38.115627</v>
      </c>
      <c r="Y16" s="22" t="n">
        <v>420</v>
      </c>
      <c r="Z16" s="11" t="n">
        <v>21.9863533</v>
      </c>
      <c r="AA16" s="17" t="n"/>
      <c r="AB16" s="17" t="n"/>
      <c r="AC16" s="16" t="n">
        <v>19.219858</v>
      </c>
      <c r="AD16" s="16" t="n">
        <v>4.641256</v>
      </c>
      <c r="AE16" s="16" t="n"/>
      <c r="AF16" s="17" t="n"/>
      <c r="AG16" s="17" t="n"/>
      <c r="AH16" s="17" t="n"/>
      <c r="AI16" s="17" t="n"/>
      <c r="AJ16" s="17" t="n"/>
      <c r="AK16" s="17" t="n"/>
      <c r="AL16" s="16" t="n">
        <v>-3.135876</v>
      </c>
      <c r="AM16" s="16" t="n">
        <v>-4.519557</v>
      </c>
      <c r="AN16" s="16" t="n">
        <v>796.736008</v>
      </c>
      <c r="AO16" s="16" t="n">
        <v>0</v>
      </c>
      <c r="AQ16" s="1">
        <f>B16</f>
        <v/>
      </c>
      <c r="AR16" s="1">
        <f>C16</f>
        <v/>
      </c>
      <c r="AS16" s="12">
        <f>SUM(AY16:BG16)+BI16+BJ16</f>
        <v/>
      </c>
      <c r="AT16" s="12">
        <f>SUM(AY16:BG16)+BL16+BM16</f>
        <v/>
      </c>
      <c r="AU16" s="5">
        <f>AS16-AT16</f>
        <v/>
      </c>
      <c r="AV16" s="12">
        <f>SUM(AY16:BG16)+BO16+BP16</f>
        <v/>
      </c>
      <c r="AW16" s="12">
        <f>SUM(AY16:BG16)+BR16+BS16</f>
        <v/>
      </c>
      <c r="AX16" s="5">
        <f>AV16-AW16</f>
        <v/>
      </c>
      <c r="AY16" s="5">
        <f>E16/H16*AD16</f>
        <v/>
      </c>
      <c r="AZ16" s="1">
        <f>F16/H16*AD16*-1</f>
        <v/>
      </c>
      <c r="BA16" s="1">
        <f>G16/H16*AC16</f>
        <v/>
      </c>
      <c r="BB16" s="1">
        <f>1/H16*Z16</f>
        <v/>
      </c>
      <c r="BC16" s="1">
        <f>I16/H16*AL16</f>
        <v/>
      </c>
      <c r="BD16" s="1">
        <f>J16/H16*AL16*-1</f>
        <v/>
      </c>
      <c r="BE16" s="1">
        <f>O16/H16/(0.9*8760)</f>
        <v/>
      </c>
      <c r="BF16" s="1">
        <f>P16/H16/(0.9*8760)</f>
        <v/>
      </c>
      <c r="BG16" s="1">
        <f>Q16/H16</f>
        <v/>
      </c>
      <c r="BH16" s="1">
        <f>CE16+CF16+CG16</f>
        <v/>
      </c>
      <c r="BI16" s="1">
        <f>(T16+U16)*-1*M16/H16</f>
        <v/>
      </c>
      <c r="BJ16" s="1">
        <f>BH16*T16</f>
        <v/>
      </c>
      <c r="BK16" s="1">
        <f>CE16+CF16</f>
        <v/>
      </c>
      <c r="BL16" s="1">
        <f>U16*M16*-1/H16</f>
        <v/>
      </c>
      <c r="BM16" s="1">
        <f>BK16*T16</f>
        <v/>
      </c>
      <c r="BN16" s="1">
        <f>SUM(CD16:CH16)</f>
        <v/>
      </c>
      <c r="BO16" s="1">
        <f>(T16+U16)*-1*M16/H16</f>
        <v/>
      </c>
      <c r="BP16" s="1">
        <f>BN16*T16</f>
        <v/>
      </c>
      <c r="BQ16" s="1">
        <f>CD16+CE16+CF16+CH16</f>
        <v/>
      </c>
      <c r="BR16" s="1">
        <f>M16/H16*U16*-1</f>
        <v/>
      </c>
      <c r="BS16" s="1">
        <f>T16*BQ16</f>
        <v/>
      </c>
      <c r="BU16" s="9" t="n">
        <v>3.14</v>
      </c>
      <c r="BV16" s="10" t="n">
        <v>0.2218110024</v>
      </c>
      <c r="BW16" s="9" t="n">
        <v>0.18104824</v>
      </c>
      <c r="BX16" s="9" t="n">
        <v>0.015714286</v>
      </c>
      <c r="BZ16" s="10">
        <f>1/H16*BV16</f>
        <v/>
      </c>
      <c r="CA16" s="10">
        <f>I16/H16*BW16</f>
        <v/>
      </c>
      <c r="CB16" s="10">
        <f>BZ16+CA16</f>
        <v/>
      </c>
      <c r="CD16" s="10">
        <f>BU16</f>
        <v/>
      </c>
      <c r="CE16" s="10">
        <f>J16/H16*BW16</f>
        <v/>
      </c>
      <c r="CF16" s="10">
        <f>(CB16-CD16-CE16-CH16)*(1-D16)</f>
        <v/>
      </c>
      <c r="CG16" s="10">
        <f>(CB16-CD16-CE16-CH16)*D16</f>
        <v/>
      </c>
      <c r="CH16" s="10">
        <f>BX16*R16</f>
        <v/>
      </c>
      <c r="CI16" s="10">
        <f>SUM(CD16:CH16)</f>
        <v/>
      </c>
      <c r="CK16" s="1">
        <f>CI16-CB16</f>
        <v/>
      </c>
    </row>
    <row r="17">
      <c r="B17" s="14" t="inlineStr">
        <is>
          <t>SW_TSC+CC90</t>
        </is>
      </c>
      <c r="C17" s="13" t="inlineStr">
        <is>
          <t>Ethane</t>
        </is>
      </c>
      <c r="D17" s="13" t="n">
        <v>0.9</v>
      </c>
      <c r="E17" s="13" t="n">
        <v>0</v>
      </c>
      <c r="F17" s="13" t="n">
        <v>0</v>
      </c>
      <c r="G17" s="13" t="n">
        <v>0.008052966438000001</v>
      </c>
      <c r="H17" s="13" t="n">
        <v>0.05310189724</v>
      </c>
      <c r="I17" s="13" t="n">
        <v>0.02270169876</v>
      </c>
      <c r="J17" s="13" t="n">
        <v>0</v>
      </c>
      <c r="K17" s="13" t="n"/>
      <c r="L17" s="13" t="n"/>
      <c r="M17" s="11">
        <f>CG17*H17</f>
        <v/>
      </c>
      <c r="N17" s="11">
        <f>CF17*H17</f>
        <v/>
      </c>
      <c r="O17" s="13" t="n">
        <v>106875.1697</v>
      </c>
      <c r="P17" s="13" t="n">
        <v>58496.38728</v>
      </c>
      <c r="Q17" s="13" t="n">
        <v>1.807224085</v>
      </c>
      <c r="R17" s="11" t="n">
        <v>0.2020556</v>
      </c>
      <c r="T17" s="16" t="n">
        <v>99.913298</v>
      </c>
      <c r="U17" s="16" t="n">
        <v>-5.321206</v>
      </c>
      <c r="V17" s="16" t="n">
        <v>65.718464</v>
      </c>
      <c r="W17" s="16" t="n">
        <v>44.094475</v>
      </c>
      <c r="X17" s="16" t="n">
        <v>41.17053</v>
      </c>
      <c r="Y17" s="22" t="n">
        <v>420</v>
      </c>
      <c r="Z17" s="11" t="n">
        <v>21.9863533</v>
      </c>
      <c r="AA17" s="17" t="n"/>
      <c r="AB17" s="17" t="n"/>
      <c r="AC17" s="16" t="n">
        <v>20.088657</v>
      </c>
      <c r="AD17" s="16" t="n">
        <v>6.238322</v>
      </c>
      <c r="AE17" s="16" t="n"/>
      <c r="AF17" s="17" t="n"/>
      <c r="AG17" s="17" t="n"/>
      <c r="AH17" s="17" t="n"/>
      <c r="AI17" s="17" t="n"/>
      <c r="AJ17" s="17" t="n"/>
      <c r="AK17" s="17" t="n"/>
      <c r="AL17" s="16" t="n">
        <v>-1.277867</v>
      </c>
      <c r="AM17" s="16" t="n">
        <v>-3.020989</v>
      </c>
      <c r="AN17" s="16" t="n">
        <v>796.736008</v>
      </c>
      <c r="AO17" s="16" t="n">
        <v>0</v>
      </c>
      <c r="AQ17" s="1">
        <f>B17</f>
        <v/>
      </c>
      <c r="AR17" s="1">
        <f>C17</f>
        <v/>
      </c>
      <c r="AS17" s="12">
        <f>SUM(AY17:BG17)+BI17+BJ17</f>
        <v/>
      </c>
      <c r="AT17" s="12">
        <f>SUM(AY17:BG17)+BL17+BM17</f>
        <v/>
      </c>
      <c r="AU17" s="5">
        <f>AS17-AT17</f>
        <v/>
      </c>
      <c r="AV17" s="12">
        <f>SUM(AY17:BG17)+BO17+BP17</f>
        <v/>
      </c>
      <c r="AW17" s="12">
        <f>SUM(AY17:BG17)+BR17+BS17</f>
        <v/>
      </c>
      <c r="AX17" s="5">
        <f>AV17-AW17</f>
        <v/>
      </c>
      <c r="AY17" s="5">
        <f>E17/H17*AD17</f>
        <v/>
      </c>
      <c r="AZ17" s="1">
        <f>F17/H17*AD17*-1</f>
        <v/>
      </c>
      <c r="BA17" s="1">
        <f>G17/H17*AC17</f>
        <v/>
      </c>
      <c r="BB17" s="1">
        <f>1/H17*Z17</f>
        <v/>
      </c>
      <c r="BC17" s="1">
        <f>I17/H17*AL17</f>
        <v/>
      </c>
      <c r="BD17" s="1">
        <f>J17/H17*AL17*-1</f>
        <v/>
      </c>
      <c r="BE17" s="1">
        <f>O17/H17/(0.9*8760)</f>
        <v/>
      </c>
      <c r="BF17" s="1">
        <f>P17/H17/(0.9*8760)</f>
        <v/>
      </c>
      <c r="BG17" s="1">
        <f>Q17/H17</f>
        <v/>
      </c>
      <c r="BH17" s="1">
        <f>CE17+CF17+CG17</f>
        <v/>
      </c>
      <c r="BI17" s="1">
        <f>(T17+U17)*-1*M17/H17</f>
        <v/>
      </c>
      <c r="BJ17" s="1">
        <f>BH17*T17</f>
        <v/>
      </c>
      <c r="BK17" s="1">
        <f>CE17+CF17</f>
        <v/>
      </c>
      <c r="BL17" s="1">
        <f>U17*M17*-1/H17</f>
        <v/>
      </c>
      <c r="BM17" s="1">
        <f>BK17*T17</f>
        <v/>
      </c>
      <c r="BN17" s="1">
        <f>SUM(CD17:CH17)</f>
        <v/>
      </c>
      <c r="BO17" s="1">
        <f>(T17+U17)*-1*M17/H17</f>
        <v/>
      </c>
      <c r="BP17" s="1">
        <f>BN17*T17</f>
        <v/>
      </c>
      <c r="BQ17" s="1">
        <f>CD17+CE17+CF17+CH17</f>
        <v/>
      </c>
      <c r="BR17" s="1">
        <f>M17/H17*U17*-1</f>
        <v/>
      </c>
      <c r="BS17" s="1">
        <f>T17*BQ17</f>
        <v/>
      </c>
      <c r="BU17" s="9" t="n">
        <v>3.14</v>
      </c>
      <c r="BV17" s="10" t="n">
        <v>0.2218110024</v>
      </c>
      <c r="BW17" s="9" t="n">
        <v>0.18104824</v>
      </c>
      <c r="BX17" s="9" t="n">
        <v>0.015714286</v>
      </c>
      <c r="BZ17" s="10">
        <f>1/H17*BV17</f>
        <v/>
      </c>
      <c r="CA17" s="10">
        <f>I17/H17*BW17</f>
        <v/>
      </c>
      <c r="CB17" s="10">
        <f>BZ17+CA17</f>
        <v/>
      </c>
      <c r="CD17" s="10">
        <f>BU17</f>
        <v/>
      </c>
      <c r="CE17" s="10">
        <f>J17/H17*BW17</f>
        <v/>
      </c>
      <c r="CF17" s="10">
        <f>(CB17-CD17-CE17-CH17)*(1-D17)</f>
        <v/>
      </c>
      <c r="CG17" s="10">
        <f>(CB17-CD17-CE17-CH17)*D17</f>
        <v/>
      </c>
      <c r="CH17" s="10">
        <f>BX17*R17</f>
        <v/>
      </c>
      <c r="CI17" s="10">
        <f>SUM(CD17:CH17)</f>
        <v/>
      </c>
      <c r="CK17" s="1">
        <f>CI17-CB17</f>
        <v/>
      </c>
    </row>
    <row r="18">
      <c r="B18" s="14" t="inlineStr">
        <is>
          <t>SW_TSC:H2</t>
        </is>
      </c>
      <c r="C18" s="13" t="inlineStr">
        <is>
          <t>Ethane</t>
        </is>
      </c>
      <c r="D18" s="13" t="n">
        <v>0</v>
      </c>
      <c r="E18" s="13" t="n">
        <v>0</v>
      </c>
      <c r="F18" s="13" t="n">
        <v>0.1598531434</v>
      </c>
      <c r="G18" s="13" t="n">
        <v>0</v>
      </c>
      <c r="H18" s="13" t="n">
        <v>0.05310189724</v>
      </c>
      <c r="I18" s="13" t="n">
        <v>0.1318322859</v>
      </c>
      <c r="J18" s="13" t="n">
        <v>0</v>
      </c>
      <c r="K18" s="13" t="n"/>
      <c r="L18" s="13" t="n"/>
      <c r="M18" s="11">
        <f>CG18*H18</f>
        <v/>
      </c>
      <c r="N18" s="11">
        <f>CF18*H18</f>
        <v/>
      </c>
      <c r="O18" s="13" t="n">
        <v>99124.32016</v>
      </c>
      <c r="P18" s="13" t="n">
        <v>54251.99777</v>
      </c>
      <c r="Q18" s="13" t="n">
        <v>1.676159756</v>
      </c>
      <c r="R18" s="11" t="n">
        <v>0.2020556</v>
      </c>
      <c r="T18" s="16" t="n">
        <v>99.913298</v>
      </c>
      <c r="U18" s="16" t="n">
        <v>-5.321206</v>
      </c>
      <c r="V18" s="16" t="n">
        <v>65.718464</v>
      </c>
      <c r="W18" s="16" t="n">
        <v>44.094475</v>
      </c>
      <c r="X18" s="16" t="n">
        <v>41.17053</v>
      </c>
      <c r="Y18" s="22" t="n">
        <v>420</v>
      </c>
      <c r="Z18" s="11" t="n">
        <v>21.9863533</v>
      </c>
      <c r="AA18" s="17" t="n"/>
      <c r="AB18" s="17" t="n"/>
      <c r="AC18" s="16" t="n">
        <v>20.088657</v>
      </c>
      <c r="AD18" s="16" t="n">
        <v>6.238322</v>
      </c>
      <c r="AE18" s="16" t="n"/>
      <c r="AF18" s="17" t="n"/>
      <c r="AG18" s="17" t="n"/>
      <c r="AH18" s="17" t="n"/>
      <c r="AI18" s="17" t="n"/>
      <c r="AJ18" s="17" t="n"/>
      <c r="AK18" s="17" t="n"/>
      <c r="AL18" s="16" t="n">
        <v>-1.277867</v>
      </c>
      <c r="AM18" s="16" t="n">
        <v>-3.020989</v>
      </c>
      <c r="AN18" s="16" t="n">
        <v>796.736008</v>
      </c>
      <c r="AO18" s="16" t="n">
        <v>0</v>
      </c>
      <c r="AQ18" s="1">
        <f>B18</f>
        <v/>
      </c>
      <c r="AR18" s="1">
        <f>C18</f>
        <v/>
      </c>
      <c r="AS18" s="12">
        <f>SUM(AY18:BG18)+BI18+BJ18</f>
        <v/>
      </c>
      <c r="AT18" s="12">
        <f>SUM(AY18:BG18)+BL18+BM18</f>
        <v/>
      </c>
      <c r="AU18" s="5">
        <f>AS18-AT18</f>
        <v/>
      </c>
      <c r="AV18" s="12">
        <f>SUM(AY18:BG18)+BO18+BP18</f>
        <v/>
      </c>
      <c r="AW18" s="12">
        <f>SUM(AY18:BG18)+BR18+BS18</f>
        <v/>
      </c>
      <c r="AX18" s="5">
        <f>AV18-AW18</f>
        <v/>
      </c>
      <c r="AY18" s="5">
        <f>E18/H18*AD18</f>
        <v/>
      </c>
      <c r="AZ18" s="1">
        <f>F18/H18*AD18*-1</f>
        <v/>
      </c>
      <c r="BA18" s="1">
        <f>G18/H18*AC18</f>
        <v/>
      </c>
      <c r="BB18" s="1">
        <f>1/H18*Z18</f>
        <v/>
      </c>
      <c r="BC18" s="1">
        <f>I18/H18*AL18</f>
        <v/>
      </c>
      <c r="BD18" s="1">
        <f>J18/H18*AL18*-1</f>
        <v/>
      </c>
      <c r="BE18" s="1">
        <f>O18/H18/(0.9*8760)</f>
        <v/>
      </c>
      <c r="BF18" s="1">
        <f>P18/H18/(0.9*8760)</f>
        <v/>
      </c>
      <c r="BG18" s="1">
        <f>Q18/H18</f>
        <v/>
      </c>
      <c r="BH18" s="1">
        <f>CE18+CF18+CG18</f>
        <v/>
      </c>
      <c r="BI18" s="1">
        <f>(T18+U18)*-1*M18/H18</f>
        <v/>
      </c>
      <c r="BJ18" s="1">
        <f>BH18*T18</f>
        <v/>
      </c>
      <c r="BK18" s="1">
        <f>CE18+CF18</f>
        <v/>
      </c>
      <c r="BL18" s="1">
        <f>U18*M18*-1/H18</f>
        <v/>
      </c>
      <c r="BM18" s="1">
        <f>BK18*T18</f>
        <v/>
      </c>
      <c r="BN18" s="1">
        <f>SUM(CD18:CH18)</f>
        <v/>
      </c>
      <c r="BO18" s="1">
        <f>(T18+U18)*-1*M18/H18</f>
        <v/>
      </c>
      <c r="BP18" s="1">
        <f>BN18*T18</f>
        <v/>
      </c>
      <c r="BQ18" s="1">
        <f>CD18+CE18+CF18+CH18</f>
        <v/>
      </c>
      <c r="BR18" s="1">
        <f>M18/H18*U18*-1</f>
        <v/>
      </c>
      <c r="BS18" s="1">
        <f>T18*BQ18</f>
        <v/>
      </c>
      <c r="BU18" s="9" t="n">
        <v>3.14</v>
      </c>
      <c r="BV18" s="10" t="n">
        <v>0.2218110024</v>
      </c>
      <c r="BW18" s="9" t="n">
        <v>0.18104824</v>
      </c>
      <c r="BX18" s="9" t="n">
        <v>0.015714286</v>
      </c>
      <c r="BZ18" s="10">
        <f>1/H18*BV18</f>
        <v/>
      </c>
      <c r="CA18" s="10">
        <f>I18/H18*BW18</f>
        <v/>
      </c>
      <c r="CB18" s="10">
        <f>BZ18+CA18</f>
        <v/>
      </c>
      <c r="CD18" s="10">
        <f>BU18</f>
        <v/>
      </c>
      <c r="CE18" s="10">
        <f>J18/H18*BW18</f>
        <v/>
      </c>
      <c r="CF18" s="10">
        <f>(CB18-CD18-CE18-CH18)*(1-D18)</f>
        <v/>
      </c>
      <c r="CG18" s="10">
        <f>(CB18-CD18-CE18-CH18)*D18</f>
        <v/>
      </c>
      <c r="CH18" s="10">
        <f>BX18*R18</f>
        <v/>
      </c>
      <c r="CI18" s="10">
        <f>SUM(CD18:CH18)</f>
        <v/>
      </c>
      <c r="CK18" s="1">
        <f>CI18-CB18</f>
        <v/>
      </c>
    </row>
    <row r="19">
      <c r="B19" s="14" t="inlineStr">
        <is>
          <t>SW_TSC+CC90:H2</t>
        </is>
      </c>
      <c r="C19" s="13" t="inlineStr">
        <is>
          <t>Ethane</t>
        </is>
      </c>
      <c r="D19" s="13" t="n">
        <v>0.9</v>
      </c>
      <c r="E19" s="13" t="n">
        <v>0</v>
      </c>
      <c r="F19" s="13" t="n">
        <v>0.1598531434</v>
      </c>
      <c r="G19" s="13" t="n">
        <v>0.009388736698</v>
      </c>
      <c r="H19" s="13" t="n">
        <v>0.05310189724</v>
      </c>
      <c r="I19" s="13" t="n">
        <v>0.1318322859</v>
      </c>
      <c r="J19" s="13" t="n">
        <v>0</v>
      </c>
      <c r="K19" s="13" t="n"/>
      <c r="L19" s="13" t="n"/>
      <c r="M19" s="11">
        <f>CG19*H19</f>
        <v/>
      </c>
      <c r="N19" s="11">
        <f>CF19*H19</f>
        <v/>
      </c>
      <c r="O19" s="13" t="n">
        <v>106900.9741</v>
      </c>
      <c r="P19" s="13" t="n">
        <v>58510.18581</v>
      </c>
      <c r="Q19" s="13" t="n">
        <v>1.807660423</v>
      </c>
      <c r="R19" s="11" t="n">
        <v>0.2020556</v>
      </c>
      <c r="T19" s="16" t="n">
        <v>99.913298</v>
      </c>
      <c r="U19" s="16" t="n">
        <v>-5.321206</v>
      </c>
      <c r="V19" s="16" t="n">
        <v>65.718464</v>
      </c>
      <c r="W19" s="16" t="n">
        <v>44.094475</v>
      </c>
      <c r="X19" s="16" t="n">
        <v>41.17053</v>
      </c>
      <c r="Y19" s="22" t="n">
        <v>420</v>
      </c>
      <c r="Z19" s="11" t="n">
        <v>21.9863533</v>
      </c>
      <c r="AA19" s="17" t="n"/>
      <c r="AB19" s="17" t="n"/>
      <c r="AC19" s="16" t="n">
        <v>20.088657</v>
      </c>
      <c r="AD19" s="16" t="n">
        <v>6.238322</v>
      </c>
      <c r="AE19" s="16" t="n"/>
      <c r="AF19" s="17" t="n"/>
      <c r="AG19" s="17" t="n"/>
      <c r="AH19" s="17" t="n"/>
      <c r="AI19" s="17" t="n"/>
      <c r="AJ19" s="17" t="n"/>
      <c r="AK19" s="17" t="n"/>
      <c r="AL19" s="16" t="n">
        <v>-1.277867</v>
      </c>
      <c r="AM19" s="16" t="n">
        <v>-3.020989</v>
      </c>
      <c r="AN19" s="16" t="n">
        <v>796.736008</v>
      </c>
      <c r="AO19" s="16" t="n">
        <v>0</v>
      </c>
      <c r="AQ19" s="1">
        <f>B19</f>
        <v/>
      </c>
      <c r="AR19" s="1">
        <f>C19</f>
        <v/>
      </c>
      <c r="AS19" s="12">
        <f>SUM(AY19:BG19)+BI19+BJ19</f>
        <v/>
      </c>
      <c r="AT19" s="12">
        <f>SUM(AY19:BG19)+BL19+BM19</f>
        <v/>
      </c>
      <c r="AU19" s="5">
        <f>AS19-AT19</f>
        <v/>
      </c>
      <c r="AV19" s="12">
        <f>SUM(AY19:BG19)+BO19+BP19</f>
        <v/>
      </c>
      <c r="AW19" s="12">
        <f>SUM(AY19:BG19)+BR19+BS19</f>
        <v/>
      </c>
      <c r="AX19" s="5">
        <f>AV19-AW19</f>
        <v/>
      </c>
      <c r="AY19" s="5">
        <f>E19/H19*AD19</f>
        <v/>
      </c>
      <c r="AZ19" s="1">
        <f>F19/H19*AD19*-1</f>
        <v/>
      </c>
      <c r="BA19" s="1">
        <f>G19/H19*AC19</f>
        <v/>
      </c>
      <c r="BB19" s="1">
        <f>1/H19*Z19</f>
        <v/>
      </c>
      <c r="BC19" s="1">
        <f>I19/H19*AL19</f>
        <v/>
      </c>
      <c r="BD19" s="1">
        <f>J19/H19*AL19*-1</f>
        <v/>
      </c>
      <c r="BE19" s="1">
        <f>O19/H19/(0.9*8760)</f>
        <v/>
      </c>
      <c r="BF19" s="1">
        <f>P19/H19/(0.9*8760)</f>
        <v/>
      </c>
      <c r="BG19" s="1">
        <f>Q19/H19</f>
        <v/>
      </c>
      <c r="BH19" s="1">
        <f>CE19+CF19+CG19</f>
        <v/>
      </c>
      <c r="BI19" s="1">
        <f>(T19+U19)*-1*M19/H19</f>
        <v/>
      </c>
      <c r="BJ19" s="1">
        <f>BH19*T19</f>
        <v/>
      </c>
      <c r="BK19" s="1">
        <f>CE19+CF19</f>
        <v/>
      </c>
      <c r="BL19" s="1">
        <f>U19*M19*-1/H19</f>
        <v/>
      </c>
      <c r="BM19" s="1">
        <f>BK19*T19</f>
        <v/>
      </c>
      <c r="BN19" s="1">
        <f>SUM(CD19:CH19)</f>
        <v/>
      </c>
      <c r="BO19" s="1">
        <f>(T19+U19)*-1*M19/H19</f>
        <v/>
      </c>
      <c r="BP19" s="1">
        <f>BN19*T19</f>
        <v/>
      </c>
      <c r="BQ19" s="1">
        <f>CD19+CE19+CF19+CH19</f>
        <v/>
      </c>
      <c r="BR19" s="1">
        <f>M19/H19*U19*-1</f>
        <v/>
      </c>
      <c r="BS19" s="1">
        <f>T19*BQ19</f>
        <v/>
      </c>
      <c r="BU19" s="9" t="n">
        <v>3.14</v>
      </c>
      <c r="BV19" s="10" t="n">
        <v>0.2218110024</v>
      </c>
      <c r="BW19" s="9" t="n">
        <v>0.18104824</v>
      </c>
      <c r="BX19" s="9" t="n">
        <v>0.015714286</v>
      </c>
      <c r="BZ19" s="10">
        <f>1/H19*BV19</f>
        <v/>
      </c>
      <c r="CA19" s="10">
        <f>I19/H19*BW19</f>
        <v/>
      </c>
      <c r="CB19" s="10">
        <f>BZ19+CA19</f>
        <v/>
      </c>
      <c r="CD19" s="10">
        <f>BU19</f>
        <v/>
      </c>
      <c r="CE19" s="10">
        <f>J19/H19*BW19</f>
        <v/>
      </c>
      <c r="CF19" s="10">
        <f>(CB19-CD19-CE19-CH19)*(1-D19)</f>
        <v/>
      </c>
      <c r="CG19" s="10">
        <f>(CB19-CD19-CE19-CH19)*D19</f>
        <v/>
      </c>
      <c r="CH19" s="10">
        <f>BX19*R19</f>
        <v/>
      </c>
      <c r="CI19" s="10">
        <f>SUM(CD19:CH19)</f>
        <v/>
      </c>
      <c r="CK19" s="1">
        <f>CI19-CB19</f>
        <v/>
      </c>
    </row>
    <row r="20">
      <c r="B20" s="14" t="inlineStr">
        <is>
          <t>SW_TSC+H2in</t>
        </is>
      </c>
      <c r="C20" s="13" t="inlineStr">
        <is>
          <t>Ethane</t>
        </is>
      </c>
      <c r="D20" s="13" t="n">
        <v>0</v>
      </c>
      <c r="E20" s="13" t="n">
        <v>0.02226644157</v>
      </c>
      <c r="F20" s="13" t="n">
        <v>0</v>
      </c>
      <c r="G20" s="13" t="n">
        <v>0</v>
      </c>
      <c r="H20" s="13" t="n">
        <v>0.05310189724</v>
      </c>
      <c r="I20" s="13" t="n">
        <v>0</v>
      </c>
      <c r="J20" s="13" t="n">
        <v>0</v>
      </c>
      <c r="K20" s="13" t="n"/>
      <c r="L20" s="13" t="n"/>
      <c r="M20" s="11">
        <f>CG20*H20</f>
        <v/>
      </c>
      <c r="N20" s="11">
        <f>CF20*H20</f>
        <v/>
      </c>
      <c r="O20" s="13" t="n">
        <v>99124.32016</v>
      </c>
      <c r="P20" s="13" t="n">
        <v>54251.99777</v>
      </c>
      <c r="Q20" s="13" t="n">
        <v>1.676159756</v>
      </c>
      <c r="R20" s="11" t="n">
        <v>0.2020556</v>
      </c>
      <c r="T20" s="16" t="n">
        <v>99.913298</v>
      </c>
      <c r="U20" s="16" t="n">
        <v>-5.321206</v>
      </c>
      <c r="V20" s="16" t="n">
        <v>65.718464</v>
      </c>
      <c r="W20" s="16" t="n">
        <v>44.094475</v>
      </c>
      <c r="X20" s="16" t="n">
        <v>41.17053</v>
      </c>
      <c r="Y20" s="22" t="n">
        <v>420</v>
      </c>
      <c r="Z20" s="11" t="n">
        <v>21.9863533</v>
      </c>
      <c r="AA20" s="17" t="n"/>
      <c r="AB20" s="17" t="n"/>
      <c r="AC20" s="16" t="n">
        <v>20.088657</v>
      </c>
      <c r="AD20" s="16" t="n">
        <v>6.238322</v>
      </c>
      <c r="AE20" s="16" t="n"/>
      <c r="AF20" s="17" t="n"/>
      <c r="AG20" s="17" t="n"/>
      <c r="AH20" s="17" t="n"/>
      <c r="AI20" s="17" t="n"/>
      <c r="AJ20" s="17" t="n"/>
      <c r="AK20" s="17" t="n"/>
      <c r="AL20" s="16" t="n">
        <v>-1.277867</v>
      </c>
      <c r="AM20" s="16" t="n">
        <v>-3.020989</v>
      </c>
      <c r="AN20" s="16" t="n">
        <v>796.736008</v>
      </c>
      <c r="AO20" s="16" t="n">
        <v>0</v>
      </c>
      <c r="AQ20" s="1">
        <f>B20</f>
        <v/>
      </c>
      <c r="AR20" s="1">
        <f>C20</f>
        <v/>
      </c>
      <c r="AS20" s="12">
        <f>SUM(AY20:BG20)+BI20+BJ20</f>
        <v/>
      </c>
      <c r="AT20" s="12">
        <f>SUM(AY20:BG20)+BL20+BM20</f>
        <v/>
      </c>
      <c r="AU20" s="5">
        <f>AS20-AT20</f>
        <v/>
      </c>
      <c r="AV20" s="12">
        <f>SUM(AY20:BG20)+BO20+BP20</f>
        <v/>
      </c>
      <c r="AW20" s="12">
        <f>SUM(AY20:BG20)+BR20+BS20</f>
        <v/>
      </c>
      <c r="AX20" s="5">
        <f>AV20-AW20</f>
        <v/>
      </c>
      <c r="AY20" s="5">
        <f>E20/H20*AD20</f>
        <v/>
      </c>
      <c r="AZ20" s="1">
        <f>F20/H20*AD20*-1</f>
        <v/>
      </c>
      <c r="BA20" s="1">
        <f>G20/H20*AC20</f>
        <v/>
      </c>
      <c r="BB20" s="1">
        <f>1/H20*Z20</f>
        <v/>
      </c>
      <c r="BC20" s="1">
        <f>I20/H20*AL20</f>
        <v/>
      </c>
      <c r="BD20" s="1">
        <f>J20/H20*AL20*-1</f>
        <v/>
      </c>
      <c r="BE20" s="1">
        <f>O20/H20/(0.9*8760)</f>
        <v/>
      </c>
      <c r="BF20" s="1">
        <f>P20/H20/(0.9*8760)</f>
        <v/>
      </c>
      <c r="BG20" s="1">
        <f>Q20/H20</f>
        <v/>
      </c>
      <c r="BH20" s="1">
        <f>CE20+CF20+CG20</f>
        <v/>
      </c>
      <c r="BI20" s="1">
        <f>(T20+U20)*-1*M20/H20</f>
        <v/>
      </c>
      <c r="BJ20" s="1">
        <f>BH20*T20</f>
        <v/>
      </c>
      <c r="BK20" s="1">
        <f>CE20+CF20</f>
        <v/>
      </c>
      <c r="BL20" s="1">
        <f>U20*M20*-1/H20</f>
        <v/>
      </c>
      <c r="BM20" s="1">
        <f>BK20*T20</f>
        <v/>
      </c>
      <c r="BN20" s="1">
        <f>SUM(CD20:CH20)</f>
        <v/>
      </c>
      <c r="BO20" s="1">
        <f>(T20+U20)*-1*M20/H20</f>
        <v/>
      </c>
      <c r="BP20" s="1">
        <f>BN20*T20</f>
        <v/>
      </c>
      <c r="BQ20" s="1">
        <f>CD20+CE20+CF20+CH20</f>
        <v/>
      </c>
      <c r="BR20" s="1">
        <f>M20/H20*U20*-1</f>
        <v/>
      </c>
      <c r="BS20" s="1">
        <f>T20*BQ20</f>
        <v/>
      </c>
      <c r="BU20" s="9" t="n">
        <v>3.14</v>
      </c>
      <c r="BV20" s="10" t="n">
        <v>0.2218110024</v>
      </c>
      <c r="BW20" s="9" t="n">
        <v>0.18104824</v>
      </c>
      <c r="BX20" s="9" t="n">
        <v>0.015714286</v>
      </c>
      <c r="BZ20" s="10">
        <f>1/H20*BV20</f>
        <v/>
      </c>
      <c r="CA20" s="10">
        <f>I20/H20*BW20</f>
        <v/>
      </c>
      <c r="CB20" s="10">
        <f>BZ20+CA20</f>
        <v/>
      </c>
      <c r="CD20" s="10">
        <f>BU20</f>
        <v/>
      </c>
      <c r="CE20" s="10">
        <f>J20/H20*BW20</f>
        <v/>
      </c>
      <c r="CF20" s="10">
        <f>(CB20-CD20-CE20-CH20)*(1-D20)</f>
        <v/>
      </c>
      <c r="CG20" s="10">
        <f>(CB20-CD20-CE20-CH20)*D20</f>
        <v/>
      </c>
      <c r="CH20" s="10">
        <f>BX20*R20</f>
        <v/>
      </c>
      <c r="CI20" s="10">
        <f>SUM(CD20:CH20)</f>
        <v/>
      </c>
      <c r="CK20" s="1">
        <f>CI20-CB20</f>
        <v/>
      </c>
    </row>
    <row r="21">
      <c r="B21" s="14" t="inlineStr">
        <is>
          <t>SW_TSC+H2in:CH4</t>
        </is>
      </c>
      <c r="C21" s="13" t="inlineStr">
        <is>
          <t>Ethane</t>
        </is>
      </c>
      <c r="D21" s="13" t="n">
        <v>0</v>
      </c>
      <c r="E21" s="13" t="n">
        <v>0.1375867019</v>
      </c>
      <c r="F21" s="13" t="n">
        <v>0</v>
      </c>
      <c r="G21" s="13" t="n">
        <v>0</v>
      </c>
      <c r="H21" s="13" t="n">
        <v>0.05310189724</v>
      </c>
      <c r="I21" s="13" t="n">
        <v>0</v>
      </c>
      <c r="J21" s="13" t="n">
        <v>0.1181424966</v>
      </c>
      <c r="K21" s="13" t="n"/>
      <c r="L21" s="13" t="n"/>
      <c r="M21" s="11">
        <f>CG21*H21</f>
        <v/>
      </c>
      <c r="N21" s="11">
        <f>CF21*H21</f>
        <v/>
      </c>
      <c r="O21" s="13" t="n">
        <v>99124.32016</v>
      </c>
      <c r="P21" s="13" t="n">
        <v>54251.99777</v>
      </c>
      <c r="Q21" s="13" t="n">
        <v>1.676159756</v>
      </c>
      <c r="R21" s="11" t="n">
        <v>0.2020556</v>
      </c>
      <c r="T21" s="16" t="n">
        <v>99.913298</v>
      </c>
      <c r="U21" s="16" t="n">
        <v>-5.321206</v>
      </c>
      <c r="V21" s="16" t="n">
        <v>65.718464</v>
      </c>
      <c r="W21" s="16" t="n">
        <v>44.094475</v>
      </c>
      <c r="X21" s="16" t="n">
        <v>41.17053</v>
      </c>
      <c r="Y21" s="22" t="n">
        <v>420</v>
      </c>
      <c r="Z21" s="11" t="n">
        <v>21.9863533</v>
      </c>
      <c r="AA21" s="17" t="n"/>
      <c r="AB21" s="17" t="n"/>
      <c r="AC21" s="16" t="n">
        <v>20.088657</v>
      </c>
      <c r="AD21" s="16" t="n">
        <v>6.238322</v>
      </c>
      <c r="AE21" s="16" t="n"/>
      <c r="AF21" s="17" t="n"/>
      <c r="AG21" s="17" t="n"/>
      <c r="AH21" s="17" t="n"/>
      <c r="AI21" s="17" t="n"/>
      <c r="AJ21" s="17" t="n"/>
      <c r="AK21" s="17" t="n"/>
      <c r="AL21" s="16" t="n">
        <v>-1.277867</v>
      </c>
      <c r="AM21" s="16" t="n">
        <v>-3.020989</v>
      </c>
      <c r="AN21" s="16" t="n">
        <v>796.736008</v>
      </c>
      <c r="AO21" s="16" t="n">
        <v>0</v>
      </c>
      <c r="AQ21" s="1">
        <f>B21</f>
        <v/>
      </c>
      <c r="AR21" s="1">
        <f>C21</f>
        <v/>
      </c>
      <c r="AS21" s="12">
        <f>SUM(AY21:BG21)+BI21+BJ21</f>
        <v/>
      </c>
      <c r="AT21" s="12">
        <f>SUM(AY21:BG21)+BL21+BM21</f>
        <v/>
      </c>
      <c r="AU21" s="5">
        <f>AS21-AT21</f>
        <v/>
      </c>
      <c r="AV21" s="12">
        <f>SUM(AY21:BG21)+BO21+BP21</f>
        <v/>
      </c>
      <c r="AW21" s="12">
        <f>SUM(AY21:BG21)+BR21+BS21</f>
        <v/>
      </c>
      <c r="AX21" s="5">
        <f>AV21-AW21</f>
        <v/>
      </c>
      <c r="AY21" s="5">
        <f>E21/H21*AD21</f>
        <v/>
      </c>
      <c r="AZ21" s="1">
        <f>F21/H21*AD21*-1</f>
        <v/>
      </c>
      <c r="BA21" s="1">
        <f>G21/H21*AC21</f>
        <v/>
      </c>
      <c r="BB21" s="1">
        <f>1/H21*Z21</f>
        <v/>
      </c>
      <c r="BC21" s="1">
        <f>I21/H21*AL21</f>
        <v/>
      </c>
      <c r="BD21" s="1">
        <f>J21/H21*AL21*-1</f>
        <v/>
      </c>
      <c r="BE21" s="1">
        <f>O21/H21/(0.9*8760)</f>
        <v/>
      </c>
      <c r="BF21" s="1">
        <f>P21/H21/(0.9*8760)</f>
        <v/>
      </c>
      <c r="BG21" s="1">
        <f>Q21/H21</f>
        <v/>
      </c>
      <c r="BH21" s="1">
        <f>CE21+CF21+CG21</f>
        <v/>
      </c>
      <c r="BI21" s="1">
        <f>(T21+U21)*-1*M21/H21</f>
        <v/>
      </c>
      <c r="BJ21" s="1">
        <f>BH21*T21</f>
        <v/>
      </c>
      <c r="BK21" s="1">
        <f>CE21+CF21</f>
        <v/>
      </c>
      <c r="BL21" s="1">
        <f>U21*M21*-1/H21</f>
        <v/>
      </c>
      <c r="BM21" s="1">
        <f>BK21*T21</f>
        <v/>
      </c>
      <c r="BN21" s="1">
        <f>SUM(CD21:CH21)</f>
        <v/>
      </c>
      <c r="BO21" s="1">
        <f>(T21+U21)*-1*M21/H21</f>
        <v/>
      </c>
      <c r="BP21" s="1">
        <f>BN21*T21</f>
        <v/>
      </c>
      <c r="BQ21" s="1">
        <f>CD21+CE21+CF21+CH21</f>
        <v/>
      </c>
      <c r="BR21" s="1">
        <f>M21/H21*U21*-1</f>
        <v/>
      </c>
      <c r="BS21" s="1">
        <f>T21*BQ21</f>
        <v/>
      </c>
      <c r="BU21" s="9" t="n">
        <v>3.14</v>
      </c>
      <c r="BV21" s="10" t="n">
        <v>0.2218110024</v>
      </c>
      <c r="BW21" s="9" t="n">
        <v>0.18104824</v>
      </c>
      <c r="BX21" s="9" t="n">
        <v>0.015714286</v>
      </c>
      <c r="BZ21" s="10">
        <f>1/H21*BV21</f>
        <v/>
      </c>
      <c r="CA21" s="10">
        <f>I21/H21*BW21</f>
        <v/>
      </c>
      <c r="CB21" s="10">
        <f>BZ21+CA21</f>
        <v/>
      </c>
      <c r="CD21" s="10">
        <f>BU21</f>
        <v/>
      </c>
      <c r="CE21" s="10">
        <f>J21/H21*BW21</f>
        <v/>
      </c>
      <c r="CF21" s="10">
        <f>(CB21-CD21-CE21-CH21)*(1-D21)</f>
        <v/>
      </c>
      <c r="CG21" s="10">
        <f>(CB21-CD21-CE21-CH21)*D21</f>
        <v/>
      </c>
      <c r="CH21" s="10">
        <f>BX21*R21</f>
        <v/>
      </c>
      <c r="CI21" s="10">
        <f>SUM(CD21:CH21)</f>
        <v/>
      </c>
      <c r="CK21" s="1">
        <f>CI21-CB21</f>
        <v/>
      </c>
    </row>
    <row r="22">
      <c r="B22" s="14" t="inlineStr">
        <is>
          <t>NW_TSC+CC90</t>
        </is>
      </c>
      <c r="C22" s="13" t="inlineStr">
        <is>
          <t>Ethane</t>
        </is>
      </c>
      <c r="D22" s="13" t="n">
        <v>0.9</v>
      </c>
      <c r="E22" s="13" t="n">
        <v>0</v>
      </c>
      <c r="F22" s="13" t="n">
        <v>0</v>
      </c>
      <c r="G22" s="13" t="n">
        <v>0.008052966438000001</v>
      </c>
      <c r="H22" s="13" t="n">
        <v>0.05310189724</v>
      </c>
      <c r="I22" s="13" t="n">
        <v>0.02270169876</v>
      </c>
      <c r="J22" s="13" t="n">
        <v>0</v>
      </c>
      <c r="K22" s="13" t="n"/>
      <c r="L22" s="13" t="n"/>
      <c r="M22" s="11">
        <f>CG22*H22</f>
        <v/>
      </c>
      <c r="N22" s="11">
        <f>CF22*H22</f>
        <v/>
      </c>
      <c r="O22" s="13" t="n">
        <v>106875.1697</v>
      </c>
      <c r="P22" s="13" t="n">
        <v>58496.38728</v>
      </c>
      <c r="Q22" s="13" t="n">
        <v>1.807224085</v>
      </c>
      <c r="R22" s="11" t="n">
        <v>0.2020556</v>
      </c>
      <c r="T22" s="16" t="n">
        <v>99.913298</v>
      </c>
      <c r="U22" s="16" t="n">
        <v>-5.280129</v>
      </c>
      <c r="V22" s="16" t="n">
        <v>67.91567999999999</v>
      </c>
      <c r="W22" s="16" t="n">
        <v>44.074162</v>
      </c>
      <c r="X22" s="16" t="n">
        <v>42.063157</v>
      </c>
      <c r="Y22" s="22" t="n">
        <v>420</v>
      </c>
      <c r="Z22" s="11" t="n">
        <v>21.9863533</v>
      </c>
      <c r="AA22" s="17" t="n"/>
      <c r="AB22" s="17" t="n"/>
      <c r="AC22" s="16" t="n">
        <v>19.074368</v>
      </c>
      <c r="AD22" s="16" t="n">
        <v>5.238745</v>
      </c>
      <c r="AE22" s="16" t="n"/>
      <c r="AF22" s="17" t="n"/>
      <c r="AG22" s="17" t="n"/>
      <c r="AH22" s="17" t="n"/>
      <c r="AI22" s="17" t="n"/>
      <c r="AJ22" s="17" t="n"/>
      <c r="AK22" s="17" t="n"/>
      <c r="AL22" s="16" t="n">
        <v>-2.438704</v>
      </c>
      <c r="AM22" s="16" t="n">
        <v>-3.956322</v>
      </c>
      <c r="AN22" s="16" t="n">
        <v>796.736008</v>
      </c>
      <c r="AO22" s="16" t="n">
        <v>0</v>
      </c>
      <c r="AQ22" s="1">
        <f>B22</f>
        <v/>
      </c>
      <c r="AR22" s="1">
        <f>C22</f>
        <v/>
      </c>
      <c r="AS22" s="12">
        <f>SUM(AY22:BG22)+BI22+BJ22</f>
        <v/>
      </c>
      <c r="AT22" s="12">
        <f>SUM(AY22:BG22)+BL22+BM22</f>
        <v/>
      </c>
      <c r="AU22" s="5">
        <f>AS22-AT22</f>
        <v/>
      </c>
      <c r="AV22" s="12">
        <f>SUM(AY22:BG22)+BO22+BP22</f>
        <v/>
      </c>
      <c r="AW22" s="12">
        <f>SUM(AY22:BG22)+BR22+BS22</f>
        <v/>
      </c>
      <c r="AX22" s="5">
        <f>AV22-AW22</f>
        <v/>
      </c>
      <c r="AY22" s="5">
        <f>E22/H22*AD22</f>
        <v/>
      </c>
      <c r="AZ22" s="1">
        <f>F22/H22*AD22*-1</f>
        <v/>
      </c>
      <c r="BA22" s="1">
        <f>G22/H22*AC22</f>
        <v/>
      </c>
      <c r="BB22" s="1">
        <f>1/H22*Z22</f>
        <v/>
      </c>
      <c r="BC22" s="1">
        <f>I22/H22*AL22</f>
        <v/>
      </c>
      <c r="BD22" s="1">
        <f>J22/H22*AL22*-1</f>
        <v/>
      </c>
      <c r="BE22" s="1">
        <f>O22/H22/(0.9*8760)</f>
        <v/>
      </c>
      <c r="BF22" s="1">
        <f>P22/H22/(0.9*8760)</f>
        <v/>
      </c>
      <c r="BG22" s="1">
        <f>Q22/H22</f>
        <v/>
      </c>
      <c r="BH22" s="1">
        <f>CE22+CF22+CG22</f>
        <v/>
      </c>
      <c r="BI22" s="1">
        <f>(T22+U22)*-1*M22/H22</f>
        <v/>
      </c>
      <c r="BJ22" s="1">
        <f>BH22*T22</f>
        <v/>
      </c>
      <c r="BK22" s="1">
        <f>CE22+CF22</f>
        <v/>
      </c>
      <c r="BL22" s="1">
        <f>U22*M22*-1/H22</f>
        <v/>
      </c>
      <c r="BM22" s="1">
        <f>BK22*T22</f>
        <v/>
      </c>
      <c r="BN22" s="1">
        <f>SUM(CD22:CH22)</f>
        <v/>
      </c>
      <c r="BO22" s="1">
        <f>(T22+U22)*-1*M22/H22</f>
        <v/>
      </c>
      <c r="BP22" s="1">
        <f>BN22*T22</f>
        <v/>
      </c>
      <c r="BQ22" s="1">
        <f>CD22+CE22+CF22+CH22</f>
        <v/>
      </c>
      <c r="BR22" s="1">
        <f>M22/H22*U22*-1</f>
        <v/>
      </c>
      <c r="BS22" s="1">
        <f>T22*BQ22</f>
        <v/>
      </c>
      <c r="BU22" s="9" t="n">
        <v>3.14</v>
      </c>
      <c r="BV22" s="10" t="n">
        <v>0.2218110024</v>
      </c>
      <c r="BW22" s="9" t="n">
        <v>0.18104824</v>
      </c>
      <c r="BX22" s="9" t="n">
        <v>0.015714286</v>
      </c>
      <c r="BZ22" s="10">
        <f>1/H22*BV22</f>
        <v/>
      </c>
      <c r="CA22" s="10">
        <f>I22/H22*BW22</f>
        <v/>
      </c>
      <c r="CB22" s="10">
        <f>BZ22+CA22</f>
        <v/>
      </c>
      <c r="CD22" s="10">
        <f>BU22</f>
        <v/>
      </c>
      <c r="CE22" s="10">
        <f>J22/H22*BW22</f>
        <v/>
      </c>
      <c r="CF22" s="10">
        <f>(CB22-CD22-CE22-CH22)*(1-D22)</f>
        <v/>
      </c>
      <c r="CG22" s="10">
        <f>(CB22-CD22-CE22-CH22)*D22</f>
        <v/>
      </c>
      <c r="CH22" s="10">
        <f>BX22*R22</f>
        <v/>
      </c>
      <c r="CI22" s="10">
        <f>SUM(CD22:CH22)</f>
        <v/>
      </c>
      <c r="CK22" s="1">
        <f>CI22-CB22</f>
        <v/>
      </c>
    </row>
    <row r="23">
      <c r="B23" s="14" t="inlineStr">
        <is>
          <t>NW_TSC:H2</t>
        </is>
      </c>
      <c r="C23" s="13" t="inlineStr">
        <is>
          <t>Ethane</t>
        </is>
      </c>
      <c r="D23" s="13" t="n">
        <v>0</v>
      </c>
      <c r="E23" s="13" t="n">
        <v>0</v>
      </c>
      <c r="F23" s="13" t="n">
        <v>0.1598531434</v>
      </c>
      <c r="G23" s="13" t="n">
        <v>0</v>
      </c>
      <c r="H23" s="13" t="n">
        <v>0.05310189724</v>
      </c>
      <c r="I23" s="13" t="n">
        <v>0.1318322859</v>
      </c>
      <c r="J23" s="13" t="n">
        <v>0</v>
      </c>
      <c r="K23" s="13" t="n"/>
      <c r="L23" s="13" t="n"/>
      <c r="M23" s="11">
        <f>CG23*H23</f>
        <v/>
      </c>
      <c r="N23" s="11">
        <f>CF23*H23</f>
        <v/>
      </c>
      <c r="O23" s="13" t="n">
        <v>99124.32016</v>
      </c>
      <c r="P23" s="13" t="n">
        <v>54251.99777</v>
      </c>
      <c r="Q23" s="13" t="n">
        <v>1.676159756</v>
      </c>
      <c r="R23" s="11" t="n">
        <v>0.2020556</v>
      </c>
      <c r="T23" s="16" t="n">
        <v>99.913298</v>
      </c>
      <c r="U23" s="16" t="n">
        <v>-5.280129</v>
      </c>
      <c r="V23" s="16" t="n">
        <v>67.91567999999999</v>
      </c>
      <c r="W23" s="16" t="n">
        <v>44.074162</v>
      </c>
      <c r="X23" s="16" t="n">
        <v>42.063157</v>
      </c>
      <c r="Y23" s="22" t="n">
        <v>420</v>
      </c>
      <c r="Z23" s="11" t="n">
        <v>21.9863533</v>
      </c>
      <c r="AA23" s="17" t="n"/>
      <c r="AB23" s="17" t="n"/>
      <c r="AC23" s="16" t="n">
        <v>19.074368</v>
      </c>
      <c r="AD23" s="16" t="n">
        <v>5.238745</v>
      </c>
      <c r="AE23" s="16" t="n"/>
      <c r="AF23" s="17" t="n"/>
      <c r="AG23" s="17" t="n"/>
      <c r="AH23" s="17" t="n"/>
      <c r="AI23" s="17" t="n"/>
      <c r="AJ23" s="17" t="n"/>
      <c r="AK23" s="17" t="n"/>
      <c r="AL23" s="16" t="n">
        <v>-2.438704</v>
      </c>
      <c r="AM23" s="16" t="n">
        <v>-3.956322</v>
      </c>
      <c r="AN23" s="16" t="n">
        <v>796.736008</v>
      </c>
      <c r="AO23" s="16" t="n">
        <v>0</v>
      </c>
      <c r="AQ23" s="1">
        <f>B23</f>
        <v/>
      </c>
      <c r="AR23" s="1">
        <f>C23</f>
        <v/>
      </c>
      <c r="AS23" s="12">
        <f>SUM(AY23:BG23)+BI23+BJ23</f>
        <v/>
      </c>
      <c r="AT23" s="12">
        <f>SUM(AY23:BG23)+BL23+BM23</f>
        <v/>
      </c>
      <c r="AU23" s="5">
        <f>AS23-AT23</f>
        <v/>
      </c>
      <c r="AV23" s="12">
        <f>SUM(AY23:BG23)+BO23+BP23</f>
        <v/>
      </c>
      <c r="AW23" s="12">
        <f>SUM(AY23:BG23)+BR23+BS23</f>
        <v/>
      </c>
      <c r="AX23" s="5">
        <f>AV23-AW23</f>
        <v/>
      </c>
      <c r="AY23" s="5">
        <f>E23/H23*AD23</f>
        <v/>
      </c>
      <c r="AZ23" s="1">
        <f>F23/H23*AD23*-1</f>
        <v/>
      </c>
      <c r="BA23" s="1">
        <f>G23/H23*AC23</f>
        <v/>
      </c>
      <c r="BB23" s="1">
        <f>1/H23*Z23</f>
        <v/>
      </c>
      <c r="BC23" s="1">
        <f>I23/H23*AL23</f>
        <v/>
      </c>
      <c r="BD23" s="1">
        <f>J23/H23*AL23*-1</f>
        <v/>
      </c>
      <c r="BE23" s="1">
        <f>O23/H23/(0.9*8760)</f>
        <v/>
      </c>
      <c r="BF23" s="1">
        <f>P23/H23/(0.9*8760)</f>
        <v/>
      </c>
      <c r="BG23" s="1">
        <f>Q23/H23</f>
        <v/>
      </c>
      <c r="BH23" s="1">
        <f>CE23+CF23+CG23</f>
        <v/>
      </c>
      <c r="BI23" s="1">
        <f>(T23+U23)*-1*M23/H23</f>
        <v/>
      </c>
      <c r="BJ23" s="1">
        <f>BH23*T23</f>
        <v/>
      </c>
      <c r="BK23" s="1">
        <f>CE23+CF23</f>
        <v/>
      </c>
      <c r="BL23" s="1">
        <f>U23*M23*-1/H23</f>
        <v/>
      </c>
      <c r="BM23" s="1">
        <f>BK23*T23</f>
        <v/>
      </c>
      <c r="BN23" s="1">
        <f>SUM(CD23:CH23)</f>
        <v/>
      </c>
      <c r="BO23" s="1">
        <f>(T23+U23)*-1*M23/H23</f>
        <v/>
      </c>
      <c r="BP23" s="1">
        <f>BN23*T23</f>
        <v/>
      </c>
      <c r="BQ23" s="1">
        <f>CD23+CE23+CF23+CH23</f>
        <v/>
      </c>
      <c r="BR23" s="1">
        <f>M23/H23*U23*-1</f>
        <v/>
      </c>
      <c r="BS23" s="1">
        <f>T23*BQ23</f>
        <v/>
      </c>
      <c r="BU23" s="9" t="n">
        <v>3.14</v>
      </c>
      <c r="BV23" s="10" t="n">
        <v>0.2218110024</v>
      </c>
      <c r="BW23" s="9" t="n">
        <v>0.18104824</v>
      </c>
      <c r="BX23" s="9" t="n">
        <v>0.015714286</v>
      </c>
      <c r="BZ23" s="10">
        <f>1/H23*BV23</f>
        <v/>
      </c>
      <c r="CA23" s="10">
        <f>I23/H23*BW23</f>
        <v/>
      </c>
      <c r="CB23" s="10">
        <f>BZ23+CA23</f>
        <v/>
      </c>
      <c r="CD23" s="10">
        <f>BU23</f>
        <v/>
      </c>
      <c r="CE23" s="10">
        <f>J23/H23*BW23</f>
        <v/>
      </c>
      <c r="CF23" s="10">
        <f>(CB23-CD23-CE23-CH23)*(1-D23)</f>
        <v/>
      </c>
      <c r="CG23" s="10">
        <f>(CB23-CD23-CE23-CH23)*D23</f>
        <v/>
      </c>
      <c r="CH23" s="10">
        <f>BX23*R23</f>
        <v/>
      </c>
      <c r="CI23" s="10">
        <f>SUM(CD23:CH23)</f>
        <v/>
      </c>
      <c r="CK23" s="1">
        <f>CI23-CB23</f>
        <v/>
      </c>
    </row>
    <row r="24">
      <c r="B24" s="14" t="inlineStr">
        <is>
          <t>NW_TSC+CC90:H2</t>
        </is>
      </c>
      <c r="C24" s="13" t="inlineStr">
        <is>
          <t>Ethane</t>
        </is>
      </c>
      <c r="D24" s="13" t="n">
        <v>0.9</v>
      </c>
      <c r="E24" s="13" t="n">
        <v>0</v>
      </c>
      <c r="F24" s="13" t="n">
        <v>0.1598531434</v>
      </c>
      <c r="G24" s="13" t="n">
        <v>0.009388736698</v>
      </c>
      <c r="H24" s="13" t="n">
        <v>0.05310189724</v>
      </c>
      <c r="I24" s="13" t="n">
        <v>0.1318322859</v>
      </c>
      <c r="J24" s="13" t="n">
        <v>0</v>
      </c>
      <c r="K24" s="13" t="n"/>
      <c r="L24" s="13" t="n"/>
      <c r="M24" s="11">
        <f>CG24*H24</f>
        <v/>
      </c>
      <c r="N24" s="11">
        <f>CF24*H24</f>
        <v/>
      </c>
      <c r="O24" s="13" t="n">
        <v>106900.9741</v>
      </c>
      <c r="P24" s="13" t="n">
        <v>58510.18581</v>
      </c>
      <c r="Q24" s="13" t="n">
        <v>1.807660423</v>
      </c>
      <c r="R24" s="11" t="n">
        <v>0.2020556</v>
      </c>
      <c r="T24" s="16" t="n">
        <v>99.913298</v>
      </c>
      <c r="U24" s="16" t="n">
        <v>-5.280129</v>
      </c>
      <c r="V24" s="16" t="n">
        <v>67.91567999999999</v>
      </c>
      <c r="W24" s="16" t="n">
        <v>44.074162</v>
      </c>
      <c r="X24" s="16" t="n">
        <v>42.063157</v>
      </c>
      <c r="Y24" s="22" t="n">
        <v>420</v>
      </c>
      <c r="Z24" s="11" t="n">
        <v>21.9863533</v>
      </c>
      <c r="AA24" s="17" t="n"/>
      <c r="AB24" s="17" t="n"/>
      <c r="AC24" s="16" t="n">
        <v>19.074368</v>
      </c>
      <c r="AD24" s="16" t="n">
        <v>5.238745</v>
      </c>
      <c r="AE24" s="16" t="n"/>
      <c r="AF24" s="17" t="n"/>
      <c r="AG24" s="17" t="n"/>
      <c r="AH24" s="17" t="n"/>
      <c r="AI24" s="17" t="n"/>
      <c r="AJ24" s="17" t="n"/>
      <c r="AK24" s="17" t="n"/>
      <c r="AL24" s="16" t="n">
        <v>-2.438704</v>
      </c>
      <c r="AM24" s="16" t="n">
        <v>-3.956322</v>
      </c>
      <c r="AN24" s="16" t="n">
        <v>796.736008</v>
      </c>
      <c r="AO24" s="16" t="n">
        <v>0</v>
      </c>
      <c r="AQ24" s="1">
        <f>B24</f>
        <v/>
      </c>
      <c r="AR24" s="1">
        <f>C24</f>
        <v/>
      </c>
      <c r="AS24" s="12">
        <f>SUM(AY24:BG24)+BI24+BJ24</f>
        <v/>
      </c>
      <c r="AT24" s="12">
        <f>SUM(AY24:BG24)+BL24+BM24</f>
        <v/>
      </c>
      <c r="AU24" s="5">
        <f>AS24-AT24</f>
        <v/>
      </c>
      <c r="AV24" s="12">
        <f>SUM(AY24:BG24)+BO24+BP24</f>
        <v/>
      </c>
      <c r="AW24" s="12">
        <f>SUM(AY24:BG24)+BR24+BS24</f>
        <v/>
      </c>
      <c r="AX24" s="5">
        <f>AV24-AW24</f>
        <v/>
      </c>
      <c r="AY24" s="5">
        <f>E24/H24*AD24</f>
        <v/>
      </c>
      <c r="AZ24" s="1">
        <f>F24/H24*AD24*-1</f>
        <v/>
      </c>
      <c r="BA24" s="1">
        <f>G24/H24*AC24</f>
        <v/>
      </c>
      <c r="BB24" s="1">
        <f>1/H24*Z24</f>
        <v/>
      </c>
      <c r="BC24" s="1">
        <f>I24/H24*AL24</f>
        <v/>
      </c>
      <c r="BD24" s="1">
        <f>J24/H24*AL24*-1</f>
        <v/>
      </c>
      <c r="BE24" s="1">
        <f>O24/H24/(0.9*8760)</f>
        <v/>
      </c>
      <c r="BF24" s="1">
        <f>P24/H24/(0.9*8760)</f>
        <v/>
      </c>
      <c r="BG24" s="1">
        <f>Q24/H24</f>
        <v/>
      </c>
      <c r="BH24" s="1">
        <f>CE24+CF24+CG24</f>
        <v/>
      </c>
      <c r="BI24" s="1">
        <f>(T24+U24)*-1*M24/H24</f>
        <v/>
      </c>
      <c r="BJ24" s="1">
        <f>BH24*T24</f>
        <v/>
      </c>
      <c r="BK24" s="1">
        <f>CE24+CF24</f>
        <v/>
      </c>
      <c r="BL24" s="1">
        <f>U24*M24*-1/H24</f>
        <v/>
      </c>
      <c r="BM24" s="1">
        <f>BK24*T24</f>
        <v/>
      </c>
      <c r="BN24" s="1">
        <f>SUM(CD24:CH24)</f>
        <v/>
      </c>
      <c r="BO24" s="1">
        <f>(T24+U24)*-1*M24/H24</f>
        <v/>
      </c>
      <c r="BP24" s="1">
        <f>BN24*T24</f>
        <v/>
      </c>
      <c r="BQ24" s="1">
        <f>CD24+CE24+CF24+CH24</f>
        <v/>
      </c>
      <c r="BR24" s="1">
        <f>M24/H24*U24*-1</f>
        <v/>
      </c>
      <c r="BS24" s="1">
        <f>T24*BQ24</f>
        <v/>
      </c>
      <c r="BU24" s="9" t="n">
        <v>3.14</v>
      </c>
      <c r="BV24" s="10" t="n">
        <v>0.2218110024</v>
      </c>
      <c r="BW24" s="9" t="n">
        <v>0.18104824</v>
      </c>
      <c r="BX24" s="9" t="n">
        <v>0.015714286</v>
      </c>
      <c r="BZ24" s="10">
        <f>1/H24*BV24</f>
        <v/>
      </c>
      <c r="CA24" s="10">
        <f>I24/H24*BW24</f>
        <v/>
      </c>
      <c r="CB24" s="10">
        <f>BZ24+CA24</f>
        <v/>
      </c>
      <c r="CD24" s="10">
        <f>BU24</f>
        <v/>
      </c>
      <c r="CE24" s="10">
        <f>J24/H24*BW24</f>
        <v/>
      </c>
      <c r="CF24" s="10">
        <f>(CB24-CD24-CE24-CH24)*(1-D24)</f>
        <v/>
      </c>
      <c r="CG24" s="10">
        <f>(CB24-CD24-CE24-CH24)*D24</f>
        <v/>
      </c>
      <c r="CH24" s="10">
        <f>BX24*R24</f>
        <v/>
      </c>
      <c r="CI24" s="10">
        <f>SUM(CD24:CH24)</f>
        <v/>
      </c>
      <c r="CK24" s="1">
        <f>CI24-CB24</f>
        <v/>
      </c>
    </row>
    <row r="25">
      <c r="B25" s="14" t="inlineStr">
        <is>
          <t>NW_TSC+H2in</t>
        </is>
      </c>
      <c r="C25" s="13" t="inlineStr">
        <is>
          <t>Ethane</t>
        </is>
      </c>
      <c r="D25" s="13" t="n">
        <v>0</v>
      </c>
      <c r="E25" s="13" t="n">
        <v>0.02226644157</v>
      </c>
      <c r="F25" s="13" t="n">
        <v>0</v>
      </c>
      <c r="G25" s="13" t="n">
        <v>0</v>
      </c>
      <c r="H25" s="13" t="n">
        <v>0.05310189724</v>
      </c>
      <c r="I25" s="13" t="n">
        <v>0</v>
      </c>
      <c r="J25" s="13" t="n">
        <v>0</v>
      </c>
      <c r="K25" s="13" t="n"/>
      <c r="L25" s="13" t="n"/>
      <c r="M25" s="11">
        <f>CG25*H25</f>
        <v/>
      </c>
      <c r="N25" s="11">
        <f>CF25*H25</f>
        <v/>
      </c>
      <c r="O25" s="13" t="n">
        <v>99124.32016</v>
      </c>
      <c r="P25" s="13" t="n">
        <v>54251.99777</v>
      </c>
      <c r="Q25" s="13" t="n">
        <v>1.676159756</v>
      </c>
      <c r="R25" s="11" t="n">
        <v>0.2020556</v>
      </c>
      <c r="T25" s="16" t="n">
        <v>99.913298</v>
      </c>
      <c r="U25" s="16" t="n">
        <v>-5.280129</v>
      </c>
      <c r="V25" s="16" t="n">
        <v>67.91567999999999</v>
      </c>
      <c r="W25" s="16" t="n">
        <v>44.074162</v>
      </c>
      <c r="X25" s="16" t="n">
        <v>42.063157</v>
      </c>
      <c r="Y25" s="22" t="n">
        <v>420</v>
      </c>
      <c r="Z25" s="11" t="n">
        <v>21.9863533</v>
      </c>
      <c r="AA25" s="17" t="n"/>
      <c r="AB25" s="17" t="n"/>
      <c r="AC25" s="16" t="n">
        <v>19.074368</v>
      </c>
      <c r="AD25" s="16" t="n">
        <v>5.238745</v>
      </c>
      <c r="AE25" s="16" t="n"/>
      <c r="AF25" s="17" t="n"/>
      <c r="AG25" s="17" t="n"/>
      <c r="AH25" s="17" t="n"/>
      <c r="AI25" s="17" t="n"/>
      <c r="AJ25" s="17" t="n"/>
      <c r="AK25" s="17" t="n"/>
      <c r="AL25" s="16" t="n">
        <v>-2.438704</v>
      </c>
      <c r="AM25" s="16" t="n">
        <v>-3.956322</v>
      </c>
      <c r="AN25" s="16" t="n">
        <v>796.736008</v>
      </c>
      <c r="AO25" s="16" t="n">
        <v>0</v>
      </c>
      <c r="AQ25" s="1">
        <f>B25</f>
        <v/>
      </c>
      <c r="AR25" s="1">
        <f>C25</f>
        <v/>
      </c>
      <c r="AS25" s="12">
        <f>SUM(AY25:BG25)+BI25+BJ25</f>
        <v/>
      </c>
      <c r="AT25" s="12">
        <f>SUM(AY25:BG25)+BL25+BM25</f>
        <v/>
      </c>
      <c r="AU25" s="5">
        <f>AS25-AT25</f>
        <v/>
      </c>
      <c r="AV25" s="12">
        <f>SUM(AY25:BG25)+BO25+BP25</f>
        <v/>
      </c>
      <c r="AW25" s="12">
        <f>SUM(AY25:BG25)+BR25+BS25</f>
        <v/>
      </c>
      <c r="AX25" s="5">
        <f>AV25-AW25</f>
        <v/>
      </c>
      <c r="AY25" s="5">
        <f>E25/H25*AD25</f>
        <v/>
      </c>
      <c r="AZ25" s="1">
        <f>F25/H25*AD25*-1</f>
        <v/>
      </c>
      <c r="BA25" s="1">
        <f>G25/H25*AC25</f>
        <v/>
      </c>
      <c r="BB25" s="1">
        <f>1/H25*Z25</f>
        <v/>
      </c>
      <c r="BC25" s="1">
        <f>I25/H25*AL25</f>
        <v/>
      </c>
      <c r="BD25" s="1">
        <f>J25/H25*AL25*-1</f>
        <v/>
      </c>
      <c r="BE25" s="1">
        <f>O25/H25/(0.9*8760)</f>
        <v/>
      </c>
      <c r="BF25" s="1">
        <f>P25/H25/(0.9*8760)</f>
        <v/>
      </c>
      <c r="BG25" s="1">
        <f>Q25/H25</f>
        <v/>
      </c>
      <c r="BH25" s="1">
        <f>CE25+CF25+CG25</f>
        <v/>
      </c>
      <c r="BI25" s="1">
        <f>(T25+U25)*-1*M25/H25</f>
        <v/>
      </c>
      <c r="BJ25" s="1">
        <f>BH25*T25</f>
        <v/>
      </c>
      <c r="BK25" s="1">
        <f>CE25+CF25</f>
        <v/>
      </c>
      <c r="BL25" s="1">
        <f>U25*M25*-1/H25</f>
        <v/>
      </c>
      <c r="BM25" s="1">
        <f>BK25*T25</f>
        <v/>
      </c>
      <c r="BN25" s="1">
        <f>SUM(CD25:CH25)</f>
        <v/>
      </c>
      <c r="BO25" s="1">
        <f>(T25+U25)*-1*M25/H25</f>
        <v/>
      </c>
      <c r="BP25" s="1">
        <f>BN25*T25</f>
        <v/>
      </c>
      <c r="BQ25" s="1">
        <f>CD25+CE25+CF25+CH25</f>
        <v/>
      </c>
      <c r="BR25" s="1">
        <f>M25/H25*U25*-1</f>
        <v/>
      </c>
      <c r="BS25" s="1">
        <f>T25*BQ25</f>
        <v/>
      </c>
      <c r="BU25" s="9" t="n">
        <v>3.14</v>
      </c>
      <c r="BV25" s="10" t="n">
        <v>0.2218110024</v>
      </c>
      <c r="BW25" s="9" t="n">
        <v>0.18104824</v>
      </c>
      <c r="BX25" s="9" t="n">
        <v>0.015714286</v>
      </c>
      <c r="BZ25" s="10">
        <f>1/H25*BV25</f>
        <v/>
      </c>
      <c r="CA25" s="10">
        <f>I25/H25*BW25</f>
        <v/>
      </c>
      <c r="CB25" s="10">
        <f>BZ25+CA25</f>
        <v/>
      </c>
      <c r="CD25" s="10">
        <f>BU25</f>
        <v/>
      </c>
      <c r="CE25" s="10">
        <f>J25/H25*BW25</f>
        <v/>
      </c>
      <c r="CF25" s="10">
        <f>(CB25-CD25-CE25-CH25)*(1-D25)</f>
        <v/>
      </c>
      <c r="CG25" s="10">
        <f>(CB25-CD25-CE25-CH25)*D25</f>
        <v/>
      </c>
      <c r="CH25" s="10">
        <f>BX25*R25</f>
        <v/>
      </c>
      <c r="CI25" s="10">
        <f>SUM(CD25:CH25)</f>
        <v/>
      </c>
      <c r="CK25" s="1">
        <f>CI25-CB25</f>
        <v/>
      </c>
    </row>
    <row r="26">
      <c r="B26" s="14" t="inlineStr">
        <is>
          <t>NW_TSC+H2in:CH4</t>
        </is>
      </c>
      <c r="C26" s="13" t="inlineStr">
        <is>
          <t>Ethane</t>
        </is>
      </c>
      <c r="D26" s="13" t="n">
        <v>0</v>
      </c>
      <c r="E26" s="13" t="n">
        <v>0.1375867019</v>
      </c>
      <c r="F26" s="13" t="n">
        <v>0</v>
      </c>
      <c r="G26" s="13" t="n">
        <v>0</v>
      </c>
      <c r="H26" s="13" t="n">
        <v>0.05310189724</v>
      </c>
      <c r="I26" s="13" t="n">
        <v>0</v>
      </c>
      <c r="J26" s="13" t="n">
        <v>0.1181424966</v>
      </c>
      <c r="K26" s="13" t="n"/>
      <c r="L26" s="13" t="n"/>
      <c r="M26" s="11">
        <f>CG26*H26</f>
        <v/>
      </c>
      <c r="N26" s="11">
        <f>CF26*H26</f>
        <v/>
      </c>
      <c r="O26" s="13" t="n">
        <v>99124.32016</v>
      </c>
      <c r="P26" s="13" t="n">
        <v>54251.99777</v>
      </c>
      <c r="Q26" s="13" t="n">
        <v>1.676159756</v>
      </c>
      <c r="R26" s="11" t="n">
        <v>0.2020556</v>
      </c>
      <c r="T26" s="16" t="n">
        <v>99.913298</v>
      </c>
      <c r="U26" s="16" t="n">
        <v>-5.280129</v>
      </c>
      <c r="V26" s="16" t="n">
        <v>67.91567999999999</v>
      </c>
      <c r="W26" s="16" t="n">
        <v>44.074162</v>
      </c>
      <c r="X26" s="16" t="n">
        <v>42.063157</v>
      </c>
      <c r="Y26" s="22" t="n">
        <v>420</v>
      </c>
      <c r="Z26" s="11" t="n">
        <v>21.9863533</v>
      </c>
      <c r="AA26" s="17" t="n"/>
      <c r="AB26" s="17" t="n"/>
      <c r="AC26" s="16" t="n">
        <v>19.074368</v>
      </c>
      <c r="AD26" s="16" t="n">
        <v>5.238745</v>
      </c>
      <c r="AE26" s="16" t="n"/>
      <c r="AF26" s="17" t="n"/>
      <c r="AG26" s="17" t="n"/>
      <c r="AH26" s="17" t="n"/>
      <c r="AI26" s="17" t="n"/>
      <c r="AJ26" s="17" t="n"/>
      <c r="AK26" s="17" t="n"/>
      <c r="AL26" s="16" t="n">
        <v>-2.438704</v>
      </c>
      <c r="AM26" s="16" t="n">
        <v>-3.956322</v>
      </c>
      <c r="AN26" s="16" t="n">
        <v>796.736008</v>
      </c>
      <c r="AO26" s="16" t="n">
        <v>0</v>
      </c>
      <c r="AQ26" s="1">
        <f>B26</f>
        <v/>
      </c>
      <c r="AR26" s="1">
        <f>C26</f>
        <v/>
      </c>
      <c r="AS26" s="12">
        <f>SUM(AY26:BG26)+BI26+BJ26</f>
        <v/>
      </c>
      <c r="AT26" s="12">
        <f>SUM(AY26:BG26)+BL26+BM26</f>
        <v/>
      </c>
      <c r="AU26" s="5">
        <f>AS26-AT26</f>
        <v/>
      </c>
      <c r="AV26" s="12">
        <f>SUM(AY26:BG26)+BO26+BP26</f>
        <v/>
      </c>
      <c r="AW26" s="12">
        <f>SUM(AY26:BG26)+BR26+BS26</f>
        <v/>
      </c>
      <c r="AX26" s="5">
        <f>AV26-AW26</f>
        <v/>
      </c>
      <c r="AY26" s="5">
        <f>E26/H26*AD26</f>
        <v/>
      </c>
      <c r="AZ26" s="1">
        <f>F26/H26*AD26*-1</f>
        <v/>
      </c>
      <c r="BA26" s="1">
        <f>G26/H26*AC26</f>
        <v/>
      </c>
      <c r="BB26" s="1">
        <f>1/H26*Z26</f>
        <v/>
      </c>
      <c r="BC26" s="1">
        <f>I26/H26*AL26</f>
        <v/>
      </c>
      <c r="BD26" s="1">
        <f>J26/H26*AL26*-1</f>
        <v/>
      </c>
      <c r="BE26" s="1">
        <f>O26/H26/(0.9*8760)</f>
        <v/>
      </c>
      <c r="BF26" s="1">
        <f>P26/H26/(0.9*8760)</f>
        <v/>
      </c>
      <c r="BG26" s="1">
        <f>Q26/H26</f>
        <v/>
      </c>
      <c r="BH26" s="1">
        <f>CE26+CF26+CG26</f>
        <v/>
      </c>
      <c r="BI26" s="1">
        <f>(T26+U26)*-1*M26/H26</f>
        <v/>
      </c>
      <c r="BJ26" s="1">
        <f>BH26*T26</f>
        <v/>
      </c>
      <c r="BK26" s="1">
        <f>CE26+CF26</f>
        <v/>
      </c>
      <c r="BL26" s="1">
        <f>U26*M26*-1/H26</f>
        <v/>
      </c>
      <c r="BM26" s="1">
        <f>BK26*T26</f>
        <v/>
      </c>
      <c r="BN26" s="1">
        <f>SUM(CD26:CH26)</f>
        <v/>
      </c>
      <c r="BO26" s="1">
        <f>(T26+U26)*-1*M26/H26</f>
        <v/>
      </c>
      <c r="BP26" s="1">
        <f>BN26*T26</f>
        <v/>
      </c>
      <c r="BQ26" s="1">
        <f>CD26+CE26+CF26+CH26</f>
        <v/>
      </c>
      <c r="BR26" s="1">
        <f>M26/H26*U26*-1</f>
        <v/>
      </c>
      <c r="BS26" s="1">
        <f>T26*BQ26</f>
        <v/>
      </c>
      <c r="BU26" s="9" t="n">
        <v>3.14</v>
      </c>
      <c r="BV26" s="10" t="n">
        <v>0.2218110024</v>
      </c>
      <c r="BW26" s="9" t="n">
        <v>0.18104824</v>
      </c>
      <c r="BX26" s="9" t="n">
        <v>0.015714286</v>
      </c>
      <c r="BZ26" s="10">
        <f>1/H26*BV26</f>
        <v/>
      </c>
      <c r="CA26" s="10">
        <f>I26/H26*BW26</f>
        <v/>
      </c>
      <c r="CB26" s="10">
        <f>BZ26+CA26</f>
        <v/>
      </c>
      <c r="CD26" s="10">
        <f>BU26</f>
        <v/>
      </c>
      <c r="CE26" s="10">
        <f>J26/H26*BW26</f>
        <v/>
      </c>
      <c r="CF26" s="10">
        <f>(CB26-CD26-CE26-CH26)*(1-D26)</f>
        <v/>
      </c>
      <c r="CG26" s="10">
        <f>(CB26-CD26-CE26-CH26)*D26</f>
        <v/>
      </c>
      <c r="CH26" s="10">
        <f>BX26*R26</f>
        <v/>
      </c>
      <c r="CI26" s="10">
        <f>SUM(CD26:CH26)</f>
        <v/>
      </c>
      <c r="CK26" s="1">
        <f>CI26-CB26</f>
        <v/>
      </c>
    </row>
    <row r="27">
      <c r="B27" s="14" t="inlineStr">
        <is>
          <t>TX_TSC+CC90</t>
        </is>
      </c>
      <c r="C27" s="13" t="inlineStr">
        <is>
          <t>Ethane</t>
        </is>
      </c>
      <c r="D27" s="13" t="n">
        <v>0.9</v>
      </c>
      <c r="E27" s="13" t="n">
        <v>0</v>
      </c>
      <c r="F27" s="13" t="n">
        <v>0</v>
      </c>
      <c r="G27" s="13" t="n">
        <v>0.008052966438000001</v>
      </c>
      <c r="H27" s="13" t="n">
        <v>0.05310189724</v>
      </c>
      <c r="I27" s="13" t="n">
        <v>0.02270169876</v>
      </c>
      <c r="J27" s="13" t="n">
        <v>0</v>
      </c>
      <c r="K27" s="13" t="n"/>
      <c r="L27" s="13" t="n"/>
      <c r="M27" s="11">
        <f>CG27*H27</f>
        <v/>
      </c>
      <c r="N27" s="11">
        <f>CF27*H27</f>
        <v/>
      </c>
      <c r="O27" s="13" t="n">
        <v>106875.1697</v>
      </c>
      <c r="P27" s="13" t="n">
        <v>58496.38728</v>
      </c>
      <c r="Q27" s="13" t="n">
        <v>1.807224085</v>
      </c>
      <c r="R27" s="11" t="n">
        <v>0.2020556</v>
      </c>
      <c r="T27" s="16" t="n">
        <v>99.913298</v>
      </c>
      <c r="U27" s="16" t="n">
        <v>-4.998843</v>
      </c>
      <c r="V27" s="16" t="n">
        <v>65.086749</v>
      </c>
      <c r="W27" s="16" t="n">
        <v>44.879451</v>
      </c>
      <c r="X27" s="16" t="n">
        <v>38.220582</v>
      </c>
      <c r="Y27" s="22" t="n">
        <v>420</v>
      </c>
      <c r="Z27" s="11" t="n">
        <v>21.9863533</v>
      </c>
      <c r="AA27" s="17" t="n"/>
      <c r="AB27" s="17" t="n"/>
      <c r="AC27" s="16" t="n">
        <v>20.95841</v>
      </c>
      <c r="AD27" s="16" t="n">
        <v>6.059849</v>
      </c>
      <c r="AE27" s="16" t="n"/>
      <c r="AF27" s="17" t="n"/>
      <c r="AG27" s="17" t="n"/>
      <c r="AH27" s="17" t="n"/>
      <c r="AI27" s="17" t="n"/>
      <c r="AJ27" s="17" t="n"/>
      <c r="AK27" s="17" t="n"/>
      <c r="AL27" s="16" t="n">
        <v>-1.481188</v>
      </c>
      <c r="AM27" s="16" t="n">
        <v>-3.21388</v>
      </c>
      <c r="AN27" s="16" t="n">
        <v>796.736008</v>
      </c>
      <c r="AO27" s="16" t="n">
        <v>796.736008</v>
      </c>
      <c r="AQ27" s="1">
        <f>B27</f>
        <v/>
      </c>
      <c r="AR27" s="1">
        <f>C27</f>
        <v/>
      </c>
      <c r="AS27" s="12">
        <f>SUM(AY27:BG27)+BI27+BJ27</f>
        <v/>
      </c>
      <c r="AT27" s="12">
        <f>SUM(AY27:BG27)+BL27+BM27</f>
        <v/>
      </c>
      <c r="AU27" s="5">
        <f>AS27-AT27</f>
        <v/>
      </c>
      <c r="AV27" s="12">
        <f>SUM(AY27:BG27)+BO27+BP27</f>
        <v/>
      </c>
      <c r="AW27" s="12">
        <f>SUM(AY27:BG27)+BR27+BS27</f>
        <v/>
      </c>
      <c r="AX27" s="5">
        <f>AV27-AW27</f>
        <v/>
      </c>
      <c r="AY27" s="5">
        <f>E27/H27*AD27</f>
        <v/>
      </c>
      <c r="AZ27" s="1">
        <f>F27/H27*AD27*-1</f>
        <v/>
      </c>
      <c r="BA27" s="1">
        <f>G27/H27*AC27</f>
        <v/>
      </c>
      <c r="BB27" s="1">
        <f>1/H27*Z27</f>
        <v/>
      </c>
      <c r="BC27" s="1">
        <f>I27/H27*AL27</f>
        <v/>
      </c>
      <c r="BD27" s="1">
        <f>J27/H27*AL27*-1</f>
        <v/>
      </c>
      <c r="BE27" s="1">
        <f>O27/H27/(0.9*8760)</f>
        <v/>
      </c>
      <c r="BF27" s="1">
        <f>P27/H27/(0.9*8760)</f>
        <v/>
      </c>
      <c r="BG27" s="1">
        <f>Q27/H27</f>
        <v/>
      </c>
      <c r="BH27" s="1">
        <f>CE27+CF27+CG27</f>
        <v/>
      </c>
      <c r="BI27" s="1">
        <f>(T27+U27)*-1*M27/H27</f>
        <v/>
      </c>
      <c r="BJ27" s="1">
        <f>BH27*T27</f>
        <v/>
      </c>
      <c r="BK27" s="1">
        <f>CE27+CF27</f>
        <v/>
      </c>
      <c r="BL27" s="1">
        <f>U27*M27*-1/H27</f>
        <v/>
      </c>
      <c r="BM27" s="1">
        <f>BK27*T27</f>
        <v/>
      </c>
      <c r="BN27" s="1">
        <f>SUM(CD27:CH27)</f>
        <v/>
      </c>
      <c r="BO27" s="1">
        <f>(T27+U27)*-1*M27/H27</f>
        <v/>
      </c>
      <c r="BP27" s="1">
        <f>BN27*T27</f>
        <v/>
      </c>
      <c r="BQ27" s="1">
        <f>CD27+CE27+CF27+CH27</f>
        <v/>
      </c>
      <c r="BR27" s="1">
        <f>M27/H27*U27*-1</f>
        <v/>
      </c>
      <c r="BS27" s="1">
        <f>T27*BQ27</f>
        <v/>
      </c>
      <c r="BU27" s="9" t="n">
        <v>3.14</v>
      </c>
      <c r="BV27" s="10" t="n">
        <v>0.2218110024</v>
      </c>
      <c r="BW27" s="9" t="n">
        <v>0.18104824</v>
      </c>
      <c r="BX27" s="9" t="n">
        <v>0.015714286</v>
      </c>
      <c r="BZ27" s="10">
        <f>1/H27*BV27</f>
        <v/>
      </c>
      <c r="CA27" s="10">
        <f>I27/H27*BW27</f>
        <v/>
      </c>
      <c r="CB27" s="10">
        <f>BZ27+CA27</f>
        <v/>
      </c>
      <c r="CD27" s="10">
        <f>BU27</f>
        <v/>
      </c>
      <c r="CE27" s="10">
        <f>J27/H27*BW27</f>
        <v/>
      </c>
      <c r="CF27" s="10">
        <f>(CB27-CD27-CE27-CH27)*(1-D27)</f>
        <v/>
      </c>
      <c r="CG27" s="10">
        <f>(CB27-CD27-CE27-CH27)*D27</f>
        <v/>
      </c>
      <c r="CH27" s="10">
        <f>BX27*R27</f>
        <v/>
      </c>
      <c r="CI27" s="10">
        <f>SUM(CD27:CH27)</f>
        <v/>
      </c>
      <c r="CK27" s="1">
        <f>CI27-CB27</f>
        <v/>
      </c>
    </row>
    <row r="28">
      <c r="B28" s="14" t="inlineStr">
        <is>
          <t>TX_TSC:H2</t>
        </is>
      </c>
      <c r="C28" s="13" t="inlineStr">
        <is>
          <t>Ethane</t>
        </is>
      </c>
      <c r="D28" s="13" t="n">
        <v>0</v>
      </c>
      <c r="E28" s="13" t="n">
        <v>0</v>
      </c>
      <c r="F28" s="13" t="n">
        <v>0.1598531434</v>
      </c>
      <c r="G28" s="13" t="n">
        <v>0</v>
      </c>
      <c r="H28" s="13" t="n">
        <v>0.05310189724</v>
      </c>
      <c r="I28" s="13" t="n">
        <v>0.1318322859</v>
      </c>
      <c r="J28" s="13" t="n">
        <v>0</v>
      </c>
      <c r="K28" s="13" t="n"/>
      <c r="L28" s="13" t="n"/>
      <c r="M28" s="11">
        <f>CG28*H28</f>
        <v/>
      </c>
      <c r="N28" s="11">
        <f>CF28*H28</f>
        <v/>
      </c>
      <c r="O28" s="13" t="n">
        <v>99124.32016</v>
      </c>
      <c r="P28" s="13" t="n">
        <v>54251.99777</v>
      </c>
      <c r="Q28" s="13" t="n">
        <v>1.676159756</v>
      </c>
      <c r="R28" s="11" t="n">
        <v>0.2020556</v>
      </c>
      <c r="T28" s="16" t="n">
        <v>99.913298</v>
      </c>
      <c r="U28" s="16" t="n">
        <v>-4.998843</v>
      </c>
      <c r="V28" s="16" t="n">
        <v>65.086749</v>
      </c>
      <c r="W28" s="16" t="n">
        <v>44.879451</v>
      </c>
      <c r="X28" s="16" t="n">
        <v>38.220582</v>
      </c>
      <c r="Y28" s="22" t="n">
        <v>420</v>
      </c>
      <c r="Z28" s="11" t="n">
        <v>21.9863533</v>
      </c>
      <c r="AA28" s="17" t="n"/>
      <c r="AB28" s="17" t="n"/>
      <c r="AC28" s="16" t="n">
        <v>20.95841</v>
      </c>
      <c r="AD28" s="16" t="n">
        <v>6.059849</v>
      </c>
      <c r="AE28" s="16" t="n"/>
      <c r="AF28" s="17" t="n"/>
      <c r="AG28" s="17" t="n"/>
      <c r="AH28" s="17" t="n"/>
      <c r="AI28" s="17" t="n"/>
      <c r="AJ28" s="17" t="n"/>
      <c r="AK28" s="17" t="n"/>
      <c r="AL28" s="16" t="n">
        <v>-1.481188</v>
      </c>
      <c r="AM28" s="16" t="n">
        <v>-3.21388</v>
      </c>
      <c r="AN28" s="16" t="n">
        <v>796.736008</v>
      </c>
      <c r="AO28" s="16" t="n">
        <v>796.736008</v>
      </c>
      <c r="AQ28" s="1">
        <f>B28</f>
        <v/>
      </c>
      <c r="AR28" s="1">
        <f>C28</f>
        <v/>
      </c>
      <c r="AS28" s="12">
        <f>SUM(AY28:BG28)+BI28+BJ28</f>
        <v/>
      </c>
      <c r="AT28" s="12">
        <f>SUM(AY28:BG28)+BL28+BM28</f>
        <v/>
      </c>
      <c r="AU28" s="5">
        <f>AS28-AT28</f>
        <v/>
      </c>
      <c r="AV28" s="12">
        <f>SUM(AY28:BG28)+BO28+BP28</f>
        <v/>
      </c>
      <c r="AW28" s="12">
        <f>SUM(AY28:BG28)+BR28+BS28</f>
        <v/>
      </c>
      <c r="AX28" s="5">
        <f>AV28-AW28</f>
        <v/>
      </c>
      <c r="AY28" s="5">
        <f>E28/H28*AD28</f>
        <v/>
      </c>
      <c r="AZ28" s="1">
        <f>F28/H28*AD28*-1</f>
        <v/>
      </c>
      <c r="BA28" s="1">
        <f>G28/H28*AC28</f>
        <v/>
      </c>
      <c r="BB28" s="1">
        <f>1/H28*Z28</f>
        <v/>
      </c>
      <c r="BC28" s="1">
        <f>I28/H28*AL28</f>
        <v/>
      </c>
      <c r="BD28" s="1">
        <f>J28/H28*AL28*-1</f>
        <v/>
      </c>
      <c r="BE28" s="1">
        <f>O28/H28/(0.9*8760)</f>
        <v/>
      </c>
      <c r="BF28" s="1">
        <f>P28/H28/(0.9*8760)</f>
        <v/>
      </c>
      <c r="BG28" s="1">
        <f>Q28/H28</f>
        <v/>
      </c>
      <c r="BH28" s="1">
        <f>CE28+CF28+CG28</f>
        <v/>
      </c>
      <c r="BI28" s="1">
        <f>(T28+U28)*-1*M28/H28</f>
        <v/>
      </c>
      <c r="BJ28" s="1">
        <f>BH28*T28</f>
        <v/>
      </c>
      <c r="BK28" s="1">
        <f>CE28+CF28</f>
        <v/>
      </c>
      <c r="BL28" s="1">
        <f>U28*M28*-1/H28</f>
        <v/>
      </c>
      <c r="BM28" s="1">
        <f>BK28*T28</f>
        <v/>
      </c>
      <c r="BN28" s="1">
        <f>SUM(CD28:CH28)</f>
        <v/>
      </c>
      <c r="BO28" s="1">
        <f>(T28+U28)*-1*M28/H28</f>
        <v/>
      </c>
      <c r="BP28" s="1">
        <f>BN28*T28</f>
        <v/>
      </c>
      <c r="BQ28" s="1">
        <f>CD28+CE28+CF28+CH28</f>
        <v/>
      </c>
      <c r="BR28" s="1">
        <f>M28/H28*U28*-1</f>
        <v/>
      </c>
      <c r="BS28" s="1">
        <f>T28*BQ28</f>
        <v/>
      </c>
      <c r="BU28" s="9" t="n">
        <v>3.14</v>
      </c>
      <c r="BV28" s="10" t="n">
        <v>0.2218110024</v>
      </c>
      <c r="BW28" s="9" t="n">
        <v>0.18104824</v>
      </c>
      <c r="BX28" s="9" t="n">
        <v>0.015714286</v>
      </c>
      <c r="BZ28" s="10">
        <f>1/H28*BV28</f>
        <v/>
      </c>
      <c r="CA28" s="10">
        <f>I28/H28*BW28</f>
        <v/>
      </c>
      <c r="CB28" s="10">
        <f>BZ28+CA28</f>
        <v/>
      </c>
      <c r="CD28" s="10">
        <f>BU28</f>
        <v/>
      </c>
      <c r="CE28" s="10">
        <f>J28/H28*BW28</f>
        <v/>
      </c>
      <c r="CF28" s="10">
        <f>(CB28-CD28-CE28-CH28)*(1-D28)</f>
        <v/>
      </c>
      <c r="CG28" s="10">
        <f>(CB28-CD28-CE28-CH28)*D28</f>
        <v/>
      </c>
      <c r="CH28" s="10">
        <f>BX28*R28</f>
        <v/>
      </c>
      <c r="CI28" s="10">
        <f>SUM(CD28:CH28)</f>
        <v/>
      </c>
      <c r="CK28" s="1">
        <f>CI28-CB28</f>
        <v/>
      </c>
    </row>
    <row r="29">
      <c r="B29" s="14" t="inlineStr">
        <is>
          <t>TX_TSC+CC90:H2</t>
        </is>
      </c>
      <c r="C29" s="13" t="inlineStr">
        <is>
          <t>Ethane</t>
        </is>
      </c>
      <c r="D29" s="13" t="n">
        <v>0.9</v>
      </c>
      <c r="E29" s="13" t="n">
        <v>0</v>
      </c>
      <c r="F29" s="13" t="n">
        <v>0.1598531434</v>
      </c>
      <c r="G29" s="13" t="n">
        <v>0.009388736698</v>
      </c>
      <c r="H29" s="13" t="n">
        <v>0.05310189724</v>
      </c>
      <c r="I29" s="13" t="n">
        <v>0.1318322859</v>
      </c>
      <c r="J29" s="13" t="n">
        <v>0</v>
      </c>
      <c r="K29" s="13" t="n"/>
      <c r="L29" s="13" t="n"/>
      <c r="M29" s="11">
        <f>CG29*H29</f>
        <v/>
      </c>
      <c r="N29" s="11">
        <f>CF29*H29</f>
        <v/>
      </c>
      <c r="O29" s="13" t="n">
        <v>106900.9741</v>
      </c>
      <c r="P29" s="13" t="n">
        <v>58510.18581</v>
      </c>
      <c r="Q29" s="13" t="n">
        <v>1.807660423</v>
      </c>
      <c r="R29" s="11" t="n">
        <v>0.2020556</v>
      </c>
      <c r="T29" s="16" t="n">
        <v>99.913298</v>
      </c>
      <c r="U29" s="16" t="n">
        <v>-4.998843</v>
      </c>
      <c r="V29" s="16" t="n">
        <v>65.086749</v>
      </c>
      <c r="W29" s="16" t="n">
        <v>44.879451</v>
      </c>
      <c r="X29" s="16" t="n">
        <v>38.220582</v>
      </c>
      <c r="Y29" s="22" t="n">
        <v>420</v>
      </c>
      <c r="Z29" s="11" t="n">
        <v>21.9863533</v>
      </c>
      <c r="AA29" s="17" t="n"/>
      <c r="AB29" s="17" t="n"/>
      <c r="AC29" s="16" t="n">
        <v>20.95841</v>
      </c>
      <c r="AD29" s="16" t="n">
        <v>6.059849</v>
      </c>
      <c r="AE29" s="16" t="n"/>
      <c r="AF29" s="17" t="n"/>
      <c r="AG29" s="17" t="n"/>
      <c r="AH29" s="17" t="n"/>
      <c r="AI29" s="17" t="n"/>
      <c r="AJ29" s="17" t="n"/>
      <c r="AK29" s="17" t="n"/>
      <c r="AL29" s="16" t="n">
        <v>-1.481188</v>
      </c>
      <c r="AM29" s="16" t="n">
        <v>-3.21388</v>
      </c>
      <c r="AN29" s="16" t="n">
        <v>796.736008</v>
      </c>
      <c r="AO29" s="16" t="n">
        <v>796.736008</v>
      </c>
      <c r="AQ29" s="1">
        <f>B29</f>
        <v/>
      </c>
      <c r="AR29" s="1">
        <f>C29</f>
        <v/>
      </c>
      <c r="AS29" s="12">
        <f>SUM(AY29:BG29)+BI29+BJ29</f>
        <v/>
      </c>
      <c r="AT29" s="12">
        <f>SUM(AY29:BG29)+BL29+BM29</f>
        <v/>
      </c>
      <c r="AU29" s="5">
        <f>AS29-AT29</f>
        <v/>
      </c>
      <c r="AV29" s="12">
        <f>SUM(AY29:BG29)+BO29+BP29</f>
        <v/>
      </c>
      <c r="AW29" s="12">
        <f>SUM(AY29:BG29)+BR29+BS29</f>
        <v/>
      </c>
      <c r="AX29" s="5">
        <f>AV29-AW29</f>
        <v/>
      </c>
      <c r="AY29" s="5">
        <f>E29/H29*AD29</f>
        <v/>
      </c>
      <c r="AZ29" s="1">
        <f>F29/H29*AD29*-1</f>
        <v/>
      </c>
      <c r="BA29" s="1">
        <f>G29/H29*AC29</f>
        <v/>
      </c>
      <c r="BB29" s="1">
        <f>1/H29*Z29</f>
        <v/>
      </c>
      <c r="BC29" s="1">
        <f>I29/H29*AL29</f>
        <v/>
      </c>
      <c r="BD29" s="1">
        <f>J29/H29*AL29*-1</f>
        <v/>
      </c>
      <c r="BE29" s="1">
        <f>O29/H29/(0.9*8760)</f>
        <v/>
      </c>
      <c r="BF29" s="1">
        <f>P29/H29/(0.9*8760)</f>
        <v/>
      </c>
      <c r="BG29" s="1">
        <f>Q29/H29</f>
        <v/>
      </c>
      <c r="BH29" s="1">
        <f>CE29+CF29+CG29</f>
        <v/>
      </c>
      <c r="BI29" s="1">
        <f>(T29+U29)*-1*M29/H29</f>
        <v/>
      </c>
      <c r="BJ29" s="1">
        <f>BH29*T29</f>
        <v/>
      </c>
      <c r="BK29" s="1">
        <f>CE29+CF29</f>
        <v/>
      </c>
      <c r="BL29" s="1">
        <f>U29*M29*-1/H29</f>
        <v/>
      </c>
      <c r="BM29" s="1">
        <f>BK29*T29</f>
        <v/>
      </c>
      <c r="BN29" s="1">
        <f>SUM(CD29:CH29)</f>
        <v/>
      </c>
      <c r="BO29" s="1">
        <f>(T29+U29)*-1*M29/H29</f>
        <v/>
      </c>
      <c r="BP29" s="1">
        <f>BN29*T29</f>
        <v/>
      </c>
      <c r="BQ29" s="1">
        <f>CD29+CE29+CF29+CH29</f>
        <v/>
      </c>
      <c r="BR29" s="1">
        <f>M29/H29*U29*-1</f>
        <v/>
      </c>
      <c r="BS29" s="1">
        <f>T29*BQ29</f>
        <v/>
      </c>
      <c r="BU29" s="9" t="n">
        <v>3.14</v>
      </c>
      <c r="BV29" s="10" t="n">
        <v>0.2218110024</v>
      </c>
      <c r="BW29" s="9" t="n">
        <v>0.18104824</v>
      </c>
      <c r="BX29" s="9" t="n">
        <v>0.015714286</v>
      </c>
      <c r="BZ29" s="10">
        <f>1/H29*BV29</f>
        <v/>
      </c>
      <c r="CA29" s="10">
        <f>I29/H29*BW29</f>
        <v/>
      </c>
      <c r="CB29" s="10">
        <f>BZ29+CA29</f>
        <v/>
      </c>
      <c r="CD29" s="10">
        <f>BU29</f>
        <v/>
      </c>
      <c r="CE29" s="10">
        <f>J29/H29*BW29</f>
        <v/>
      </c>
      <c r="CF29" s="10">
        <f>(CB29-CD29-CE29-CH29)*(1-D29)</f>
        <v/>
      </c>
      <c r="CG29" s="10">
        <f>(CB29-CD29-CE29-CH29)*D29</f>
        <v/>
      </c>
      <c r="CH29" s="10">
        <f>BX29*R29</f>
        <v/>
      </c>
      <c r="CI29" s="10">
        <f>SUM(CD29:CH29)</f>
        <v/>
      </c>
      <c r="CK29" s="1">
        <f>CI29-CB29</f>
        <v/>
      </c>
    </row>
    <row r="30">
      <c r="B30" s="14" t="inlineStr">
        <is>
          <t>TX_TSC+H2in</t>
        </is>
      </c>
      <c r="C30" s="13" t="inlineStr">
        <is>
          <t>Ethane</t>
        </is>
      </c>
      <c r="D30" s="13" t="n">
        <v>0</v>
      </c>
      <c r="E30" s="13" t="n">
        <v>0.02226644157</v>
      </c>
      <c r="F30" s="13" t="n">
        <v>0</v>
      </c>
      <c r="G30" s="13" t="n">
        <v>0</v>
      </c>
      <c r="H30" s="13" t="n">
        <v>0.05310189724</v>
      </c>
      <c r="I30" s="13" t="n">
        <v>0</v>
      </c>
      <c r="J30" s="13" t="n">
        <v>0</v>
      </c>
      <c r="K30" s="13" t="n"/>
      <c r="L30" s="13" t="n"/>
      <c r="M30" s="11">
        <f>CG30*H30</f>
        <v/>
      </c>
      <c r="N30" s="11">
        <f>CF30*H30</f>
        <v/>
      </c>
      <c r="O30" s="13" t="n">
        <v>99124.32016</v>
      </c>
      <c r="P30" s="13" t="n">
        <v>54251.99777</v>
      </c>
      <c r="Q30" s="13" t="n">
        <v>1.676159756</v>
      </c>
      <c r="R30" s="11" t="n">
        <v>0.2020556</v>
      </c>
      <c r="T30" s="16" t="n">
        <v>99.913298</v>
      </c>
      <c r="U30" s="16" t="n">
        <v>-4.998843</v>
      </c>
      <c r="V30" s="16" t="n">
        <v>65.086749</v>
      </c>
      <c r="W30" s="16" t="n">
        <v>44.879451</v>
      </c>
      <c r="X30" s="16" t="n">
        <v>38.220582</v>
      </c>
      <c r="Y30" s="22" t="n">
        <v>420</v>
      </c>
      <c r="Z30" s="11" t="n">
        <v>21.9863533</v>
      </c>
      <c r="AA30" s="17" t="n"/>
      <c r="AB30" s="17" t="n"/>
      <c r="AC30" s="16" t="n">
        <v>20.95841</v>
      </c>
      <c r="AD30" s="16" t="n">
        <v>6.059849</v>
      </c>
      <c r="AE30" s="16" t="n"/>
      <c r="AF30" s="17" t="n"/>
      <c r="AG30" s="17" t="n"/>
      <c r="AH30" s="17" t="n"/>
      <c r="AI30" s="17" t="n"/>
      <c r="AJ30" s="17" t="n"/>
      <c r="AK30" s="17" t="n"/>
      <c r="AL30" s="16" t="n">
        <v>-1.481188</v>
      </c>
      <c r="AM30" s="16" t="n">
        <v>-3.21388</v>
      </c>
      <c r="AN30" s="16" t="n">
        <v>796.736008</v>
      </c>
      <c r="AO30" s="16" t="n">
        <v>796.736008</v>
      </c>
      <c r="AQ30" s="1">
        <f>B30</f>
        <v/>
      </c>
      <c r="AR30" s="1">
        <f>C30</f>
        <v/>
      </c>
      <c r="AS30" s="12">
        <f>SUM(AY30:BG30)+BI30+BJ30</f>
        <v/>
      </c>
      <c r="AT30" s="12">
        <f>SUM(AY30:BG30)+BL30+BM30</f>
        <v/>
      </c>
      <c r="AU30" s="5">
        <f>AS30-AT30</f>
        <v/>
      </c>
      <c r="AV30" s="12">
        <f>SUM(AY30:BG30)+BO30+BP30</f>
        <v/>
      </c>
      <c r="AW30" s="12">
        <f>SUM(AY30:BG30)+BR30+BS30</f>
        <v/>
      </c>
      <c r="AX30" s="5">
        <f>AV30-AW30</f>
        <v/>
      </c>
      <c r="AY30" s="5">
        <f>E30/H30*AD30</f>
        <v/>
      </c>
      <c r="AZ30" s="1">
        <f>F30/H30*AD30*-1</f>
        <v/>
      </c>
      <c r="BA30" s="1">
        <f>G30/H30*AC30</f>
        <v/>
      </c>
      <c r="BB30" s="1">
        <f>1/H30*Z30</f>
        <v/>
      </c>
      <c r="BC30" s="1">
        <f>I30/H30*AL30</f>
        <v/>
      </c>
      <c r="BD30" s="1">
        <f>J30/H30*AL30*-1</f>
        <v/>
      </c>
      <c r="BE30" s="1">
        <f>O30/H30/(0.9*8760)</f>
        <v/>
      </c>
      <c r="BF30" s="1">
        <f>P30/H30/(0.9*8760)</f>
        <v/>
      </c>
      <c r="BG30" s="1">
        <f>Q30/H30</f>
        <v/>
      </c>
      <c r="BH30" s="1">
        <f>CE30+CF30+CG30</f>
        <v/>
      </c>
      <c r="BI30" s="1">
        <f>(T30+U30)*-1*M30/H30</f>
        <v/>
      </c>
      <c r="BJ30" s="1">
        <f>BH30*T30</f>
        <v/>
      </c>
      <c r="BK30" s="1">
        <f>CE30+CF30</f>
        <v/>
      </c>
      <c r="BL30" s="1">
        <f>U30*M30*-1/H30</f>
        <v/>
      </c>
      <c r="BM30" s="1">
        <f>BK30*T30</f>
        <v/>
      </c>
      <c r="BN30" s="1">
        <f>SUM(CD30:CH30)</f>
        <v/>
      </c>
      <c r="BO30" s="1">
        <f>(T30+U30)*-1*M30/H30</f>
        <v/>
      </c>
      <c r="BP30" s="1">
        <f>BN30*T30</f>
        <v/>
      </c>
      <c r="BQ30" s="1">
        <f>CD30+CE30+CF30+CH30</f>
        <v/>
      </c>
      <c r="BR30" s="1">
        <f>M30/H30*U30*-1</f>
        <v/>
      </c>
      <c r="BS30" s="1">
        <f>T30*BQ30</f>
        <v/>
      </c>
      <c r="BU30" s="9" t="n">
        <v>3.14</v>
      </c>
      <c r="BV30" s="10" t="n">
        <v>0.2218110024</v>
      </c>
      <c r="BW30" s="9" t="n">
        <v>0.18104824</v>
      </c>
      <c r="BX30" s="9" t="n">
        <v>0.015714286</v>
      </c>
      <c r="BZ30" s="10">
        <f>1/H30*BV30</f>
        <v/>
      </c>
      <c r="CA30" s="10">
        <f>I30/H30*BW30</f>
        <v/>
      </c>
      <c r="CB30" s="10">
        <f>BZ30+CA30</f>
        <v/>
      </c>
      <c r="CD30" s="10">
        <f>BU30</f>
        <v/>
      </c>
      <c r="CE30" s="10">
        <f>J30/H30*BW30</f>
        <v/>
      </c>
      <c r="CF30" s="10">
        <f>(CB30-CD30-CE30-CH30)*(1-D30)</f>
        <v/>
      </c>
      <c r="CG30" s="10">
        <f>(CB30-CD30-CE30-CH30)*D30</f>
        <v/>
      </c>
      <c r="CH30" s="10">
        <f>BX30*R30</f>
        <v/>
      </c>
      <c r="CI30" s="10">
        <f>SUM(CD30:CH30)</f>
        <v/>
      </c>
      <c r="CK30" s="1">
        <f>CI30-CB30</f>
        <v/>
      </c>
    </row>
    <row r="31">
      <c r="B31" s="14" t="inlineStr">
        <is>
          <t>TX_TSC+H2in:CH4</t>
        </is>
      </c>
      <c r="C31" s="13" t="inlineStr">
        <is>
          <t>Ethane</t>
        </is>
      </c>
      <c r="D31" s="13" t="n">
        <v>0</v>
      </c>
      <c r="E31" s="13" t="n">
        <v>0.1375867019</v>
      </c>
      <c r="F31" s="13" t="n">
        <v>0</v>
      </c>
      <c r="G31" s="13" t="n">
        <v>0</v>
      </c>
      <c r="H31" s="13" t="n">
        <v>0.05310189724</v>
      </c>
      <c r="I31" s="13" t="n">
        <v>0</v>
      </c>
      <c r="J31" s="13" t="n">
        <v>0.1181424966</v>
      </c>
      <c r="K31" s="13" t="n"/>
      <c r="L31" s="13" t="n"/>
      <c r="M31" s="11">
        <f>CG31*H31</f>
        <v/>
      </c>
      <c r="N31" s="11">
        <f>CF31*H31</f>
        <v/>
      </c>
      <c r="O31" s="13" t="n">
        <v>99124.32016</v>
      </c>
      <c r="P31" s="13" t="n">
        <v>54251.99777</v>
      </c>
      <c r="Q31" s="13" t="n">
        <v>1.676159756</v>
      </c>
      <c r="R31" s="11" t="n">
        <v>0.2020556</v>
      </c>
      <c r="T31" s="16" t="n">
        <v>99.913298</v>
      </c>
      <c r="U31" s="16" t="n">
        <v>-4.998843</v>
      </c>
      <c r="V31" s="16" t="n">
        <v>65.086749</v>
      </c>
      <c r="W31" s="16" t="n">
        <v>44.879451</v>
      </c>
      <c r="X31" s="16" t="n">
        <v>38.220582</v>
      </c>
      <c r="Y31" s="22" t="n">
        <v>420</v>
      </c>
      <c r="Z31" s="11" t="n">
        <v>21.9863533</v>
      </c>
      <c r="AA31" s="17" t="n"/>
      <c r="AB31" s="17" t="n"/>
      <c r="AC31" s="16" t="n">
        <v>20.95841</v>
      </c>
      <c r="AD31" s="16" t="n">
        <v>6.059849</v>
      </c>
      <c r="AE31" s="16" t="n"/>
      <c r="AF31" s="17" t="n"/>
      <c r="AG31" s="17" t="n"/>
      <c r="AH31" s="17" t="n"/>
      <c r="AI31" s="17" t="n"/>
      <c r="AJ31" s="17" t="n"/>
      <c r="AK31" s="17" t="n"/>
      <c r="AL31" s="16" t="n">
        <v>-1.481188</v>
      </c>
      <c r="AM31" s="16" t="n">
        <v>-3.21388</v>
      </c>
      <c r="AN31" s="16" t="n">
        <v>796.736008</v>
      </c>
      <c r="AO31" s="16" t="n">
        <v>796.736008</v>
      </c>
      <c r="AQ31" s="1">
        <f>B31</f>
        <v/>
      </c>
      <c r="AR31" s="1">
        <f>C31</f>
        <v/>
      </c>
      <c r="AS31" s="12">
        <f>SUM(AY31:BG31)+BI31+BJ31</f>
        <v/>
      </c>
      <c r="AT31" s="12">
        <f>SUM(AY31:BG31)+BL31+BM31</f>
        <v/>
      </c>
      <c r="AU31" s="5">
        <f>AS31-AT31</f>
        <v/>
      </c>
      <c r="AV31" s="12">
        <f>SUM(AY31:BG31)+BO31+BP31</f>
        <v/>
      </c>
      <c r="AW31" s="12">
        <f>SUM(AY31:BG31)+BR31+BS31</f>
        <v/>
      </c>
      <c r="AX31" s="5">
        <f>AV31-AW31</f>
        <v/>
      </c>
      <c r="AY31" s="5">
        <f>E31/H31*AD31</f>
        <v/>
      </c>
      <c r="AZ31" s="1">
        <f>F31/H31*AD31*-1</f>
        <v/>
      </c>
      <c r="BA31" s="1">
        <f>G31/H31*AC31</f>
        <v/>
      </c>
      <c r="BB31" s="1">
        <f>1/H31*Z31</f>
        <v/>
      </c>
      <c r="BC31" s="1">
        <f>I31/H31*AL31</f>
        <v/>
      </c>
      <c r="BD31" s="1">
        <f>J31/H31*AL31*-1</f>
        <v/>
      </c>
      <c r="BE31" s="1">
        <f>O31/H31/(0.9*8760)</f>
        <v/>
      </c>
      <c r="BF31" s="1">
        <f>P31/H31/(0.9*8760)</f>
        <v/>
      </c>
      <c r="BG31" s="1">
        <f>Q31/H31</f>
        <v/>
      </c>
      <c r="BH31" s="1">
        <f>CE31+CF31+CG31</f>
        <v/>
      </c>
      <c r="BI31" s="1">
        <f>(T31+U31)*-1*M31/H31</f>
        <v/>
      </c>
      <c r="BJ31" s="1">
        <f>BH31*T31</f>
        <v/>
      </c>
      <c r="BK31" s="1">
        <f>CE31+CF31</f>
        <v/>
      </c>
      <c r="BL31" s="1">
        <f>U31*M31*-1/H31</f>
        <v/>
      </c>
      <c r="BM31" s="1">
        <f>BK31*T31</f>
        <v/>
      </c>
      <c r="BN31" s="1">
        <f>SUM(CD31:CH31)</f>
        <v/>
      </c>
      <c r="BO31" s="1">
        <f>(T31+U31)*-1*M31/H31</f>
        <v/>
      </c>
      <c r="BP31" s="1">
        <f>BN31*T31</f>
        <v/>
      </c>
      <c r="BQ31" s="1">
        <f>CD31+CE31+CF31+CH31</f>
        <v/>
      </c>
      <c r="BR31" s="1">
        <f>M31/H31*U31*-1</f>
        <v/>
      </c>
      <c r="BS31" s="1">
        <f>T31*BQ31</f>
        <v/>
      </c>
      <c r="BU31" s="9" t="n">
        <v>3.14</v>
      </c>
      <c r="BV31" s="10" t="n">
        <v>0.2218110024</v>
      </c>
      <c r="BW31" s="9" t="n">
        <v>0.18104824</v>
      </c>
      <c r="BX31" s="9" t="n">
        <v>0.015714286</v>
      </c>
      <c r="BZ31" s="10">
        <f>1/H31*BV31</f>
        <v/>
      </c>
      <c r="CA31" s="10">
        <f>I31/H31*BW31</f>
        <v/>
      </c>
      <c r="CB31" s="10">
        <f>BZ31+CA31</f>
        <v/>
      </c>
      <c r="CD31" s="10">
        <f>BU31</f>
        <v/>
      </c>
      <c r="CE31" s="10">
        <f>J31/H31*BW31</f>
        <v/>
      </c>
      <c r="CF31" s="10">
        <f>(CB31-CD31-CE31-CH31)*(1-D31)</f>
        <v/>
      </c>
      <c r="CG31" s="10">
        <f>(CB31-CD31-CE31-CH31)*D31</f>
        <v/>
      </c>
      <c r="CH31" s="10">
        <f>BX31*R31</f>
        <v/>
      </c>
      <c r="CI31" s="10">
        <f>SUM(CD31:CH31)</f>
        <v/>
      </c>
      <c r="CK31" s="1">
        <f>CI31-CB31</f>
        <v/>
      </c>
    </row>
    <row r="32">
      <c r="B32" s="14" t="inlineStr">
        <is>
          <t>NCEN_TSC+CC90</t>
        </is>
      </c>
      <c r="C32" s="13" t="inlineStr">
        <is>
          <t>Ethane</t>
        </is>
      </c>
      <c r="D32" s="13" t="n">
        <v>0.9</v>
      </c>
      <c r="E32" s="13" t="n">
        <v>0</v>
      </c>
      <c r="F32" s="13" t="n">
        <v>0</v>
      </c>
      <c r="G32" s="13" t="n">
        <v>0.008052966438000001</v>
      </c>
      <c r="H32" s="13" t="n">
        <v>0.05310189724</v>
      </c>
      <c r="I32" s="13" t="n">
        <v>0.02270169876</v>
      </c>
      <c r="J32" s="13" t="n">
        <v>0</v>
      </c>
      <c r="K32" s="13" t="n"/>
      <c r="L32" s="13" t="n"/>
      <c r="M32" s="11">
        <f>CG32*H32</f>
        <v/>
      </c>
      <c r="N32" s="11">
        <f>CF32*H32</f>
        <v/>
      </c>
      <c r="O32" s="13" t="n">
        <v>106875.1697</v>
      </c>
      <c r="P32" s="13" t="n">
        <v>58496.38728</v>
      </c>
      <c r="Q32" s="13" t="n">
        <v>1.807224085</v>
      </c>
      <c r="R32" s="11" t="n">
        <v>0.2020556</v>
      </c>
      <c r="T32" s="16" t="n">
        <v>99.913298</v>
      </c>
      <c r="U32" s="16" t="n">
        <v>-6.08881</v>
      </c>
      <c r="V32" s="16" t="n">
        <v>66.12049500000001</v>
      </c>
      <c r="W32" s="16" t="n">
        <v>43.630616</v>
      </c>
      <c r="X32" s="16" t="n">
        <v>43.105329</v>
      </c>
      <c r="Y32" s="22" t="n">
        <v>420</v>
      </c>
      <c r="Z32" s="11" t="n">
        <v>21.9863533</v>
      </c>
      <c r="AA32" s="17" t="n"/>
      <c r="AB32" s="17" t="n"/>
      <c r="AC32" s="16" t="n">
        <v>22.136932</v>
      </c>
      <c r="AD32" s="16" t="n">
        <v>6.801534</v>
      </c>
      <c r="AE32" s="16" t="n"/>
      <c r="AF32" s="17" t="n"/>
      <c r="AG32" s="17" t="n"/>
      <c r="AH32" s="17" t="n"/>
      <c r="AI32" s="17" t="n"/>
      <c r="AJ32" s="17" t="n"/>
      <c r="AK32" s="17" t="n"/>
      <c r="AL32" s="16" t="n">
        <v>-0.824778</v>
      </c>
      <c r="AM32" s="16" t="n">
        <v>-3.075704</v>
      </c>
      <c r="AN32" s="16" t="n">
        <v>796.736008</v>
      </c>
      <c r="AO32" s="16" t="n">
        <v>796.736008</v>
      </c>
      <c r="AQ32" s="1">
        <f>B32</f>
        <v/>
      </c>
      <c r="AR32" s="1">
        <f>C32</f>
        <v/>
      </c>
      <c r="AS32" s="12">
        <f>SUM(AY32:BG32)+BI32+BJ32</f>
        <v/>
      </c>
      <c r="AT32" s="12">
        <f>SUM(AY32:BG32)+BL32+BM32</f>
        <v/>
      </c>
      <c r="AU32" s="5">
        <f>AS32-AT32</f>
        <v/>
      </c>
      <c r="AV32" s="12">
        <f>SUM(AY32:BG32)+BO32+BP32</f>
        <v/>
      </c>
      <c r="AW32" s="12">
        <f>SUM(AY32:BG32)+BR32+BS32</f>
        <v/>
      </c>
      <c r="AX32" s="5">
        <f>AV32-AW32</f>
        <v/>
      </c>
      <c r="AY32" s="5">
        <f>E32/H32*AD32</f>
        <v/>
      </c>
      <c r="AZ32" s="1">
        <f>F32/H32*AD32*-1</f>
        <v/>
      </c>
      <c r="BA32" s="1">
        <f>G32/H32*AC32</f>
        <v/>
      </c>
      <c r="BB32" s="1">
        <f>1/H32*Z32</f>
        <v/>
      </c>
      <c r="BC32" s="1">
        <f>I32/H32*AL32</f>
        <v/>
      </c>
      <c r="BD32" s="1">
        <f>J32/H32*AL32*-1</f>
        <v/>
      </c>
      <c r="BE32" s="1">
        <f>O32/H32/(0.9*8760)</f>
        <v/>
      </c>
      <c r="BF32" s="1">
        <f>P32/H32/(0.9*8760)</f>
        <v/>
      </c>
      <c r="BG32" s="1">
        <f>Q32/H32</f>
        <v/>
      </c>
      <c r="BH32" s="1">
        <f>CE32+CF32+CG32</f>
        <v/>
      </c>
      <c r="BI32" s="1">
        <f>(T32+U32)*-1*M32/H32</f>
        <v/>
      </c>
      <c r="BJ32" s="1">
        <f>BH32*T32</f>
        <v/>
      </c>
      <c r="BK32" s="1">
        <f>CE32+CF32</f>
        <v/>
      </c>
      <c r="BL32" s="1">
        <f>U32*M32*-1/H32</f>
        <v/>
      </c>
      <c r="BM32" s="1">
        <f>BK32*T32</f>
        <v/>
      </c>
      <c r="BN32" s="1">
        <f>SUM(CD32:CH32)</f>
        <v/>
      </c>
      <c r="BO32" s="1">
        <f>(T32+U32)*-1*M32/H32</f>
        <v/>
      </c>
      <c r="BP32" s="1">
        <f>BN32*T32</f>
        <v/>
      </c>
      <c r="BQ32" s="1">
        <f>CD32+CE32+CF32+CH32</f>
        <v/>
      </c>
      <c r="BR32" s="1">
        <f>M32/H32*U32*-1</f>
        <v/>
      </c>
      <c r="BS32" s="1">
        <f>T32*BQ32</f>
        <v/>
      </c>
      <c r="BU32" s="9" t="n">
        <v>3.14</v>
      </c>
      <c r="BV32" s="10" t="n">
        <v>0.2218110024</v>
      </c>
      <c r="BW32" s="9" t="n">
        <v>0.18104824</v>
      </c>
      <c r="BX32" s="9" t="n">
        <v>0.015714286</v>
      </c>
      <c r="BZ32" s="10">
        <f>1/H32*BV32</f>
        <v/>
      </c>
      <c r="CA32" s="10">
        <f>I32/H32*BW32</f>
        <v/>
      </c>
      <c r="CB32" s="10">
        <f>BZ32+CA32</f>
        <v/>
      </c>
      <c r="CD32" s="10">
        <f>BU32</f>
        <v/>
      </c>
      <c r="CE32" s="10">
        <f>J32/H32*BW32</f>
        <v/>
      </c>
      <c r="CF32" s="10">
        <f>(CB32-CD32-CE32-CH32)*(1-D32)</f>
        <v/>
      </c>
      <c r="CG32" s="10">
        <f>(CB32-CD32-CE32-CH32)*D32</f>
        <v/>
      </c>
      <c r="CH32" s="10">
        <f>BX32*R32</f>
        <v/>
      </c>
      <c r="CI32" s="10">
        <f>SUM(CD32:CH32)</f>
        <v/>
      </c>
      <c r="CK32" s="1">
        <f>CI32-CB32</f>
        <v/>
      </c>
    </row>
    <row r="33">
      <c r="B33" s="14" t="inlineStr">
        <is>
          <t>NCEN_TSC:H2</t>
        </is>
      </c>
      <c r="C33" s="13" t="inlineStr">
        <is>
          <t>Ethane</t>
        </is>
      </c>
      <c r="D33" s="13" t="n">
        <v>0</v>
      </c>
      <c r="E33" s="13" t="n">
        <v>0</v>
      </c>
      <c r="F33" s="13" t="n">
        <v>0.1598531434</v>
      </c>
      <c r="G33" s="13" t="n">
        <v>0</v>
      </c>
      <c r="H33" s="13" t="n">
        <v>0.05310189724</v>
      </c>
      <c r="I33" s="13" t="n">
        <v>0.1318322859</v>
      </c>
      <c r="J33" s="13" t="n">
        <v>0</v>
      </c>
      <c r="K33" s="13" t="n"/>
      <c r="L33" s="13" t="n"/>
      <c r="M33" s="11">
        <f>CG33*H33</f>
        <v/>
      </c>
      <c r="N33" s="11">
        <f>CF33*H33</f>
        <v/>
      </c>
      <c r="O33" s="13" t="n">
        <v>99124.32016</v>
      </c>
      <c r="P33" s="13" t="n">
        <v>54251.99777</v>
      </c>
      <c r="Q33" s="13" t="n">
        <v>1.676159756</v>
      </c>
      <c r="R33" s="11" t="n">
        <v>0.2020556</v>
      </c>
      <c r="T33" s="16" t="n">
        <v>99.913298</v>
      </c>
      <c r="U33" s="16" t="n">
        <v>-6.08881</v>
      </c>
      <c r="V33" s="16" t="n">
        <v>66.12049500000001</v>
      </c>
      <c r="W33" s="16" t="n">
        <v>43.630616</v>
      </c>
      <c r="X33" s="16" t="n">
        <v>43.105329</v>
      </c>
      <c r="Y33" s="22" t="n">
        <v>420</v>
      </c>
      <c r="Z33" s="11" t="n">
        <v>21.9863533</v>
      </c>
      <c r="AA33" s="17" t="n"/>
      <c r="AB33" s="17" t="n"/>
      <c r="AC33" s="16" t="n">
        <v>22.136932</v>
      </c>
      <c r="AD33" s="16" t="n">
        <v>6.801534</v>
      </c>
      <c r="AE33" s="16" t="n"/>
      <c r="AF33" s="17" t="n"/>
      <c r="AG33" s="17" t="n"/>
      <c r="AH33" s="17" t="n"/>
      <c r="AI33" s="17" t="n"/>
      <c r="AJ33" s="17" t="n"/>
      <c r="AK33" s="17" t="n"/>
      <c r="AL33" s="16" t="n">
        <v>-0.824778</v>
      </c>
      <c r="AM33" s="16" t="n">
        <v>-3.075704</v>
      </c>
      <c r="AN33" s="16" t="n">
        <v>796.736008</v>
      </c>
      <c r="AO33" s="16" t="n">
        <v>796.736008</v>
      </c>
      <c r="AQ33" s="1">
        <f>B33</f>
        <v/>
      </c>
      <c r="AR33" s="1">
        <f>C33</f>
        <v/>
      </c>
      <c r="AS33" s="12">
        <f>SUM(AY33:BG33)+BI33+BJ33</f>
        <v/>
      </c>
      <c r="AT33" s="12">
        <f>SUM(AY33:BG33)+BL33+BM33</f>
        <v/>
      </c>
      <c r="AU33" s="5">
        <f>AS33-AT33</f>
        <v/>
      </c>
      <c r="AV33" s="12">
        <f>SUM(AY33:BG33)+BO33+BP33</f>
        <v/>
      </c>
      <c r="AW33" s="12">
        <f>SUM(AY33:BG33)+BR33+BS33</f>
        <v/>
      </c>
      <c r="AX33" s="5">
        <f>AV33-AW33</f>
        <v/>
      </c>
      <c r="AY33" s="5">
        <f>E33/H33*AD33</f>
        <v/>
      </c>
      <c r="AZ33" s="1">
        <f>F33/H33*AD33*-1</f>
        <v/>
      </c>
      <c r="BA33" s="1">
        <f>G33/H33*AC33</f>
        <v/>
      </c>
      <c r="BB33" s="1">
        <f>1/H33*Z33</f>
        <v/>
      </c>
      <c r="BC33" s="1">
        <f>I33/H33*AL33</f>
        <v/>
      </c>
      <c r="BD33" s="1">
        <f>J33/H33*AL33*-1</f>
        <v/>
      </c>
      <c r="BE33" s="1">
        <f>O33/H33/(0.9*8760)</f>
        <v/>
      </c>
      <c r="BF33" s="1">
        <f>P33/H33/(0.9*8760)</f>
        <v/>
      </c>
      <c r="BG33" s="1">
        <f>Q33/H33</f>
        <v/>
      </c>
      <c r="BH33" s="1">
        <f>CE33+CF33+CG33</f>
        <v/>
      </c>
      <c r="BI33" s="1">
        <f>(T33+U33)*-1*M33/H33</f>
        <v/>
      </c>
      <c r="BJ33" s="1">
        <f>BH33*T33</f>
        <v/>
      </c>
      <c r="BK33" s="1">
        <f>CE33+CF33</f>
        <v/>
      </c>
      <c r="BL33" s="1">
        <f>U33*M33*-1/H33</f>
        <v/>
      </c>
      <c r="BM33" s="1">
        <f>BK33*T33</f>
        <v/>
      </c>
      <c r="BN33" s="1">
        <f>SUM(CD33:CH33)</f>
        <v/>
      </c>
      <c r="BO33" s="1">
        <f>(T33+U33)*-1*M33/H33</f>
        <v/>
      </c>
      <c r="BP33" s="1">
        <f>BN33*T33</f>
        <v/>
      </c>
      <c r="BQ33" s="1">
        <f>CD33+CE33+CF33+CH33</f>
        <v/>
      </c>
      <c r="BR33" s="1">
        <f>M33/H33*U33*-1</f>
        <v/>
      </c>
      <c r="BS33" s="1">
        <f>T33*BQ33</f>
        <v/>
      </c>
      <c r="BU33" s="9" t="n">
        <v>3.14</v>
      </c>
      <c r="BV33" s="10" t="n">
        <v>0.2218110024</v>
      </c>
      <c r="BW33" s="9" t="n">
        <v>0.18104824</v>
      </c>
      <c r="BX33" s="9" t="n">
        <v>0.015714286</v>
      </c>
      <c r="BZ33" s="10">
        <f>1/H33*BV33</f>
        <v/>
      </c>
      <c r="CA33" s="10">
        <f>I33/H33*BW33</f>
        <v/>
      </c>
      <c r="CB33" s="10">
        <f>BZ33+CA33</f>
        <v/>
      </c>
      <c r="CD33" s="10">
        <f>BU33</f>
        <v/>
      </c>
      <c r="CE33" s="10">
        <f>J33/H33*BW33</f>
        <v/>
      </c>
      <c r="CF33" s="10">
        <f>(CB33-CD33-CE33-CH33)*(1-D33)</f>
        <v/>
      </c>
      <c r="CG33" s="10">
        <f>(CB33-CD33-CE33-CH33)*D33</f>
        <v/>
      </c>
      <c r="CH33" s="10">
        <f>BX33*R33</f>
        <v/>
      </c>
      <c r="CI33" s="10">
        <f>SUM(CD33:CH33)</f>
        <v/>
      </c>
      <c r="CK33" s="1">
        <f>CI33-CB33</f>
        <v/>
      </c>
    </row>
    <row r="34">
      <c r="B34" s="14" t="inlineStr">
        <is>
          <t>NCEN_TSC+CC90:H2</t>
        </is>
      </c>
      <c r="C34" s="13" t="inlineStr">
        <is>
          <t>Ethane</t>
        </is>
      </c>
      <c r="D34" s="13" t="n">
        <v>0.9</v>
      </c>
      <c r="E34" s="13" t="n">
        <v>0</v>
      </c>
      <c r="F34" s="13" t="n">
        <v>0.1598531434</v>
      </c>
      <c r="G34" s="13" t="n">
        <v>0.009388736698</v>
      </c>
      <c r="H34" s="13" t="n">
        <v>0.05310189724</v>
      </c>
      <c r="I34" s="13" t="n">
        <v>0.1318322859</v>
      </c>
      <c r="J34" s="13" t="n">
        <v>0</v>
      </c>
      <c r="K34" s="13" t="n"/>
      <c r="L34" s="13" t="n"/>
      <c r="M34" s="11">
        <f>CG34*H34</f>
        <v/>
      </c>
      <c r="N34" s="11">
        <f>CF34*H34</f>
        <v/>
      </c>
      <c r="O34" s="13" t="n">
        <v>106900.9741</v>
      </c>
      <c r="P34" s="13" t="n">
        <v>58510.18581</v>
      </c>
      <c r="Q34" s="13" t="n">
        <v>1.807660423</v>
      </c>
      <c r="R34" s="11" t="n">
        <v>0.2020556</v>
      </c>
      <c r="T34" s="16" t="n">
        <v>99.913298</v>
      </c>
      <c r="U34" s="16" t="n">
        <v>-6.08881</v>
      </c>
      <c r="V34" s="16" t="n">
        <v>66.12049500000001</v>
      </c>
      <c r="W34" s="16" t="n">
        <v>43.630616</v>
      </c>
      <c r="X34" s="16" t="n">
        <v>43.105329</v>
      </c>
      <c r="Y34" s="22" t="n">
        <v>420</v>
      </c>
      <c r="Z34" s="11" t="n">
        <v>21.9863533</v>
      </c>
      <c r="AA34" s="17" t="n"/>
      <c r="AB34" s="17" t="n"/>
      <c r="AC34" s="16" t="n">
        <v>22.136932</v>
      </c>
      <c r="AD34" s="16" t="n">
        <v>6.801534</v>
      </c>
      <c r="AE34" s="16" t="n"/>
      <c r="AF34" s="17" t="n"/>
      <c r="AG34" s="17" t="n"/>
      <c r="AH34" s="17" t="n"/>
      <c r="AI34" s="17" t="n"/>
      <c r="AJ34" s="17" t="n"/>
      <c r="AK34" s="17" t="n"/>
      <c r="AL34" s="16" t="n">
        <v>-0.824778</v>
      </c>
      <c r="AM34" s="16" t="n">
        <v>-3.075704</v>
      </c>
      <c r="AN34" s="16" t="n">
        <v>796.736008</v>
      </c>
      <c r="AO34" s="16" t="n">
        <v>796.736008</v>
      </c>
      <c r="AQ34" s="1">
        <f>B34</f>
        <v/>
      </c>
      <c r="AR34" s="1">
        <f>C34</f>
        <v/>
      </c>
      <c r="AS34" s="12">
        <f>SUM(AY34:BG34)+BI34+BJ34</f>
        <v/>
      </c>
      <c r="AT34" s="12">
        <f>SUM(AY34:BG34)+BL34+BM34</f>
        <v/>
      </c>
      <c r="AU34" s="5">
        <f>AS34-AT34</f>
        <v/>
      </c>
      <c r="AV34" s="12">
        <f>SUM(AY34:BG34)+BO34+BP34</f>
        <v/>
      </c>
      <c r="AW34" s="12">
        <f>SUM(AY34:BG34)+BR34+BS34</f>
        <v/>
      </c>
      <c r="AX34" s="5">
        <f>AV34-AW34</f>
        <v/>
      </c>
      <c r="AY34" s="5">
        <f>E34/H34*AD34</f>
        <v/>
      </c>
      <c r="AZ34" s="1">
        <f>F34/H34*AD34*-1</f>
        <v/>
      </c>
      <c r="BA34" s="1">
        <f>G34/H34*AC34</f>
        <v/>
      </c>
      <c r="BB34" s="1">
        <f>1/H34*Z34</f>
        <v/>
      </c>
      <c r="BC34" s="1">
        <f>I34/H34*AL34</f>
        <v/>
      </c>
      <c r="BD34" s="1">
        <f>J34/H34*AL34*-1</f>
        <v/>
      </c>
      <c r="BE34" s="1">
        <f>O34/H34/(0.9*8760)</f>
        <v/>
      </c>
      <c r="BF34" s="1">
        <f>P34/H34/(0.9*8760)</f>
        <v/>
      </c>
      <c r="BG34" s="1">
        <f>Q34/H34</f>
        <v/>
      </c>
      <c r="BH34" s="1">
        <f>CE34+CF34+CG34</f>
        <v/>
      </c>
      <c r="BI34" s="1">
        <f>(T34+U34)*-1*M34/H34</f>
        <v/>
      </c>
      <c r="BJ34" s="1">
        <f>BH34*T34</f>
        <v/>
      </c>
      <c r="BK34" s="1">
        <f>CE34+CF34</f>
        <v/>
      </c>
      <c r="BL34" s="1">
        <f>U34*M34*-1/H34</f>
        <v/>
      </c>
      <c r="BM34" s="1">
        <f>BK34*T34</f>
        <v/>
      </c>
      <c r="BN34" s="1">
        <f>SUM(CD34:CH34)</f>
        <v/>
      </c>
      <c r="BO34" s="1">
        <f>(T34+U34)*-1*M34/H34</f>
        <v/>
      </c>
      <c r="BP34" s="1">
        <f>BN34*T34</f>
        <v/>
      </c>
      <c r="BQ34" s="1">
        <f>CD34+CE34+CF34+CH34</f>
        <v/>
      </c>
      <c r="BR34" s="1">
        <f>M34/H34*U34*-1</f>
        <v/>
      </c>
      <c r="BS34" s="1">
        <f>T34*BQ34</f>
        <v/>
      </c>
      <c r="BU34" s="9" t="n">
        <v>3.14</v>
      </c>
      <c r="BV34" s="10" t="n">
        <v>0.2218110024</v>
      </c>
      <c r="BW34" s="9" t="n">
        <v>0.18104824</v>
      </c>
      <c r="BX34" s="9" t="n">
        <v>0.015714286</v>
      </c>
      <c r="BZ34" s="10">
        <f>1/H34*BV34</f>
        <v/>
      </c>
      <c r="CA34" s="10">
        <f>I34/H34*BW34</f>
        <v/>
      </c>
      <c r="CB34" s="10">
        <f>BZ34+CA34</f>
        <v/>
      </c>
      <c r="CD34" s="10">
        <f>BU34</f>
        <v/>
      </c>
      <c r="CE34" s="10">
        <f>J34/H34*BW34</f>
        <v/>
      </c>
      <c r="CF34" s="10">
        <f>(CB34-CD34-CE34-CH34)*(1-D34)</f>
        <v/>
      </c>
      <c r="CG34" s="10">
        <f>(CB34-CD34-CE34-CH34)*D34</f>
        <v/>
      </c>
      <c r="CH34" s="10">
        <f>BX34*R34</f>
        <v/>
      </c>
      <c r="CI34" s="10">
        <f>SUM(CD34:CH34)</f>
        <v/>
      </c>
      <c r="CK34" s="1">
        <f>CI34-CB34</f>
        <v/>
      </c>
    </row>
    <row r="35">
      <c r="B35" s="14" t="inlineStr">
        <is>
          <t>NCEN_TSC+H2in</t>
        </is>
      </c>
      <c r="C35" s="13" t="inlineStr">
        <is>
          <t>Ethane</t>
        </is>
      </c>
      <c r="D35" s="13" t="n">
        <v>0</v>
      </c>
      <c r="E35" s="13" t="n">
        <v>0.02226644157</v>
      </c>
      <c r="F35" s="13" t="n">
        <v>0</v>
      </c>
      <c r="G35" s="13" t="n">
        <v>0</v>
      </c>
      <c r="H35" s="13" t="n">
        <v>0.05310189724</v>
      </c>
      <c r="I35" s="13" t="n">
        <v>0</v>
      </c>
      <c r="J35" s="13" t="n">
        <v>0</v>
      </c>
      <c r="K35" s="13" t="n"/>
      <c r="L35" s="13" t="n"/>
      <c r="M35" s="11">
        <f>CG35*H35</f>
        <v/>
      </c>
      <c r="N35" s="11">
        <f>CF35*H35</f>
        <v/>
      </c>
      <c r="O35" s="13" t="n">
        <v>99124.32016</v>
      </c>
      <c r="P35" s="13" t="n">
        <v>54251.99777</v>
      </c>
      <c r="Q35" s="13" t="n">
        <v>1.676159756</v>
      </c>
      <c r="R35" s="11" t="n">
        <v>0.2020556</v>
      </c>
      <c r="T35" s="16" t="n">
        <v>99.913298</v>
      </c>
      <c r="U35" s="16" t="n">
        <v>-6.08881</v>
      </c>
      <c r="V35" s="16" t="n">
        <v>66.12049500000001</v>
      </c>
      <c r="W35" s="16" t="n">
        <v>43.630616</v>
      </c>
      <c r="X35" s="16" t="n">
        <v>43.105329</v>
      </c>
      <c r="Y35" s="22" t="n">
        <v>420</v>
      </c>
      <c r="Z35" s="11" t="n">
        <v>21.9863533</v>
      </c>
      <c r="AA35" s="17" t="n"/>
      <c r="AB35" s="17" t="n"/>
      <c r="AC35" s="16" t="n">
        <v>22.136932</v>
      </c>
      <c r="AD35" s="16" t="n">
        <v>6.801534</v>
      </c>
      <c r="AE35" s="16" t="n"/>
      <c r="AF35" s="17" t="n"/>
      <c r="AG35" s="17" t="n"/>
      <c r="AH35" s="17" t="n"/>
      <c r="AI35" s="17" t="n"/>
      <c r="AJ35" s="17" t="n"/>
      <c r="AK35" s="17" t="n"/>
      <c r="AL35" s="16" t="n">
        <v>-0.824778</v>
      </c>
      <c r="AM35" s="16" t="n">
        <v>-3.075704</v>
      </c>
      <c r="AN35" s="16" t="n">
        <v>796.736008</v>
      </c>
      <c r="AO35" s="16" t="n">
        <v>796.736008</v>
      </c>
      <c r="AQ35" s="1">
        <f>B35</f>
        <v/>
      </c>
      <c r="AR35" s="1">
        <f>C35</f>
        <v/>
      </c>
      <c r="AS35" s="12">
        <f>SUM(AY35:BG35)+BI35+BJ35</f>
        <v/>
      </c>
      <c r="AT35" s="12">
        <f>SUM(AY35:BG35)+BL35+BM35</f>
        <v/>
      </c>
      <c r="AU35" s="5">
        <f>AS35-AT35</f>
        <v/>
      </c>
      <c r="AV35" s="12">
        <f>SUM(AY35:BG35)+BO35+BP35</f>
        <v/>
      </c>
      <c r="AW35" s="12">
        <f>SUM(AY35:BG35)+BR35+BS35</f>
        <v/>
      </c>
      <c r="AX35" s="5">
        <f>AV35-AW35</f>
        <v/>
      </c>
      <c r="AY35" s="5">
        <f>E35/H35*AD35</f>
        <v/>
      </c>
      <c r="AZ35" s="1">
        <f>F35/H35*AD35*-1</f>
        <v/>
      </c>
      <c r="BA35" s="1">
        <f>G35/H35*AC35</f>
        <v/>
      </c>
      <c r="BB35" s="1">
        <f>1/H35*Z35</f>
        <v/>
      </c>
      <c r="BC35" s="1">
        <f>I35/H35*AL35</f>
        <v/>
      </c>
      <c r="BD35" s="1">
        <f>J35/H35*AL35*-1</f>
        <v/>
      </c>
      <c r="BE35" s="1">
        <f>O35/H35/(0.9*8760)</f>
        <v/>
      </c>
      <c r="BF35" s="1">
        <f>P35/H35/(0.9*8760)</f>
        <v/>
      </c>
      <c r="BG35" s="1">
        <f>Q35/H35</f>
        <v/>
      </c>
      <c r="BH35" s="1">
        <f>CE35+CF35+CG35</f>
        <v/>
      </c>
      <c r="BI35" s="1">
        <f>(T35+U35)*-1*M35/H35</f>
        <v/>
      </c>
      <c r="BJ35" s="1">
        <f>BH35*T35</f>
        <v/>
      </c>
      <c r="BK35" s="1">
        <f>CE35+CF35</f>
        <v/>
      </c>
      <c r="BL35" s="1">
        <f>U35*M35*-1/H35</f>
        <v/>
      </c>
      <c r="BM35" s="1">
        <f>BK35*T35</f>
        <v/>
      </c>
      <c r="BN35" s="1">
        <f>SUM(CD35:CH35)</f>
        <v/>
      </c>
      <c r="BO35" s="1">
        <f>(T35+U35)*-1*M35/H35</f>
        <v/>
      </c>
      <c r="BP35" s="1">
        <f>BN35*T35</f>
        <v/>
      </c>
      <c r="BQ35" s="1">
        <f>CD35+CE35+CF35+CH35</f>
        <v/>
      </c>
      <c r="BR35" s="1">
        <f>M35/H35*U35*-1</f>
        <v/>
      </c>
      <c r="BS35" s="1">
        <f>T35*BQ35</f>
        <v/>
      </c>
      <c r="BU35" s="9" t="n">
        <v>3.14</v>
      </c>
      <c r="BV35" s="10" t="n">
        <v>0.2218110024</v>
      </c>
      <c r="BW35" s="9" t="n">
        <v>0.18104824</v>
      </c>
      <c r="BX35" s="9" t="n">
        <v>0.015714286</v>
      </c>
      <c r="BZ35" s="10">
        <f>1/H35*BV35</f>
        <v/>
      </c>
      <c r="CA35" s="10">
        <f>I35/H35*BW35</f>
        <v/>
      </c>
      <c r="CB35" s="10">
        <f>BZ35+CA35</f>
        <v/>
      </c>
      <c r="CD35" s="10">
        <f>BU35</f>
        <v/>
      </c>
      <c r="CE35" s="10">
        <f>J35/H35*BW35</f>
        <v/>
      </c>
      <c r="CF35" s="10">
        <f>(CB35-CD35-CE35-CH35)*(1-D35)</f>
        <v/>
      </c>
      <c r="CG35" s="10">
        <f>(CB35-CD35-CE35-CH35)*D35</f>
        <v/>
      </c>
      <c r="CH35" s="10">
        <f>BX35*R35</f>
        <v/>
      </c>
      <c r="CI35" s="10">
        <f>SUM(CD35:CH35)</f>
        <v/>
      </c>
      <c r="CK35" s="1">
        <f>CI35-CB35</f>
        <v/>
      </c>
    </row>
    <row r="36">
      <c r="B36" s="14" t="inlineStr">
        <is>
          <t>NCEN_TSC+H2in:CH4</t>
        </is>
      </c>
      <c r="C36" s="13" t="inlineStr">
        <is>
          <t>Ethane</t>
        </is>
      </c>
      <c r="D36" s="13" t="n">
        <v>0</v>
      </c>
      <c r="E36" s="13" t="n">
        <v>0.1375867019</v>
      </c>
      <c r="F36" s="13" t="n">
        <v>0</v>
      </c>
      <c r="G36" s="13" t="n">
        <v>0</v>
      </c>
      <c r="H36" s="13" t="n">
        <v>0.05310189724</v>
      </c>
      <c r="I36" s="13" t="n">
        <v>0</v>
      </c>
      <c r="J36" s="13" t="n">
        <v>0.1181424966</v>
      </c>
      <c r="K36" s="13" t="n"/>
      <c r="L36" s="13" t="n"/>
      <c r="M36" s="11">
        <f>CG36*H36</f>
        <v/>
      </c>
      <c r="N36" s="11">
        <f>CF36*H36</f>
        <v/>
      </c>
      <c r="O36" s="13" t="n">
        <v>99124.32016</v>
      </c>
      <c r="P36" s="13" t="n">
        <v>54251.99777</v>
      </c>
      <c r="Q36" s="13" t="n">
        <v>1.676159756</v>
      </c>
      <c r="R36" s="11" t="n">
        <v>0.2020556</v>
      </c>
      <c r="T36" s="16" t="n">
        <v>99.913298</v>
      </c>
      <c r="U36" s="16" t="n">
        <v>-6.08881</v>
      </c>
      <c r="V36" s="16" t="n">
        <v>66.12049500000001</v>
      </c>
      <c r="W36" s="16" t="n">
        <v>43.630616</v>
      </c>
      <c r="X36" s="16" t="n">
        <v>43.105329</v>
      </c>
      <c r="Y36" s="22" t="n">
        <v>420</v>
      </c>
      <c r="Z36" s="11" t="n">
        <v>21.9863533</v>
      </c>
      <c r="AA36" s="17" t="n"/>
      <c r="AB36" s="17" t="n"/>
      <c r="AC36" s="16" t="n">
        <v>22.136932</v>
      </c>
      <c r="AD36" s="16" t="n">
        <v>6.801534</v>
      </c>
      <c r="AE36" s="16" t="n"/>
      <c r="AF36" s="17" t="n"/>
      <c r="AG36" s="17" t="n"/>
      <c r="AH36" s="17" t="n"/>
      <c r="AI36" s="17" t="n"/>
      <c r="AJ36" s="17" t="n"/>
      <c r="AK36" s="17" t="n"/>
      <c r="AL36" s="16" t="n">
        <v>-0.824778</v>
      </c>
      <c r="AM36" s="16" t="n">
        <v>-3.075704</v>
      </c>
      <c r="AN36" s="16" t="n">
        <v>796.736008</v>
      </c>
      <c r="AO36" s="16" t="n">
        <v>796.736008</v>
      </c>
      <c r="AQ36" s="1">
        <f>B36</f>
        <v/>
      </c>
      <c r="AR36" s="1">
        <f>C36</f>
        <v/>
      </c>
      <c r="AS36" s="12">
        <f>SUM(AY36:BG36)+BI36+BJ36</f>
        <v/>
      </c>
      <c r="AT36" s="12">
        <f>SUM(AY36:BG36)+BL36+BM36</f>
        <v/>
      </c>
      <c r="AU36" s="5">
        <f>AS36-AT36</f>
        <v/>
      </c>
      <c r="AV36" s="12">
        <f>SUM(AY36:BG36)+BO36+BP36</f>
        <v/>
      </c>
      <c r="AW36" s="12">
        <f>SUM(AY36:BG36)+BR36+BS36</f>
        <v/>
      </c>
      <c r="AX36" s="5">
        <f>AV36-AW36</f>
        <v/>
      </c>
      <c r="AY36" s="5">
        <f>E36/H36*AD36</f>
        <v/>
      </c>
      <c r="AZ36" s="1">
        <f>F36/H36*AD36*-1</f>
        <v/>
      </c>
      <c r="BA36" s="1">
        <f>G36/H36*AC36</f>
        <v/>
      </c>
      <c r="BB36" s="1">
        <f>1/H36*Z36</f>
        <v/>
      </c>
      <c r="BC36" s="1">
        <f>I36/H36*AL36</f>
        <v/>
      </c>
      <c r="BD36" s="1">
        <f>J36/H36*AL36*-1</f>
        <v/>
      </c>
      <c r="BE36" s="1">
        <f>O36/H36/(0.9*8760)</f>
        <v/>
      </c>
      <c r="BF36" s="1">
        <f>P36/H36/(0.9*8760)</f>
        <v/>
      </c>
      <c r="BG36" s="1">
        <f>Q36/H36</f>
        <v/>
      </c>
      <c r="BH36" s="1">
        <f>CE36+CF36+CG36</f>
        <v/>
      </c>
      <c r="BI36" s="1">
        <f>(T36+U36)*-1*M36/H36</f>
        <v/>
      </c>
      <c r="BJ36" s="1">
        <f>BH36*T36</f>
        <v/>
      </c>
      <c r="BK36" s="1">
        <f>CE36+CF36</f>
        <v/>
      </c>
      <c r="BL36" s="1">
        <f>U36*M36*-1/H36</f>
        <v/>
      </c>
      <c r="BM36" s="1">
        <f>BK36*T36</f>
        <v/>
      </c>
      <c r="BN36" s="1">
        <f>SUM(CD36:CH36)</f>
        <v/>
      </c>
      <c r="BO36" s="1">
        <f>(T36+U36)*-1*M36/H36</f>
        <v/>
      </c>
      <c r="BP36" s="1">
        <f>BN36*T36</f>
        <v/>
      </c>
      <c r="BQ36" s="1">
        <f>CD36+CE36+CF36+CH36</f>
        <v/>
      </c>
      <c r="BR36" s="1">
        <f>M36/H36*U36*-1</f>
        <v/>
      </c>
      <c r="BS36" s="1">
        <f>T36*BQ36</f>
        <v/>
      </c>
      <c r="BU36" s="9" t="n">
        <v>3.14</v>
      </c>
      <c r="BV36" s="10" t="n">
        <v>0.2218110024</v>
      </c>
      <c r="BW36" s="9" t="n">
        <v>0.18104824</v>
      </c>
      <c r="BX36" s="9" t="n">
        <v>0.015714286</v>
      </c>
      <c r="BZ36" s="10">
        <f>1/H36*BV36</f>
        <v/>
      </c>
      <c r="CA36" s="10">
        <f>I36/H36*BW36</f>
        <v/>
      </c>
      <c r="CB36" s="10">
        <f>BZ36+CA36</f>
        <v/>
      </c>
      <c r="CD36" s="10">
        <f>BU36</f>
        <v/>
      </c>
      <c r="CE36" s="10">
        <f>J36/H36*BW36</f>
        <v/>
      </c>
      <c r="CF36" s="10">
        <f>(CB36-CD36-CE36-CH36)*(1-D36)</f>
        <v/>
      </c>
      <c r="CG36" s="10">
        <f>(CB36-CD36-CE36-CH36)*D36</f>
        <v/>
      </c>
      <c r="CH36" s="10">
        <f>BX36*R36</f>
        <v/>
      </c>
      <c r="CI36" s="10">
        <f>SUM(CD36:CH36)</f>
        <v/>
      </c>
      <c r="CK36" s="1">
        <f>CI36-CB36</f>
        <v/>
      </c>
    </row>
    <row r="37">
      <c r="B37" s="14" t="inlineStr">
        <is>
          <t>CEN_TSC+CC90</t>
        </is>
      </c>
      <c r="C37" s="13" t="inlineStr">
        <is>
          <t>Ethane</t>
        </is>
      </c>
      <c r="D37" s="13" t="n">
        <v>0.9</v>
      </c>
      <c r="E37" s="13" t="n">
        <v>0</v>
      </c>
      <c r="F37" s="13" t="n">
        <v>0</v>
      </c>
      <c r="G37" s="13" t="n">
        <v>0.008052966438000001</v>
      </c>
      <c r="H37" s="13" t="n">
        <v>0.05310189724</v>
      </c>
      <c r="I37" s="13" t="n">
        <v>0.02270169876</v>
      </c>
      <c r="J37" s="13" t="n">
        <v>0</v>
      </c>
      <c r="K37" s="13" t="n"/>
      <c r="L37" s="13" t="n"/>
      <c r="M37" s="11">
        <f>CG37*H37</f>
        <v/>
      </c>
      <c r="N37" s="11">
        <f>CF37*H37</f>
        <v/>
      </c>
      <c r="O37" s="13" t="n">
        <v>106875.1697</v>
      </c>
      <c r="P37" s="13" t="n">
        <v>58496.38728</v>
      </c>
      <c r="Q37" s="13" t="n">
        <v>1.807224085</v>
      </c>
      <c r="R37" s="11" t="n">
        <v>0.2020556</v>
      </c>
      <c r="T37" s="16" t="n">
        <v>99.913298</v>
      </c>
      <c r="U37" s="16" t="n">
        <v>-6.197641</v>
      </c>
      <c r="V37" s="16" t="n">
        <v>65.135812</v>
      </c>
      <c r="W37" s="16" t="n">
        <v>43.37233</v>
      </c>
      <c r="X37" s="16" t="n">
        <v>42.438418</v>
      </c>
      <c r="Y37" s="22" t="n">
        <v>420</v>
      </c>
      <c r="Z37" s="11" t="n">
        <v>21.9863533</v>
      </c>
      <c r="AA37" s="17" t="n"/>
      <c r="AB37" s="17" t="n"/>
      <c r="AC37" s="16" t="n">
        <v>21.530919</v>
      </c>
      <c r="AD37" s="16" t="n">
        <v>6.288532</v>
      </c>
      <c r="AE37" s="16" t="n"/>
      <c r="AF37" s="17" t="n"/>
      <c r="AG37" s="17" t="n"/>
      <c r="AH37" s="17" t="n"/>
      <c r="AI37" s="17" t="n"/>
      <c r="AJ37" s="17" t="n"/>
      <c r="AK37" s="17" t="n"/>
      <c r="AL37" s="16" t="n">
        <v>-1.431457</v>
      </c>
      <c r="AM37" s="16" t="n">
        <v>-3.351826</v>
      </c>
      <c r="AN37" s="16" t="n">
        <v>796.736008</v>
      </c>
      <c r="AO37" s="16" t="n">
        <v>796.736008</v>
      </c>
      <c r="AQ37" s="1">
        <f>B37</f>
        <v/>
      </c>
      <c r="AR37" s="1">
        <f>C37</f>
        <v/>
      </c>
      <c r="AS37" s="12">
        <f>SUM(AY37:BG37)+BI37+BJ37</f>
        <v/>
      </c>
      <c r="AT37" s="12">
        <f>SUM(AY37:BG37)+BL37+BM37</f>
        <v/>
      </c>
      <c r="AU37" s="5">
        <f>AS37-AT37</f>
        <v/>
      </c>
      <c r="AV37" s="12">
        <f>SUM(AY37:BG37)+BO37+BP37</f>
        <v/>
      </c>
      <c r="AW37" s="12">
        <f>SUM(AY37:BG37)+BR37+BS37</f>
        <v/>
      </c>
      <c r="AX37" s="5">
        <f>AV37-AW37</f>
        <v/>
      </c>
      <c r="AY37" s="5">
        <f>E37/H37*AD37</f>
        <v/>
      </c>
      <c r="AZ37" s="1">
        <f>F37/H37*AD37*-1</f>
        <v/>
      </c>
      <c r="BA37" s="1">
        <f>G37/H37*AC37</f>
        <v/>
      </c>
      <c r="BB37" s="1">
        <f>1/H37*Z37</f>
        <v/>
      </c>
      <c r="BC37" s="1">
        <f>I37/H37*AL37</f>
        <v/>
      </c>
      <c r="BD37" s="1">
        <f>J37/H37*AL37*-1</f>
        <v/>
      </c>
      <c r="BE37" s="1">
        <f>O37/H37/(0.9*8760)</f>
        <v/>
      </c>
      <c r="BF37" s="1">
        <f>P37/H37/(0.9*8760)</f>
        <v/>
      </c>
      <c r="BG37" s="1">
        <f>Q37/H37</f>
        <v/>
      </c>
      <c r="BH37" s="1">
        <f>CE37+CF37+CG37</f>
        <v/>
      </c>
      <c r="BI37" s="1">
        <f>(T37+U37)*-1*M37/H37</f>
        <v/>
      </c>
      <c r="BJ37" s="1">
        <f>BH37*T37</f>
        <v/>
      </c>
      <c r="BK37" s="1">
        <f>CE37+CF37</f>
        <v/>
      </c>
      <c r="BL37" s="1">
        <f>U37*M37*-1/H37</f>
        <v/>
      </c>
      <c r="BM37" s="1">
        <f>BK37*T37</f>
        <v/>
      </c>
      <c r="BN37" s="1">
        <f>SUM(CD37:CH37)</f>
        <v/>
      </c>
      <c r="BO37" s="1">
        <f>(T37+U37)*-1*M37/H37</f>
        <v/>
      </c>
      <c r="BP37" s="1">
        <f>BN37*T37</f>
        <v/>
      </c>
      <c r="BQ37" s="1">
        <f>CD37+CE37+CF37+CH37</f>
        <v/>
      </c>
      <c r="BR37" s="1">
        <f>M37/H37*U37*-1</f>
        <v/>
      </c>
      <c r="BS37" s="1">
        <f>T37*BQ37</f>
        <v/>
      </c>
      <c r="BU37" s="9" t="n">
        <v>3.14</v>
      </c>
      <c r="BV37" s="10" t="n">
        <v>0.2218110024</v>
      </c>
      <c r="BW37" s="9" t="n">
        <v>0.18104824</v>
      </c>
      <c r="BX37" s="9" t="n">
        <v>0.015714286</v>
      </c>
      <c r="BZ37" s="10">
        <f>1/H37*BV37</f>
        <v/>
      </c>
      <c r="CA37" s="10">
        <f>I37/H37*BW37</f>
        <v/>
      </c>
      <c r="CB37" s="10">
        <f>BZ37+CA37</f>
        <v/>
      </c>
      <c r="CD37" s="10">
        <f>BU37</f>
        <v/>
      </c>
      <c r="CE37" s="10">
        <f>J37/H37*BW37</f>
        <v/>
      </c>
      <c r="CF37" s="10">
        <f>(CB37-CD37-CE37-CH37)*(1-D37)</f>
        <v/>
      </c>
      <c r="CG37" s="10">
        <f>(CB37-CD37-CE37-CH37)*D37</f>
        <v/>
      </c>
      <c r="CH37" s="10">
        <f>BX37*R37</f>
        <v/>
      </c>
      <c r="CI37" s="10">
        <f>SUM(CD37:CH37)</f>
        <v/>
      </c>
      <c r="CK37" s="1">
        <f>CI37-CB37</f>
        <v/>
      </c>
    </row>
    <row r="38">
      <c r="B38" s="14" t="inlineStr">
        <is>
          <t>CEN_TSC:H2</t>
        </is>
      </c>
      <c r="C38" s="13" t="inlineStr">
        <is>
          <t>Ethane</t>
        </is>
      </c>
      <c r="D38" s="13" t="n">
        <v>0</v>
      </c>
      <c r="E38" s="13" t="n">
        <v>0</v>
      </c>
      <c r="F38" s="13" t="n">
        <v>0.1598531434</v>
      </c>
      <c r="G38" s="13" t="n">
        <v>0</v>
      </c>
      <c r="H38" s="13" t="n">
        <v>0.05310189724</v>
      </c>
      <c r="I38" s="13" t="n">
        <v>0.1318322859</v>
      </c>
      <c r="J38" s="13" t="n">
        <v>0</v>
      </c>
      <c r="K38" s="13" t="n"/>
      <c r="L38" s="13" t="n"/>
      <c r="M38" s="11">
        <f>CG38*H38</f>
        <v/>
      </c>
      <c r="N38" s="11">
        <f>CF38*H38</f>
        <v/>
      </c>
      <c r="O38" s="13" t="n">
        <v>99124.32016</v>
      </c>
      <c r="P38" s="13" t="n">
        <v>54251.99777</v>
      </c>
      <c r="Q38" s="13" t="n">
        <v>1.676159756</v>
      </c>
      <c r="R38" s="11" t="n">
        <v>0.2020556</v>
      </c>
      <c r="T38" s="16" t="n">
        <v>99.913298</v>
      </c>
      <c r="U38" s="16" t="n">
        <v>-6.197641</v>
      </c>
      <c r="V38" s="16" t="n">
        <v>65.135812</v>
      </c>
      <c r="W38" s="16" t="n">
        <v>43.37233</v>
      </c>
      <c r="X38" s="16" t="n">
        <v>42.438418</v>
      </c>
      <c r="Y38" s="22" t="n">
        <v>420</v>
      </c>
      <c r="Z38" s="11" t="n">
        <v>21.9863533</v>
      </c>
      <c r="AA38" s="17" t="n"/>
      <c r="AB38" s="17" t="n"/>
      <c r="AC38" s="16" t="n">
        <v>21.530919</v>
      </c>
      <c r="AD38" s="16" t="n">
        <v>6.288532</v>
      </c>
      <c r="AE38" s="16" t="n"/>
      <c r="AF38" s="17" t="n"/>
      <c r="AG38" s="17" t="n"/>
      <c r="AH38" s="17" t="n"/>
      <c r="AI38" s="17" t="n"/>
      <c r="AJ38" s="17" t="n"/>
      <c r="AK38" s="17" t="n"/>
      <c r="AL38" s="16" t="n">
        <v>-1.431457</v>
      </c>
      <c r="AM38" s="16" t="n">
        <v>-3.351826</v>
      </c>
      <c r="AN38" s="16" t="n">
        <v>796.736008</v>
      </c>
      <c r="AO38" s="16" t="n">
        <v>796.736008</v>
      </c>
      <c r="AQ38" s="1">
        <f>B38</f>
        <v/>
      </c>
      <c r="AR38" s="1">
        <f>C38</f>
        <v/>
      </c>
      <c r="AS38" s="12">
        <f>SUM(AY38:BG38)+BI38+BJ38</f>
        <v/>
      </c>
      <c r="AT38" s="12">
        <f>SUM(AY38:BG38)+BL38+BM38</f>
        <v/>
      </c>
      <c r="AU38" s="5">
        <f>AS38-AT38</f>
        <v/>
      </c>
      <c r="AV38" s="12">
        <f>SUM(AY38:BG38)+BO38+BP38</f>
        <v/>
      </c>
      <c r="AW38" s="12">
        <f>SUM(AY38:BG38)+BR38+BS38</f>
        <v/>
      </c>
      <c r="AX38" s="5">
        <f>AV38-AW38</f>
        <v/>
      </c>
      <c r="AY38" s="5">
        <f>E38/H38*AD38</f>
        <v/>
      </c>
      <c r="AZ38" s="1">
        <f>F38/H38*AD38*-1</f>
        <v/>
      </c>
      <c r="BA38" s="1">
        <f>G38/H38*AC38</f>
        <v/>
      </c>
      <c r="BB38" s="1">
        <f>1/H38*Z38</f>
        <v/>
      </c>
      <c r="BC38" s="1">
        <f>I38/H38*AL38</f>
        <v/>
      </c>
      <c r="BD38" s="1">
        <f>J38/H38*AL38*-1</f>
        <v/>
      </c>
      <c r="BE38" s="1">
        <f>O38/H38/(0.9*8760)</f>
        <v/>
      </c>
      <c r="BF38" s="1">
        <f>P38/H38/(0.9*8760)</f>
        <v/>
      </c>
      <c r="BG38" s="1">
        <f>Q38/H38</f>
        <v/>
      </c>
      <c r="BH38" s="1">
        <f>CE38+CF38+CG38</f>
        <v/>
      </c>
      <c r="BI38" s="1">
        <f>(T38+U38)*-1*M38/H38</f>
        <v/>
      </c>
      <c r="BJ38" s="1">
        <f>BH38*T38</f>
        <v/>
      </c>
      <c r="BK38" s="1">
        <f>CE38+CF38</f>
        <v/>
      </c>
      <c r="BL38" s="1">
        <f>U38*M38*-1/H38</f>
        <v/>
      </c>
      <c r="BM38" s="1">
        <f>BK38*T38</f>
        <v/>
      </c>
      <c r="BN38" s="1">
        <f>SUM(CD38:CH38)</f>
        <v/>
      </c>
      <c r="BO38" s="1">
        <f>(T38+U38)*-1*M38/H38</f>
        <v/>
      </c>
      <c r="BP38" s="1">
        <f>BN38*T38</f>
        <v/>
      </c>
      <c r="BQ38" s="1">
        <f>CD38+CE38+CF38+CH38</f>
        <v/>
      </c>
      <c r="BR38" s="1">
        <f>M38/H38*U38*-1</f>
        <v/>
      </c>
      <c r="BS38" s="1">
        <f>T38*BQ38</f>
        <v/>
      </c>
      <c r="BU38" s="9" t="n">
        <v>3.14</v>
      </c>
      <c r="BV38" s="10" t="n">
        <v>0.2218110024</v>
      </c>
      <c r="BW38" s="9" t="n">
        <v>0.18104824</v>
      </c>
      <c r="BX38" s="9" t="n">
        <v>0.015714286</v>
      </c>
      <c r="BZ38" s="10">
        <f>1/H38*BV38</f>
        <v/>
      </c>
      <c r="CA38" s="10">
        <f>I38/H38*BW38</f>
        <v/>
      </c>
      <c r="CB38" s="10">
        <f>BZ38+CA38</f>
        <v/>
      </c>
      <c r="CD38" s="10">
        <f>BU38</f>
        <v/>
      </c>
      <c r="CE38" s="10">
        <f>J38/H38*BW38</f>
        <v/>
      </c>
      <c r="CF38" s="10">
        <f>(CB38-CD38-CE38-CH38)*(1-D38)</f>
        <v/>
      </c>
      <c r="CG38" s="10">
        <f>(CB38-CD38-CE38-CH38)*D38</f>
        <v/>
      </c>
      <c r="CH38" s="10">
        <f>BX38*R38</f>
        <v/>
      </c>
      <c r="CI38" s="10">
        <f>SUM(CD38:CH38)</f>
        <v/>
      </c>
      <c r="CK38" s="1">
        <f>CI38-CB38</f>
        <v/>
      </c>
    </row>
    <row r="39">
      <c r="B39" s="14" t="inlineStr">
        <is>
          <t>CEN_TSC+CC90:H2</t>
        </is>
      </c>
      <c r="C39" s="13" t="inlineStr">
        <is>
          <t>Ethane</t>
        </is>
      </c>
      <c r="D39" s="13" t="n">
        <v>0.9</v>
      </c>
      <c r="E39" s="13" t="n">
        <v>0</v>
      </c>
      <c r="F39" s="13" t="n">
        <v>0.1598531434</v>
      </c>
      <c r="G39" s="13" t="n">
        <v>0.009388736698</v>
      </c>
      <c r="H39" s="13" t="n">
        <v>0.05310189724</v>
      </c>
      <c r="I39" s="13" t="n">
        <v>0.1318322859</v>
      </c>
      <c r="J39" s="13" t="n">
        <v>0</v>
      </c>
      <c r="K39" s="13" t="n"/>
      <c r="L39" s="13" t="n"/>
      <c r="M39" s="11">
        <f>CG39*H39</f>
        <v/>
      </c>
      <c r="N39" s="11">
        <f>CF39*H39</f>
        <v/>
      </c>
      <c r="O39" s="13" t="n">
        <v>106900.9741</v>
      </c>
      <c r="P39" s="13" t="n">
        <v>58510.18581</v>
      </c>
      <c r="Q39" s="13" t="n">
        <v>1.807660423</v>
      </c>
      <c r="R39" s="11" t="n">
        <v>0.2020556</v>
      </c>
      <c r="T39" s="16" t="n">
        <v>99.913298</v>
      </c>
      <c r="U39" s="16" t="n">
        <v>-6.197641</v>
      </c>
      <c r="V39" s="16" t="n">
        <v>65.135812</v>
      </c>
      <c r="W39" s="16" t="n">
        <v>43.37233</v>
      </c>
      <c r="X39" s="16" t="n">
        <v>42.438418</v>
      </c>
      <c r="Y39" s="22" t="n">
        <v>420</v>
      </c>
      <c r="Z39" s="11" t="n">
        <v>21.9863533</v>
      </c>
      <c r="AA39" s="17" t="n"/>
      <c r="AB39" s="17" t="n"/>
      <c r="AC39" s="16" t="n">
        <v>21.530919</v>
      </c>
      <c r="AD39" s="16" t="n">
        <v>6.288532</v>
      </c>
      <c r="AE39" s="16" t="n"/>
      <c r="AF39" s="17" t="n"/>
      <c r="AG39" s="17" t="n"/>
      <c r="AH39" s="17" t="n"/>
      <c r="AI39" s="17" t="n"/>
      <c r="AJ39" s="17" t="n"/>
      <c r="AK39" s="17" t="n"/>
      <c r="AL39" s="16" t="n">
        <v>-1.431457</v>
      </c>
      <c r="AM39" s="16" t="n">
        <v>-3.351826</v>
      </c>
      <c r="AN39" s="16" t="n">
        <v>796.736008</v>
      </c>
      <c r="AO39" s="16" t="n">
        <v>796.736008</v>
      </c>
      <c r="AQ39" s="1">
        <f>B39</f>
        <v/>
      </c>
      <c r="AR39" s="1">
        <f>C39</f>
        <v/>
      </c>
      <c r="AS39" s="12">
        <f>SUM(AY39:BG39)+BI39+BJ39</f>
        <v/>
      </c>
      <c r="AT39" s="12">
        <f>SUM(AY39:BG39)+BL39+BM39</f>
        <v/>
      </c>
      <c r="AU39" s="5">
        <f>AS39-AT39</f>
        <v/>
      </c>
      <c r="AV39" s="12">
        <f>SUM(AY39:BG39)+BO39+BP39</f>
        <v/>
      </c>
      <c r="AW39" s="12">
        <f>SUM(AY39:BG39)+BR39+BS39</f>
        <v/>
      </c>
      <c r="AX39" s="5">
        <f>AV39-AW39</f>
        <v/>
      </c>
      <c r="AY39" s="5">
        <f>E39/H39*AD39</f>
        <v/>
      </c>
      <c r="AZ39" s="1">
        <f>F39/H39*AD39*-1</f>
        <v/>
      </c>
      <c r="BA39" s="1">
        <f>G39/H39*AC39</f>
        <v/>
      </c>
      <c r="BB39" s="1">
        <f>1/H39*Z39</f>
        <v/>
      </c>
      <c r="BC39" s="1">
        <f>I39/H39*AL39</f>
        <v/>
      </c>
      <c r="BD39" s="1">
        <f>J39/H39*AL39*-1</f>
        <v/>
      </c>
      <c r="BE39" s="1">
        <f>O39/H39/(0.9*8760)</f>
        <v/>
      </c>
      <c r="BF39" s="1">
        <f>P39/H39/(0.9*8760)</f>
        <v/>
      </c>
      <c r="BG39" s="1">
        <f>Q39/H39</f>
        <v/>
      </c>
      <c r="BH39" s="1">
        <f>CE39+CF39+CG39</f>
        <v/>
      </c>
      <c r="BI39" s="1">
        <f>(T39+U39)*-1*M39/H39</f>
        <v/>
      </c>
      <c r="BJ39" s="1">
        <f>BH39*T39</f>
        <v/>
      </c>
      <c r="BK39" s="1">
        <f>CE39+CF39</f>
        <v/>
      </c>
      <c r="BL39" s="1">
        <f>U39*M39*-1/H39</f>
        <v/>
      </c>
      <c r="BM39" s="1">
        <f>BK39*T39</f>
        <v/>
      </c>
      <c r="BN39" s="1">
        <f>SUM(CD39:CH39)</f>
        <v/>
      </c>
      <c r="BO39" s="1">
        <f>(T39+U39)*-1*M39/H39</f>
        <v/>
      </c>
      <c r="BP39" s="1">
        <f>BN39*T39</f>
        <v/>
      </c>
      <c r="BQ39" s="1">
        <f>CD39+CE39+CF39+CH39</f>
        <v/>
      </c>
      <c r="BR39" s="1">
        <f>M39/H39*U39*-1</f>
        <v/>
      </c>
      <c r="BS39" s="1">
        <f>T39*BQ39</f>
        <v/>
      </c>
      <c r="BU39" s="9" t="n">
        <v>3.14</v>
      </c>
      <c r="BV39" s="10" t="n">
        <v>0.2218110024</v>
      </c>
      <c r="BW39" s="9" t="n">
        <v>0.18104824</v>
      </c>
      <c r="BX39" s="9" t="n">
        <v>0.015714286</v>
      </c>
      <c r="BZ39" s="10">
        <f>1/H39*BV39</f>
        <v/>
      </c>
      <c r="CA39" s="10">
        <f>I39/H39*BW39</f>
        <v/>
      </c>
      <c r="CB39" s="10">
        <f>BZ39+CA39</f>
        <v/>
      </c>
      <c r="CD39" s="10">
        <f>BU39</f>
        <v/>
      </c>
      <c r="CE39" s="10">
        <f>J39/H39*BW39</f>
        <v/>
      </c>
      <c r="CF39" s="10">
        <f>(CB39-CD39-CE39-CH39)*(1-D39)</f>
        <v/>
      </c>
      <c r="CG39" s="10">
        <f>(CB39-CD39-CE39-CH39)*D39</f>
        <v/>
      </c>
      <c r="CH39" s="10">
        <f>BX39*R39</f>
        <v/>
      </c>
      <c r="CI39" s="10">
        <f>SUM(CD39:CH39)</f>
        <v/>
      </c>
      <c r="CK39" s="1">
        <f>CI39-CB39</f>
        <v/>
      </c>
    </row>
    <row r="40">
      <c r="B40" s="14" t="inlineStr">
        <is>
          <t>CEN_TSC+H2in</t>
        </is>
      </c>
      <c r="C40" s="13" t="inlineStr">
        <is>
          <t>Ethane</t>
        </is>
      </c>
      <c r="D40" s="13" t="n">
        <v>0</v>
      </c>
      <c r="E40" s="13" t="n">
        <v>0.02226644157</v>
      </c>
      <c r="F40" s="13" t="n">
        <v>0</v>
      </c>
      <c r="G40" s="13" t="n">
        <v>0</v>
      </c>
      <c r="H40" s="13" t="n">
        <v>0.05310189724</v>
      </c>
      <c r="I40" s="13" t="n">
        <v>0</v>
      </c>
      <c r="J40" s="13" t="n">
        <v>0</v>
      </c>
      <c r="K40" s="13" t="n"/>
      <c r="L40" s="13" t="n"/>
      <c r="M40" s="11">
        <f>CG40*H40</f>
        <v/>
      </c>
      <c r="N40" s="11">
        <f>CF40*H40</f>
        <v/>
      </c>
      <c r="O40" s="13" t="n">
        <v>99124.32016</v>
      </c>
      <c r="P40" s="13" t="n">
        <v>54251.99777</v>
      </c>
      <c r="Q40" s="13" t="n">
        <v>1.676159756</v>
      </c>
      <c r="R40" s="11" t="n">
        <v>0.2020556</v>
      </c>
      <c r="T40" s="16" t="n">
        <v>99.913298</v>
      </c>
      <c r="U40" s="16" t="n">
        <v>-6.197641</v>
      </c>
      <c r="V40" s="16" t="n">
        <v>65.135812</v>
      </c>
      <c r="W40" s="16" t="n">
        <v>43.37233</v>
      </c>
      <c r="X40" s="16" t="n">
        <v>42.438418</v>
      </c>
      <c r="Y40" s="22" t="n">
        <v>420</v>
      </c>
      <c r="Z40" s="11" t="n">
        <v>21.9863533</v>
      </c>
      <c r="AA40" s="17" t="n"/>
      <c r="AB40" s="17" t="n"/>
      <c r="AC40" s="16" t="n">
        <v>21.530919</v>
      </c>
      <c r="AD40" s="16" t="n">
        <v>6.288532</v>
      </c>
      <c r="AE40" s="16" t="n"/>
      <c r="AF40" s="17" t="n"/>
      <c r="AG40" s="17" t="n"/>
      <c r="AH40" s="17" t="n"/>
      <c r="AI40" s="17" t="n"/>
      <c r="AJ40" s="17" t="n"/>
      <c r="AK40" s="17" t="n"/>
      <c r="AL40" s="16" t="n">
        <v>-1.431457</v>
      </c>
      <c r="AM40" s="16" t="n">
        <v>-3.351826</v>
      </c>
      <c r="AN40" s="16" t="n">
        <v>796.736008</v>
      </c>
      <c r="AO40" s="16" t="n">
        <v>796.736008</v>
      </c>
      <c r="AQ40" s="1">
        <f>B40</f>
        <v/>
      </c>
      <c r="AR40" s="1">
        <f>C40</f>
        <v/>
      </c>
      <c r="AS40" s="12">
        <f>SUM(AY40:BG40)+BI40+BJ40</f>
        <v/>
      </c>
      <c r="AT40" s="12">
        <f>SUM(AY40:BG40)+BL40+BM40</f>
        <v/>
      </c>
      <c r="AU40" s="5">
        <f>AS40-AT40</f>
        <v/>
      </c>
      <c r="AV40" s="12">
        <f>SUM(AY40:BG40)+BO40+BP40</f>
        <v/>
      </c>
      <c r="AW40" s="12">
        <f>SUM(AY40:BG40)+BR40+BS40</f>
        <v/>
      </c>
      <c r="AX40" s="5">
        <f>AV40-AW40</f>
        <v/>
      </c>
      <c r="AY40" s="5">
        <f>E40/H40*AD40</f>
        <v/>
      </c>
      <c r="AZ40" s="1">
        <f>F40/H40*AD40*-1</f>
        <v/>
      </c>
      <c r="BA40" s="1">
        <f>G40/H40*AC40</f>
        <v/>
      </c>
      <c r="BB40" s="1">
        <f>1/H40*Z40</f>
        <v/>
      </c>
      <c r="BC40" s="1">
        <f>I40/H40*AL40</f>
        <v/>
      </c>
      <c r="BD40" s="1">
        <f>J40/H40*AL40*-1</f>
        <v/>
      </c>
      <c r="BE40" s="1">
        <f>O40/H40/(0.9*8760)</f>
        <v/>
      </c>
      <c r="BF40" s="1">
        <f>P40/H40/(0.9*8760)</f>
        <v/>
      </c>
      <c r="BG40" s="1">
        <f>Q40/H40</f>
        <v/>
      </c>
      <c r="BH40" s="1">
        <f>CE40+CF40+CG40</f>
        <v/>
      </c>
      <c r="BI40" s="1">
        <f>(T40+U40)*-1*M40/H40</f>
        <v/>
      </c>
      <c r="BJ40" s="1">
        <f>BH40*T40</f>
        <v/>
      </c>
      <c r="BK40" s="1">
        <f>CE40+CF40</f>
        <v/>
      </c>
      <c r="BL40" s="1">
        <f>U40*M40*-1/H40</f>
        <v/>
      </c>
      <c r="BM40" s="1">
        <f>BK40*T40</f>
        <v/>
      </c>
      <c r="BN40" s="1">
        <f>SUM(CD40:CH40)</f>
        <v/>
      </c>
      <c r="BO40" s="1">
        <f>(T40+U40)*-1*M40/H40</f>
        <v/>
      </c>
      <c r="BP40" s="1">
        <f>BN40*T40</f>
        <v/>
      </c>
      <c r="BQ40" s="1">
        <f>CD40+CE40+CF40+CH40</f>
        <v/>
      </c>
      <c r="BR40" s="1">
        <f>M40/H40*U40*-1</f>
        <v/>
      </c>
      <c r="BS40" s="1">
        <f>T40*BQ40</f>
        <v/>
      </c>
      <c r="BU40" s="9" t="n">
        <v>3.14</v>
      </c>
      <c r="BV40" s="10" t="n">
        <v>0.2218110024</v>
      </c>
      <c r="BW40" s="9" t="n">
        <v>0.18104824</v>
      </c>
      <c r="BX40" s="9" t="n">
        <v>0.015714286</v>
      </c>
      <c r="BZ40" s="10">
        <f>1/H40*BV40</f>
        <v/>
      </c>
      <c r="CA40" s="10">
        <f>I40/H40*BW40</f>
        <v/>
      </c>
      <c r="CB40" s="10">
        <f>BZ40+CA40</f>
        <v/>
      </c>
      <c r="CD40" s="10">
        <f>BU40</f>
        <v/>
      </c>
      <c r="CE40" s="10">
        <f>J40/H40*BW40</f>
        <v/>
      </c>
      <c r="CF40" s="10">
        <f>(CB40-CD40-CE40-CH40)*(1-D40)</f>
        <v/>
      </c>
      <c r="CG40" s="10">
        <f>(CB40-CD40-CE40-CH40)*D40</f>
        <v/>
      </c>
      <c r="CH40" s="10">
        <f>BX40*R40</f>
        <v/>
      </c>
      <c r="CI40" s="10">
        <f>SUM(CD40:CH40)</f>
        <v/>
      </c>
      <c r="CK40" s="1">
        <f>CI40-CB40</f>
        <v/>
      </c>
    </row>
    <row r="41">
      <c r="B41" s="14" t="inlineStr">
        <is>
          <t>CEN_TSC+H2in:CH4</t>
        </is>
      </c>
      <c r="C41" s="13" t="inlineStr">
        <is>
          <t>Ethane</t>
        </is>
      </c>
      <c r="D41" s="13" t="n">
        <v>0</v>
      </c>
      <c r="E41" s="13" t="n">
        <v>0.1375867019</v>
      </c>
      <c r="F41" s="13" t="n">
        <v>0</v>
      </c>
      <c r="G41" s="13" t="n">
        <v>0</v>
      </c>
      <c r="H41" s="13" t="n">
        <v>0.05310189724</v>
      </c>
      <c r="I41" s="13" t="n">
        <v>0</v>
      </c>
      <c r="J41" s="13" t="n">
        <v>0.1181424966</v>
      </c>
      <c r="K41" s="13" t="n"/>
      <c r="L41" s="13" t="n"/>
      <c r="M41" s="11">
        <f>CG41*H41</f>
        <v/>
      </c>
      <c r="N41" s="11">
        <f>CF41*H41</f>
        <v/>
      </c>
      <c r="O41" s="13" t="n">
        <v>99124.32016</v>
      </c>
      <c r="P41" s="13" t="n">
        <v>54251.99777</v>
      </c>
      <c r="Q41" s="13" t="n">
        <v>1.676159756</v>
      </c>
      <c r="R41" s="11" t="n">
        <v>0.2020556</v>
      </c>
      <c r="T41" s="16" t="n">
        <v>99.913298</v>
      </c>
      <c r="U41" s="16" t="n">
        <v>-6.197641</v>
      </c>
      <c r="V41" s="16" t="n">
        <v>65.135812</v>
      </c>
      <c r="W41" s="16" t="n">
        <v>43.37233</v>
      </c>
      <c r="X41" s="16" t="n">
        <v>42.438418</v>
      </c>
      <c r="Y41" s="22" t="n">
        <v>420</v>
      </c>
      <c r="Z41" s="11" t="n">
        <v>21.9863533</v>
      </c>
      <c r="AA41" s="17" t="n"/>
      <c r="AB41" s="17" t="n"/>
      <c r="AC41" s="16" t="n">
        <v>21.530919</v>
      </c>
      <c r="AD41" s="16" t="n">
        <v>6.288532</v>
      </c>
      <c r="AE41" s="16" t="n"/>
      <c r="AF41" s="17" t="n"/>
      <c r="AG41" s="17" t="n"/>
      <c r="AH41" s="17" t="n"/>
      <c r="AI41" s="17" t="n"/>
      <c r="AJ41" s="17" t="n"/>
      <c r="AK41" s="17" t="n"/>
      <c r="AL41" s="16" t="n">
        <v>-1.431457</v>
      </c>
      <c r="AM41" s="16" t="n">
        <v>-3.351826</v>
      </c>
      <c r="AN41" s="16" t="n">
        <v>796.736008</v>
      </c>
      <c r="AO41" s="16" t="n">
        <v>796.736008</v>
      </c>
      <c r="AQ41" s="1">
        <f>B41</f>
        <v/>
      </c>
      <c r="AR41" s="1">
        <f>C41</f>
        <v/>
      </c>
      <c r="AS41" s="12">
        <f>SUM(AY41:BG41)+BI41+BJ41</f>
        <v/>
      </c>
      <c r="AT41" s="12">
        <f>SUM(AY41:BG41)+BL41+BM41</f>
        <v/>
      </c>
      <c r="AU41" s="5">
        <f>AS41-AT41</f>
        <v/>
      </c>
      <c r="AV41" s="12">
        <f>SUM(AY41:BG41)+BO41+BP41</f>
        <v/>
      </c>
      <c r="AW41" s="12">
        <f>SUM(AY41:BG41)+BR41+BS41</f>
        <v/>
      </c>
      <c r="AX41" s="5">
        <f>AV41-AW41</f>
        <v/>
      </c>
      <c r="AY41" s="5">
        <f>E41/H41*AD41</f>
        <v/>
      </c>
      <c r="AZ41" s="1">
        <f>F41/H41*AD41*-1</f>
        <v/>
      </c>
      <c r="BA41" s="1">
        <f>G41/H41*AC41</f>
        <v/>
      </c>
      <c r="BB41" s="1">
        <f>1/H41*Z41</f>
        <v/>
      </c>
      <c r="BC41" s="1">
        <f>I41/H41*AL41</f>
        <v/>
      </c>
      <c r="BD41" s="1">
        <f>J41/H41*AL41*-1</f>
        <v/>
      </c>
      <c r="BE41" s="1">
        <f>O41/H41/(0.9*8760)</f>
        <v/>
      </c>
      <c r="BF41" s="1">
        <f>P41/H41/(0.9*8760)</f>
        <v/>
      </c>
      <c r="BG41" s="1">
        <f>Q41/H41</f>
        <v/>
      </c>
      <c r="BH41" s="1">
        <f>CE41+CF41+CG41</f>
        <v/>
      </c>
      <c r="BI41" s="1">
        <f>(T41+U41)*-1*M41/H41</f>
        <v/>
      </c>
      <c r="BJ41" s="1">
        <f>BH41*T41</f>
        <v/>
      </c>
      <c r="BK41" s="1">
        <f>CE41+CF41</f>
        <v/>
      </c>
      <c r="BL41" s="1">
        <f>U41*M41*-1/H41</f>
        <v/>
      </c>
      <c r="BM41" s="1">
        <f>BK41*T41</f>
        <v/>
      </c>
      <c r="BN41" s="1">
        <f>SUM(CD41:CH41)</f>
        <v/>
      </c>
      <c r="BO41" s="1">
        <f>(T41+U41)*-1*M41/H41</f>
        <v/>
      </c>
      <c r="BP41" s="1">
        <f>BN41*T41</f>
        <v/>
      </c>
      <c r="BQ41" s="1">
        <f>CD41+CE41+CF41+CH41</f>
        <v/>
      </c>
      <c r="BR41" s="1">
        <f>M41/H41*U41*-1</f>
        <v/>
      </c>
      <c r="BS41" s="1">
        <f>T41*BQ41</f>
        <v/>
      </c>
      <c r="BU41" s="9" t="n">
        <v>3.14</v>
      </c>
      <c r="BV41" s="10" t="n">
        <v>0.2218110024</v>
      </c>
      <c r="BW41" s="9" t="n">
        <v>0.18104824</v>
      </c>
      <c r="BX41" s="9" t="n">
        <v>0.015714286</v>
      </c>
      <c r="BZ41" s="10">
        <f>1/H41*BV41</f>
        <v/>
      </c>
      <c r="CA41" s="10">
        <f>I41/H41*BW41</f>
        <v/>
      </c>
      <c r="CB41" s="10">
        <f>BZ41+CA41</f>
        <v/>
      </c>
      <c r="CD41" s="10">
        <f>BU41</f>
        <v/>
      </c>
      <c r="CE41" s="10">
        <f>J41/H41*BW41</f>
        <v/>
      </c>
      <c r="CF41" s="10">
        <f>(CB41-CD41-CE41-CH41)*(1-D41)</f>
        <v/>
      </c>
      <c r="CG41" s="10">
        <f>(CB41-CD41-CE41-CH41)*D41</f>
        <v/>
      </c>
      <c r="CH41" s="10">
        <f>BX41*R41</f>
        <v/>
      </c>
      <c r="CI41" s="10">
        <f>SUM(CD41:CH41)</f>
        <v/>
      </c>
      <c r="CK41" s="1">
        <f>CI41-CB41</f>
        <v/>
      </c>
    </row>
    <row r="42">
      <c r="B42" s="14" t="inlineStr">
        <is>
          <t>SE_TSC+CC90</t>
        </is>
      </c>
      <c r="C42" s="13" t="inlineStr">
        <is>
          <t>Ethane</t>
        </is>
      </c>
      <c r="D42" s="13" t="n">
        <v>0.9</v>
      </c>
      <c r="E42" s="13" t="n">
        <v>0</v>
      </c>
      <c r="F42" s="13" t="n">
        <v>0</v>
      </c>
      <c r="G42" s="13" t="n">
        <v>0.008052966438000001</v>
      </c>
      <c r="H42" s="13" t="n">
        <v>0.05310189724</v>
      </c>
      <c r="I42" s="13" t="n">
        <v>0.02270169876</v>
      </c>
      <c r="J42" s="13" t="n">
        <v>0</v>
      </c>
      <c r="K42" s="13" t="n"/>
      <c r="L42" s="13" t="n"/>
      <c r="M42" s="11">
        <f>CG42*H42</f>
        <v/>
      </c>
      <c r="N42" s="11">
        <f>CF42*H42</f>
        <v/>
      </c>
      <c r="O42" s="13" t="n">
        <v>106875.1697</v>
      </c>
      <c r="P42" s="13" t="n">
        <v>58496.38728</v>
      </c>
      <c r="Q42" s="13" t="n">
        <v>1.807224085</v>
      </c>
      <c r="R42" s="11" t="n">
        <v>0.2020556</v>
      </c>
      <c r="T42" s="16" t="n">
        <v>99.913298</v>
      </c>
      <c r="U42" s="16" t="n">
        <v>-6.084348</v>
      </c>
      <c r="V42" s="16" t="n">
        <v>64.97039700000001</v>
      </c>
      <c r="W42" s="16" t="n">
        <v>43.861592</v>
      </c>
      <c r="X42" s="16" t="n">
        <v>39.255601</v>
      </c>
      <c r="Y42" s="22" t="n">
        <v>420</v>
      </c>
      <c r="Z42" s="11" t="n">
        <v>21.9863533</v>
      </c>
      <c r="AA42" s="17" t="n"/>
      <c r="AB42" s="17" t="n"/>
      <c r="AC42" s="16" t="n">
        <v>21.109138</v>
      </c>
      <c r="AD42" s="16" t="n">
        <v>6.240639</v>
      </c>
      <c r="AE42" s="16" t="n"/>
      <c r="AF42" s="17" t="n"/>
      <c r="AG42" s="17" t="n"/>
      <c r="AH42" s="17" t="n"/>
      <c r="AI42" s="17" t="n"/>
      <c r="AJ42" s="17" t="n"/>
      <c r="AK42" s="17" t="n"/>
      <c r="AL42" s="16" t="n">
        <v>-1.452344</v>
      </c>
      <c r="AM42" s="16" t="n">
        <v>-3.071509</v>
      </c>
      <c r="AN42" s="16" t="n">
        <v>796.736008</v>
      </c>
      <c r="AO42" s="16" t="n">
        <v>796.736008</v>
      </c>
      <c r="AQ42" s="1">
        <f>B42</f>
        <v/>
      </c>
      <c r="AR42" s="1">
        <f>C42</f>
        <v/>
      </c>
      <c r="AS42" s="12">
        <f>SUM(AY42:BG42)+BI42+BJ42</f>
        <v/>
      </c>
      <c r="AT42" s="12">
        <f>SUM(AY42:BG42)+BL42+BM42</f>
        <v/>
      </c>
      <c r="AU42" s="5">
        <f>AS42-AT42</f>
        <v/>
      </c>
      <c r="AV42" s="12">
        <f>SUM(AY42:BG42)+BO42+BP42</f>
        <v/>
      </c>
      <c r="AW42" s="12">
        <f>SUM(AY42:BG42)+BR42+BS42</f>
        <v/>
      </c>
      <c r="AX42" s="5">
        <f>AV42-AW42</f>
        <v/>
      </c>
      <c r="AY42" s="5">
        <f>E42/H42*AD42</f>
        <v/>
      </c>
      <c r="AZ42" s="1">
        <f>F42/H42*AD42*-1</f>
        <v/>
      </c>
      <c r="BA42" s="1">
        <f>G42/H42*AC42</f>
        <v/>
      </c>
      <c r="BB42" s="1">
        <f>1/H42*Z42</f>
        <v/>
      </c>
      <c r="BC42" s="1">
        <f>I42/H42*AL42</f>
        <v/>
      </c>
      <c r="BD42" s="1">
        <f>J42/H42*AL42*-1</f>
        <v/>
      </c>
      <c r="BE42" s="1">
        <f>O42/H42/(0.9*8760)</f>
        <v/>
      </c>
      <c r="BF42" s="1">
        <f>P42/H42/(0.9*8760)</f>
        <v/>
      </c>
      <c r="BG42" s="1">
        <f>Q42/H42</f>
        <v/>
      </c>
      <c r="BH42" s="1">
        <f>CE42+CF42+CG42</f>
        <v/>
      </c>
      <c r="BI42" s="1">
        <f>(T42+U42)*-1*M42/H42</f>
        <v/>
      </c>
      <c r="BJ42" s="1">
        <f>BH42*T42</f>
        <v/>
      </c>
      <c r="BK42" s="1">
        <f>CE42+CF42</f>
        <v/>
      </c>
      <c r="BL42" s="1">
        <f>U42*M42*-1/H42</f>
        <v/>
      </c>
      <c r="BM42" s="1">
        <f>BK42*T42</f>
        <v/>
      </c>
      <c r="BN42" s="1">
        <f>SUM(CD42:CH42)</f>
        <v/>
      </c>
      <c r="BO42" s="1">
        <f>(T42+U42)*-1*M42/H42</f>
        <v/>
      </c>
      <c r="BP42" s="1">
        <f>BN42*T42</f>
        <v/>
      </c>
      <c r="BQ42" s="1">
        <f>CD42+CE42+CF42+CH42</f>
        <v/>
      </c>
      <c r="BR42" s="1">
        <f>M42/H42*U42*-1</f>
        <v/>
      </c>
      <c r="BS42" s="1">
        <f>T42*BQ42</f>
        <v/>
      </c>
      <c r="BU42" s="9" t="n">
        <v>3.14</v>
      </c>
      <c r="BV42" s="10" t="n">
        <v>0.2218110024</v>
      </c>
      <c r="BW42" s="9" t="n">
        <v>0.18104824</v>
      </c>
      <c r="BX42" s="9" t="n">
        <v>0.015714286</v>
      </c>
      <c r="BZ42" s="10">
        <f>1/H42*BV42</f>
        <v/>
      </c>
      <c r="CA42" s="10">
        <f>I42/H42*BW42</f>
        <v/>
      </c>
      <c r="CB42" s="10">
        <f>BZ42+CA42</f>
        <v/>
      </c>
      <c r="CD42" s="10">
        <f>BU42</f>
        <v/>
      </c>
      <c r="CE42" s="10">
        <f>J42/H42*BW42</f>
        <v/>
      </c>
      <c r="CF42" s="10">
        <f>(CB42-CD42-CE42-CH42)*(1-D42)</f>
        <v/>
      </c>
      <c r="CG42" s="10">
        <f>(CB42-CD42-CE42-CH42)*D42</f>
        <v/>
      </c>
      <c r="CH42" s="10">
        <f>BX42*R42</f>
        <v/>
      </c>
      <c r="CI42" s="10">
        <f>SUM(CD42:CH42)</f>
        <v/>
      </c>
      <c r="CK42" s="1">
        <f>CI42-CB42</f>
        <v/>
      </c>
    </row>
    <row r="43">
      <c r="B43" s="14" t="inlineStr">
        <is>
          <t>SE_TSC:H2</t>
        </is>
      </c>
      <c r="C43" s="13" t="inlineStr">
        <is>
          <t>Ethane</t>
        </is>
      </c>
      <c r="D43" s="13" t="n">
        <v>0</v>
      </c>
      <c r="E43" s="13" t="n">
        <v>0</v>
      </c>
      <c r="F43" s="13" t="n">
        <v>0.1598531434</v>
      </c>
      <c r="G43" s="13" t="n">
        <v>0</v>
      </c>
      <c r="H43" s="13" t="n">
        <v>0.05310189724</v>
      </c>
      <c r="I43" s="13" t="n">
        <v>0.1318322859</v>
      </c>
      <c r="J43" s="13" t="n">
        <v>0</v>
      </c>
      <c r="K43" s="13" t="n"/>
      <c r="L43" s="13" t="n"/>
      <c r="M43" s="11">
        <f>CG43*H43</f>
        <v/>
      </c>
      <c r="N43" s="11">
        <f>CF43*H43</f>
        <v/>
      </c>
      <c r="O43" s="13" t="n">
        <v>99124.32016</v>
      </c>
      <c r="P43" s="13" t="n">
        <v>54251.99777</v>
      </c>
      <c r="Q43" s="13" t="n">
        <v>1.676159756</v>
      </c>
      <c r="R43" s="11" t="n">
        <v>0.2020556</v>
      </c>
      <c r="T43" s="16" t="n">
        <v>99.913298</v>
      </c>
      <c r="U43" s="16" t="n">
        <v>-6.084348</v>
      </c>
      <c r="V43" s="16" t="n">
        <v>64.97039700000001</v>
      </c>
      <c r="W43" s="16" t="n">
        <v>43.861592</v>
      </c>
      <c r="X43" s="16" t="n">
        <v>39.255601</v>
      </c>
      <c r="Y43" s="22" t="n">
        <v>420</v>
      </c>
      <c r="Z43" s="11" t="n">
        <v>21.9863533</v>
      </c>
      <c r="AA43" s="17" t="n"/>
      <c r="AB43" s="17" t="n"/>
      <c r="AC43" s="16" t="n">
        <v>21.109138</v>
      </c>
      <c r="AD43" s="16" t="n">
        <v>6.240639</v>
      </c>
      <c r="AE43" s="16" t="n"/>
      <c r="AF43" s="17" t="n"/>
      <c r="AG43" s="17" t="n"/>
      <c r="AH43" s="17" t="n"/>
      <c r="AI43" s="17" t="n"/>
      <c r="AJ43" s="17" t="n"/>
      <c r="AK43" s="17" t="n"/>
      <c r="AL43" s="16" t="n">
        <v>-1.452344</v>
      </c>
      <c r="AM43" s="16" t="n">
        <v>-3.071509</v>
      </c>
      <c r="AN43" s="16" t="n">
        <v>796.736008</v>
      </c>
      <c r="AO43" s="16" t="n">
        <v>796.736008</v>
      </c>
      <c r="AQ43" s="1">
        <f>B43</f>
        <v/>
      </c>
      <c r="AR43" s="1">
        <f>C43</f>
        <v/>
      </c>
      <c r="AS43" s="12">
        <f>SUM(AY43:BG43)+BI43+BJ43</f>
        <v/>
      </c>
      <c r="AT43" s="12">
        <f>SUM(AY43:BG43)+BL43+BM43</f>
        <v/>
      </c>
      <c r="AU43" s="5">
        <f>AS43-AT43</f>
        <v/>
      </c>
      <c r="AV43" s="12">
        <f>SUM(AY43:BG43)+BO43+BP43</f>
        <v/>
      </c>
      <c r="AW43" s="12">
        <f>SUM(AY43:BG43)+BR43+BS43</f>
        <v/>
      </c>
      <c r="AX43" s="5">
        <f>AV43-AW43</f>
        <v/>
      </c>
      <c r="AY43" s="5">
        <f>E43/H43*AD43</f>
        <v/>
      </c>
      <c r="AZ43" s="1">
        <f>F43/H43*AD43*-1</f>
        <v/>
      </c>
      <c r="BA43" s="1">
        <f>G43/H43*AC43</f>
        <v/>
      </c>
      <c r="BB43" s="1">
        <f>1/H43*Z43</f>
        <v/>
      </c>
      <c r="BC43" s="1">
        <f>I43/H43*AL43</f>
        <v/>
      </c>
      <c r="BD43" s="1">
        <f>J43/H43*AL43*-1</f>
        <v/>
      </c>
      <c r="BE43" s="1">
        <f>O43/H43/(0.9*8760)</f>
        <v/>
      </c>
      <c r="BF43" s="1">
        <f>P43/H43/(0.9*8760)</f>
        <v/>
      </c>
      <c r="BG43" s="1">
        <f>Q43/H43</f>
        <v/>
      </c>
      <c r="BH43" s="1">
        <f>CE43+CF43+CG43</f>
        <v/>
      </c>
      <c r="BI43" s="1">
        <f>(T43+U43)*-1*M43/H43</f>
        <v/>
      </c>
      <c r="BJ43" s="1">
        <f>BH43*T43</f>
        <v/>
      </c>
      <c r="BK43" s="1">
        <f>CE43+CF43</f>
        <v/>
      </c>
      <c r="BL43" s="1">
        <f>U43*M43*-1/H43</f>
        <v/>
      </c>
      <c r="BM43" s="1">
        <f>BK43*T43</f>
        <v/>
      </c>
      <c r="BN43" s="1">
        <f>SUM(CD43:CH43)</f>
        <v/>
      </c>
      <c r="BO43" s="1">
        <f>(T43+U43)*-1*M43/H43</f>
        <v/>
      </c>
      <c r="BP43" s="1">
        <f>BN43*T43</f>
        <v/>
      </c>
      <c r="BQ43" s="1">
        <f>CD43+CE43+CF43+CH43</f>
        <v/>
      </c>
      <c r="BR43" s="1">
        <f>M43/H43*U43*-1</f>
        <v/>
      </c>
      <c r="BS43" s="1">
        <f>T43*BQ43</f>
        <v/>
      </c>
      <c r="BU43" s="9" t="n">
        <v>3.14</v>
      </c>
      <c r="BV43" s="10" t="n">
        <v>0.2218110024</v>
      </c>
      <c r="BW43" s="9" t="n">
        <v>0.18104824</v>
      </c>
      <c r="BX43" s="9" t="n">
        <v>0.015714286</v>
      </c>
      <c r="BZ43" s="10">
        <f>1/H43*BV43</f>
        <v/>
      </c>
      <c r="CA43" s="10">
        <f>I43/H43*BW43</f>
        <v/>
      </c>
      <c r="CB43" s="10">
        <f>BZ43+CA43</f>
        <v/>
      </c>
      <c r="CD43" s="10">
        <f>BU43</f>
        <v/>
      </c>
      <c r="CE43" s="10">
        <f>J43/H43*BW43</f>
        <v/>
      </c>
      <c r="CF43" s="10">
        <f>(CB43-CD43-CE43-CH43)*(1-D43)</f>
        <v/>
      </c>
      <c r="CG43" s="10">
        <f>(CB43-CD43-CE43-CH43)*D43</f>
        <v/>
      </c>
      <c r="CH43" s="10">
        <f>BX43*R43</f>
        <v/>
      </c>
      <c r="CI43" s="10">
        <f>SUM(CD43:CH43)</f>
        <v/>
      </c>
      <c r="CK43" s="1">
        <f>CI43-CB43</f>
        <v/>
      </c>
    </row>
    <row r="44">
      <c r="B44" s="14" t="inlineStr">
        <is>
          <t>SE_TSC+CC90:H2</t>
        </is>
      </c>
      <c r="C44" s="13" t="inlineStr">
        <is>
          <t>Ethane</t>
        </is>
      </c>
      <c r="D44" s="13" t="n">
        <v>0.9</v>
      </c>
      <c r="E44" s="13" t="n">
        <v>0</v>
      </c>
      <c r="F44" s="13" t="n">
        <v>0.1598531434</v>
      </c>
      <c r="G44" s="13" t="n">
        <v>0.009388736698</v>
      </c>
      <c r="H44" s="13" t="n">
        <v>0.05310189724</v>
      </c>
      <c r="I44" s="13" t="n">
        <v>0.1318322859</v>
      </c>
      <c r="J44" s="13" t="n">
        <v>0</v>
      </c>
      <c r="K44" s="13" t="n"/>
      <c r="L44" s="13" t="n"/>
      <c r="M44" s="11">
        <f>CG44*H44</f>
        <v/>
      </c>
      <c r="N44" s="11">
        <f>CF44*H44</f>
        <v/>
      </c>
      <c r="O44" s="13" t="n">
        <v>106900.9741</v>
      </c>
      <c r="P44" s="13" t="n">
        <v>58510.18581</v>
      </c>
      <c r="Q44" s="13" t="n">
        <v>1.807660423</v>
      </c>
      <c r="R44" s="11" t="n">
        <v>0.2020556</v>
      </c>
      <c r="T44" s="16" t="n">
        <v>99.913298</v>
      </c>
      <c r="U44" s="16" t="n">
        <v>-6.084348</v>
      </c>
      <c r="V44" s="16" t="n">
        <v>64.97039700000001</v>
      </c>
      <c r="W44" s="16" t="n">
        <v>43.861592</v>
      </c>
      <c r="X44" s="16" t="n">
        <v>39.255601</v>
      </c>
      <c r="Y44" s="22" t="n">
        <v>420</v>
      </c>
      <c r="Z44" s="11" t="n">
        <v>21.9863533</v>
      </c>
      <c r="AA44" s="17" t="n"/>
      <c r="AB44" s="17" t="n"/>
      <c r="AC44" s="16" t="n">
        <v>21.109138</v>
      </c>
      <c r="AD44" s="16" t="n">
        <v>6.240639</v>
      </c>
      <c r="AE44" s="16" t="n"/>
      <c r="AF44" s="17" t="n"/>
      <c r="AG44" s="17" t="n"/>
      <c r="AH44" s="17" t="n"/>
      <c r="AI44" s="17" t="n"/>
      <c r="AJ44" s="17" t="n"/>
      <c r="AK44" s="17" t="n"/>
      <c r="AL44" s="16" t="n">
        <v>-1.452344</v>
      </c>
      <c r="AM44" s="16" t="n">
        <v>-3.071509</v>
      </c>
      <c r="AN44" s="16" t="n">
        <v>796.736008</v>
      </c>
      <c r="AO44" s="16" t="n">
        <v>796.736008</v>
      </c>
      <c r="AQ44" s="1">
        <f>B44</f>
        <v/>
      </c>
      <c r="AR44" s="1">
        <f>C44</f>
        <v/>
      </c>
      <c r="AS44" s="12">
        <f>SUM(AY44:BG44)+BI44+BJ44</f>
        <v/>
      </c>
      <c r="AT44" s="12">
        <f>SUM(AY44:BG44)+BL44+BM44</f>
        <v/>
      </c>
      <c r="AU44" s="5">
        <f>AS44-AT44</f>
        <v/>
      </c>
      <c r="AV44" s="12">
        <f>SUM(AY44:BG44)+BO44+BP44</f>
        <v/>
      </c>
      <c r="AW44" s="12">
        <f>SUM(AY44:BG44)+BR44+BS44</f>
        <v/>
      </c>
      <c r="AX44" s="5">
        <f>AV44-AW44</f>
        <v/>
      </c>
      <c r="AY44" s="5">
        <f>E44/H44*AD44</f>
        <v/>
      </c>
      <c r="AZ44" s="1">
        <f>F44/H44*AD44*-1</f>
        <v/>
      </c>
      <c r="BA44" s="1">
        <f>G44/H44*AC44</f>
        <v/>
      </c>
      <c r="BB44" s="1">
        <f>1/H44*Z44</f>
        <v/>
      </c>
      <c r="BC44" s="1">
        <f>I44/H44*AL44</f>
        <v/>
      </c>
      <c r="BD44" s="1">
        <f>J44/H44*AL44*-1</f>
        <v/>
      </c>
      <c r="BE44" s="1">
        <f>O44/H44/(0.9*8760)</f>
        <v/>
      </c>
      <c r="BF44" s="1">
        <f>P44/H44/(0.9*8760)</f>
        <v/>
      </c>
      <c r="BG44" s="1">
        <f>Q44/H44</f>
        <v/>
      </c>
      <c r="BH44" s="1">
        <f>CE44+CF44+CG44</f>
        <v/>
      </c>
      <c r="BI44" s="1">
        <f>(T44+U44)*-1*M44/H44</f>
        <v/>
      </c>
      <c r="BJ44" s="1">
        <f>BH44*T44</f>
        <v/>
      </c>
      <c r="BK44" s="1">
        <f>CE44+CF44</f>
        <v/>
      </c>
      <c r="BL44" s="1">
        <f>U44*M44*-1/H44</f>
        <v/>
      </c>
      <c r="BM44" s="1">
        <f>BK44*T44</f>
        <v/>
      </c>
      <c r="BN44" s="1">
        <f>SUM(CD44:CH44)</f>
        <v/>
      </c>
      <c r="BO44" s="1">
        <f>(T44+U44)*-1*M44/H44</f>
        <v/>
      </c>
      <c r="BP44" s="1">
        <f>BN44*T44</f>
        <v/>
      </c>
      <c r="BQ44" s="1">
        <f>CD44+CE44+CF44+CH44</f>
        <v/>
      </c>
      <c r="BR44" s="1">
        <f>M44/H44*U44*-1</f>
        <v/>
      </c>
      <c r="BS44" s="1">
        <f>T44*BQ44</f>
        <v/>
      </c>
      <c r="BU44" s="9" t="n">
        <v>3.14</v>
      </c>
      <c r="BV44" s="10" t="n">
        <v>0.2218110024</v>
      </c>
      <c r="BW44" s="9" t="n">
        <v>0.18104824</v>
      </c>
      <c r="BX44" s="9" t="n">
        <v>0.015714286</v>
      </c>
      <c r="BZ44" s="10">
        <f>1/H44*BV44</f>
        <v/>
      </c>
      <c r="CA44" s="10">
        <f>I44/H44*BW44</f>
        <v/>
      </c>
      <c r="CB44" s="10">
        <f>BZ44+CA44</f>
        <v/>
      </c>
      <c r="CD44" s="10">
        <f>BU44</f>
        <v/>
      </c>
      <c r="CE44" s="10">
        <f>J44/H44*BW44</f>
        <v/>
      </c>
      <c r="CF44" s="10">
        <f>(CB44-CD44-CE44-CH44)*(1-D44)</f>
        <v/>
      </c>
      <c r="CG44" s="10">
        <f>(CB44-CD44-CE44-CH44)*D44</f>
        <v/>
      </c>
      <c r="CH44" s="10">
        <f>BX44*R44</f>
        <v/>
      </c>
      <c r="CI44" s="10">
        <f>SUM(CD44:CH44)</f>
        <v/>
      </c>
      <c r="CK44" s="1">
        <f>CI44-CB44</f>
        <v/>
      </c>
    </row>
    <row r="45">
      <c r="B45" s="14" t="inlineStr">
        <is>
          <t>SE_TSC+H2in</t>
        </is>
      </c>
      <c r="C45" s="13" t="inlineStr">
        <is>
          <t>Ethane</t>
        </is>
      </c>
      <c r="D45" s="13" t="n">
        <v>0</v>
      </c>
      <c r="E45" s="13" t="n">
        <v>0.02226644157</v>
      </c>
      <c r="F45" s="13" t="n">
        <v>0</v>
      </c>
      <c r="G45" s="13" t="n">
        <v>0</v>
      </c>
      <c r="H45" s="13" t="n">
        <v>0.05310189724</v>
      </c>
      <c r="I45" s="13" t="n">
        <v>0</v>
      </c>
      <c r="J45" s="13" t="n">
        <v>0</v>
      </c>
      <c r="K45" s="13" t="n"/>
      <c r="L45" s="13" t="n"/>
      <c r="M45" s="11">
        <f>CG45*H45</f>
        <v/>
      </c>
      <c r="N45" s="11">
        <f>CF45*H45</f>
        <v/>
      </c>
      <c r="O45" s="13" t="n">
        <v>99124.32016</v>
      </c>
      <c r="P45" s="13" t="n">
        <v>54251.99777</v>
      </c>
      <c r="Q45" s="13" t="n">
        <v>1.676159756</v>
      </c>
      <c r="R45" s="11" t="n">
        <v>0.2020556</v>
      </c>
      <c r="T45" s="16" t="n">
        <v>99.913298</v>
      </c>
      <c r="U45" s="16" t="n">
        <v>-6.084348</v>
      </c>
      <c r="V45" s="16" t="n">
        <v>64.97039700000001</v>
      </c>
      <c r="W45" s="16" t="n">
        <v>43.861592</v>
      </c>
      <c r="X45" s="16" t="n">
        <v>39.255601</v>
      </c>
      <c r="Y45" s="22" t="n">
        <v>420</v>
      </c>
      <c r="Z45" s="11" t="n">
        <v>21.9863533</v>
      </c>
      <c r="AA45" s="17" t="n"/>
      <c r="AB45" s="17" t="n"/>
      <c r="AC45" s="16" t="n">
        <v>21.109138</v>
      </c>
      <c r="AD45" s="16" t="n">
        <v>6.240639</v>
      </c>
      <c r="AE45" s="16" t="n"/>
      <c r="AF45" s="17" t="n"/>
      <c r="AG45" s="17" t="n"/>
      <c r="AH45" s="17" t="n"/>
      <c r="AI45" s="17" t="n"/>
      <c r="AJ45" s="17" t="n"/>
      <c r="AK45" s="17" t="n"/>
      <c r="AL45" s="16" t="n">
        <v>-1.452344</v>
      </c>
      <c r="AM45" s="16" t="n">
        <v>-3.071509</v>
      </c>
      <c r="AN45" s="16" t="n">
        <v>796.736008</v>
      </c>
      <c r="AO45" s="16" t="n">
        <v>796.736008</v>
      </c>
      <c r="AQ45" s="1">
        <f>B45</f>
        <v/>
      </c>
      <c r="AR45" s="1">
        <f>C45</f>
        <v/>
      </c>
      <c r="AS45" s="12">
        <f>SUM(AY45:BG45)+BI45+BJ45</f>
        <v/>
      </c>
      <c r="AT45" s="12">
        <f>SUM(AY45:BG45)+BL45+BM45</f>
        <v/>
      </c>
      <c r="AU45" s="5">
        <f>AS45-AT45</f>
        <v/>
      </c>
      <c r="AV45" s="12">
        <f>SUM(AY45:BG45)+BO45+BP45</f>
        <v/>
      </c>
      <c r="AW45" s="12">
        <f>SUM(AY45:BG45)+BR45+BS45</f>
        <v/>
      </c>
      <c r="AX45" s="5">
        <f>AV45-AW45</f>
        <v/>
      </c>
      <c r="AY45" s="5">
        <f>E45/H45*AD45</f>
        <v/>
      </c>
      <c r="AZ45" s="1">
        <f>F45/H45*AD45*-1</f>
        <v/>
      </c>
      <c r="BA45" s="1">
        <f>G45/H45*AC45</f>
        <v/>
      </c>
      <c r="BB45" s="1">
        <f>1/H45*Z45</f>
        <v/>
      </c>
      <c r="BC45" s="1">
        <f>I45/H45*AL45</f>
        <v/>
      </c>
      <c r="BD45" s="1">
        <f>J45/H45*AL45*-1</f>
        <v/>
      </c>
      <c r="BE45" s="1">
        <f>O45/H45/(0.9*8760)</f>
        <v/>
      </c>
      <c r="BF45" s="1">
        <f>P45/H45/(0.9*8760)</f>
        <v/>
      </c>
      <c r="BG45" s="1">
        <f>Q45/H45</f>
        <v/>
      </c>
      <c r="BH45" s="1">
        <f>CE45+CF45+CG45</f>
        <v/>
      </c>
      <c r="BI45" s="1">
        <f>(T45+U45)*-1*M45/H45</f>
        <v/>
      </c>
      <c r="BJ45" s="1">
        <f>BH45*T45</f>
        <v/>
      </c>
      <c r="BK45" s="1">
        <f>CE45+CF45</f>
        <v/>
      </c>
      <c r="BL45" s="1">
        <f>U45*M45*-1/H45</f>
        <v/>
      </c>
      <c r="BM45" s="1">
        <f>BK45*T45</f>
        <v/>
      </c>
      <c r="BN45" s="1">
        <f>SUM(CD45:CH45)</f>
        <v/>
      </c>
      <c r="BO45" s="1">
        <f>(T45+U45)*-1*M45/H45</f>
        <v/>
      </c>
      <c r="BP45" s="1">
        <f>BN45*T45</f>
        <v/>
      </c>
      <c r="BQ45" s="1">
        <f>CD45+CE45+CF45+CH45</f>
        <v/>
      </c>
      <c r="BR45" s="1">
        <f>M45/H45*U45*-1</f>
        <v/>
      </c>
      <c r="BS45" s="1">
        <f>T45*BQ45</f>
        <v/>
      </c>
      <c r="BU45" s="9" t="n">
        <v>3.14</v>
      </c>
      <c r="BV45" s="10" t="n">
        <v>0.2218110024</v>
      </c>
      <c r="BW45" s="9" t="n">
        <v>0.18104824</v>
      </c>
      <c r="BX45" s="9" t="n">
        <v>0.015714286</v>
      </c>
      <c r="BZ45" s="10">
        <f>1/H45*BV45</f>
        <v/>
      </c>
      <c r="CA45" s="10">
        <f>I45/H45*BW45</f>
        <v/>
      </c>
      <c r="CB45" s="10">
        <f>BZ45+CA45</f>
        <v/>
      </c>
      <c r="CD45" s="10">
        <f>BU45</f>
        <v/>
      </c>
      <c r="CE45" s="10">
        <f>J45/H45*BW45</f>
        <v/>
      </c>
      <c r="CF45" s="10">
        <f>(CB45-CD45-CE45-CH45)*(1-D45)</f>
        <v/>
      </c>
      <c r="CG45" s="10">
        <f>(CB45-CD45-CE45-CH45)*D45</f>
        <v/>
      </c>
      <c r="CH45" s="10">
        <f>BX45*R45</f>
        <v/>
      </c>
      <c r="CI45" s="10">
        <f>SUM(CD45:CH45)</f>
        <v/>
      </c>
      <c r="CK45" s="1">
        <f>CI45-CB45</f>
        <v/>
      </c>
    </row>
    <row r="46">
      <c r="B46" s="14" t="inlineStr">
        <is>
          <t>SE_TSC+H2in:CH4</t>
        </is>
      </c>
      <c r="C46" s="13" t="inlineStr">
        <is>
          <t>Ethane</t>
        </is>
      </c>
      <c r="D46" s="13" t="n">
        <v>0</v>
      </c>
      <c r="E46" s="13" t="n">
        <v>0.1375867019</v>
      </c>
      <c r="F46" s="13" t="n">
        <v>0</v>
      </c>
      <c r="G46" s="13" t="n">
        <v>0</v>
      </c>
      <c r="H46" s="13" t="n">
        <v>0.05310189724</v>
      </c>
      <c r="I46" s="13" t="n">
        <v>0</v>
      </c>
      <c r="J46" s="13" t="n">
        <v>0.1181424966</v>
      </c>
      <c r="K46" s="13" t="n"/>
      <c r="L46" s="13" t="n"/>
      <c r="M46" s="11">
        <f>CG46*H46</f>
        <v/>
      </c>
      <c r="N46" s="11">
        <f>CF46*H46</f>
        <v/>
      </c>
      <c r="O46" s="13" t="n">
        <v>99124.32016</v>
      </c>
      <c r="P46" s="13" t="n">
        <v>54251.99777</v>
      </c>
      <c r="Q46" s="13" t="n">
        <v>1.676159756</v>
      </c>
      <c r="R46" s="11" t="n">
        <v>0.2020556</v>
      </c>
      <c r="T46" s="16" t="n">
        <v>99.913298</v>
      </c>
      <c r="U46" s="16" t="n">
        <v>-6.084348</v>
      </c>
      <c r="V46" s="16" t="n">
        <v>64.97039700000001</v>
      </c>
      <c r="W46" s="16" t="n">
        <v>43.861592</v>
      </c>
      <c r="X46" s="16" t="n">
        <v>39.255601</v>
      </c>
      <c r="Y46" s="22" t="n">
        <v>420</v>
      </c>
      <c r="Z46" s="11" t="n">
        <v>21.9863533</v>
      </c>
      <c r="AA46" s="17" t="n"/>
      <c r="AB46" s="17" t="n"/>
      <c r="AC46" s="16" t="n">
        <v>21.109138</v>
      </c>
      <c r="AD46" s="16" t="n">
        <v>6.240639</v>
      </c>
      <c r="AE46" s="16" t="n"/>
      <c r="AF46" s="17" t="n"/>
      <c r="AG46" s="17" t="n"/>
      <c r="AH46" s="17" t="n"/>
      <c r="AI46" s="17" t="n"/>
      <c r="AJ46" s="17" t="n"/>
      <c r="AK46" s="17" t="n"/>
      <c r="AL46" s="16" t="n">
        <v>-1.452344</v>
      </c>
      <c r="AM46" s="16" t="n">
        <v>-3.071509</v>
      </c>
      <c r="AN46" s="16" t="n">
        <v>796.736008</v>
      </c>
      <c r="AO46" s="16" t="n">
        <v>796.736008</v>
      </c>
      <c r="AQ46" s="1">
        <f>B46</f>
        <v/>
      </c>
      <c r="AR46" s="1">
        <f>C46</f>
        <v/>
      </c>
      <c r="AS46" s="12">
        <f>SUM(AY46:BG46)+BI46+BJ46</f>
        <v/>
      </c>
      <c r="AT46" s="12">
        <f>SUM(AY46:BG46)+BL46+BM46</f>
        <v/>
      </c>
      <c r="AU46" s="5">
        <f>AS46-AT46</f>
        <v/>
      </c>
      <c r="AV46" s="12">
        <f>SUM(AY46:BG46)+BO46+BP46</f>
        <v/>
      </c>
      <c r="AW46" s="12">
        <f>SUM(AY46:BG46)+BR46+BS46</f>
        <v/>
      </c>
      <c r="AX46" s="5">
        <f>AV46-AW46</f>
        <v/>
      </c>
      <c r="AY46" s="5">
        <f>E46/H46*AD46</f>
        <v/>
      </c>
      <c r="AZ46" s="1">
        <f>F46/H46*AD46*-1</f>
        <v/>
      </c>
      <c r="BA46" s="1">
        <f>G46/H46*AC46</f>
        <v/>
      </c>
      <c r="BB46" s="1">
        <f>1/H46*Z46</f>
        <v/>
      </c>
      <c r="BC46" s="1">
        <f>I46/H46*AL46</f>
        <v/>
      </c>
      <c r="BD46" s="1">
        <f>J46/H46*AL46*-1</f>
        <v/>
      </c>
      <c r="BE46" s="1">
        <f>O46/H46/(0.9*8760)</f>
        <v/>
      </c>
      <c r="BF46" s="1">
        <f>P46/H46/(0.9*8760)</f>
        <v/>
      </c>
      <c r="BG46" s="1">
        <f>Q46/H46</f>
        <v/>
      </c>
      <c r="BH46" s="1">
        <f>CE46+CF46+CG46</f>
        <v/>
      </c>
      <c r="BI46" s="1">
        <f>(T46+U46)*-1*M46/H46</f>
        <v/>
      </c>
      <c r="BJ46" s="1">
        <f>BH46*T46</f>
        <v/>
      </c>
      <c r="BK46" s="1">
        <f>CE46+CF46</f>
        <v/>
      </c>
      <c r="BL46" s="1">
        <f>U46*M46*-1/H46</f>
        <v/>
      </c>
      <c r="BM46" s="1">
        <f>BK46*T46</f>
        <v/>
      </c>
      <c r="BN46" s="1">
        <f>SUM(CD46:CH46)</f>
        <v/>
      </c>
      <c r="BO46" s="1">
        <f>(T46+U46)*-1*M46/H46</f>
        <v/>
      </c>
      <c r="BP46" s="1">
        <f>BN46*T46</f>
        <v/>
      </c>
      <c r="BQ46" s="1">
        <f>CD46+CE46+CF46+CH46</f>
        <v/>
      </c>
      <c r="BR46" s="1">
        <f>M46/H46*U46*-1</f>
        <v/>
      </c>
      <c r="BS46" s="1">
        <f>T46*BQ46</f>
        <v/>
      </c>
      <c r="BU46" s="9" t="n">
        <v>3.14</v>
      </c>
      <c r="BV46" s="10" t="n">
        <v>0.2218110024</v>
      </c>
      <c r="BW46" s="9" t="n">
        <v>0.18104824</v>
      </c>
      <c r="BX46" s="9" t="n">
        <v>0.015714286</v>
      </c>
      <c r="BZ46" s="10">
        <f>1/H46*BV46</f>
        <v/>
      </c>
      <c r="CA46" s="10">
        <f>I46/H46*BW46</f>
        <v/>
      </c>
      <c r="CB46" s="10">
        <f>BZ46+CA46</f>
        <v/>
      </c>
      <c r="CD46" s="10">
        <f>BU46</f>
        <v/>
      </c>
      <c r="CE46" s="10">
        <f>J46/H46*BW46</f>
        <v/>
      </c>
      <c r="CF46" s="10">
        <f>(CB46-CD46-CE46-CH46)*(1-D46)</f>
        <v/>
      </c>
      <c r="CG46" s="10">
        <f>(CB46-CD46-CE46-CH46)*D46</f>
        <v/>
      </c>
      <c r="CH46" s="10">
        <f>BX46*R46</f>
        <v/>
      </c>
      <c r="CI46" s="10">
        <f>SUM(CD46:CH46)</f>
        <v/>
      </c>
      <c r="CK46" s="1">
        <f>CI46-CB46</f>
        <v/>
      </c>
    </row>
    <row r="47">
      <c r="B47" s="14" t="inlineStr">
        <is>
          <t>MIDAT_TSC+CC90</t>
        </is>
      </c>
      <c r="C47" s="13" t="inlineStr">
        <is>
          <t>Ethane</t>
        </is>
      </c>
      <c r="D47" s="13" t="n">
        <v>0.9</v>
      </c>
      <c r="E47" s="13" t="n">
        <v>0</v>
      </c>
      <c r="F47" s="13" t="n">
        <v>0</v>
      </c>
      <c r="G47" s="13" t="n">
        <v>0.008052966438000001</v>
      </c>
      <c r="H47" s="13" t="n">
        <v>0.05310189724</v>
      </c>
      <c r="I47" s="13" t="n">
        <v>0.02270169876</v>
      </c>
      <c r="J47" s="13" t="n">
        <v>0</v>
      </c>
      <c r="K47" s="13" t="n"/>
      <c r="L47" s="13" t="n"/>
      <c r="M47" s="11">
        <f>CG47*H47</f>
        <v/>
      </c>
      <c r="N47" s="11">
        <f>CF47*H47</f>
        <v/>
      </c>
      <c r="O47" s="13" t="n">
        <v>106875.1697</v>
      </c>
      <c r="P47" s="13" t="n">
        <v>58496.38728</v>
      </c>
      <c r="Q47" s="13" t="n">
        <v>1.807224085</v>
      </c>
      <c r="R47" s="11" t="n">
        <v>0.2020556</v>
      </c>
      <c r="T47" s="16" t="n">
        <v>99.913298</v>
      </c>
      <c r="U47" s="16" t="n">
        <v>-15.650257</v>
      </c>
      <c r="V47" s="16" t="n">
        <v>63.953341</v>
      </c>
      <c r="W47" s="16" t="n">
        <v>39.720462</v>
      </c>
      <c r="X47" s="16" t="n">
        <v>40.53758</v>
      </c>
      <c r="Y47" s="22" t="n">
        <v>420</v>
      </c>
      <c r="Z47" s="11" t="n">
        <v>21.9863533</v>
      </c>
      <c r="AA47" s="17" t="n"/>
      <c r="AB47" s="17" t="n"/>
      <c r="AC47" s="16" t="n">
        <v>21.699949</v>
      </c>
      <c r="AD47" s="16" t="n">
        <v>8.045609000000001</v>
      </c>
      <c r="AE47" s="16" t="n"/>
      <c r="AF47" s="17" t="n"/>
      <c r="AG47" s="17" t="n"/>
      <c r="AH47" s="17" t="n"/>
      <c r="AI47" s="17" t="n"/>
      <c r="AJ47" s="17" t="n"/>
      <c r="AK47" s="17" t="n"/>
      <c r="AL47" s="16" t="n">
        <v>-0.930222</v>
      </c>
      <c r="AM47" s="16" t="n">
        <v>-2.781275</v>
      </c>
      <c r="AN47" s="16" t="n">
        <v>796.736008</v>
      </c>
      <c r="AO47" s="16" t="n">
        <v>796.736008</v>
      </c>
      <c r="AQ47" s="1">
        <f>B47</f>
        <v/>
      </c>
      <c r="AR47" s="1">
        <f>C47</f>
        <v/>
      </c>
      <c r="AS47" s="12">
        <f>SUM(AY47:BG47)+BI47+BJ47</f>
        <v/>
      </c>
      <c r="AT47" s="12">
        <f>SUM(AY47:BG47)+BL47+BM47</f>
        <v/>
      </c>
      <c r="AU47" s="5">
        <f>AS47-AT47</f>
        <v/>
      </c>
      <c r="AV47" s="12">
        <f>SUM(AY47:BG47)+BO47+BP47</f>
        <v/>
      </c>
      <c r="AW47" s="12">
        <f>SUM(AY47:BG47)+BR47+BS47</f>
        <v/>
      </c>
      <c r="AX47" s="5">
        <f>AV47-AW47</f>
        <v/>
      </c>
      <c r="AY47" s="5">
        <f>E47/H47*AD47</f>
        <v/>
      </c>
      <c r="AZ47" s="1">
        <f>F47/H47*AD47*-1</f>
        <v/>
      </c>
      <c r="BA47" s="1">
        <f>G47/H47*AC47</f>
        <v/>
      </c>
      <c r="BB47" s="1">
        <f>1/H47*Z47</f>
        <v/>
      </c>
      <c r="BC47" s="1">
        <f>I47/H47*AL47</f>
        <v/>
      </c>
      <c r="BD47" s="1">
        <f>J47/H47*AL47*-1</f>
        <v/>
      </c>
      <c r="BE47" s="1">
        <f>O47/H47/(0.9*8760)</f>
        <v/>
      </c>
      <c r="BF47" s="1">
        <f>P47/H47/(0.9*8760)</f>
        <v/>
      </c>
      <c r="BG47" s="1">
        <f>Q47/H47</f>
        <v/>
      </c>
      <c r="BH47" s="1">
        <f>CE47+CF47+CG47</f>
        <v/>
      </c>
      <c r="BI47" s="1">
        <f>(T47+U47)*-1*M47/H47</f>
        <v/>
      </c>
      <c r="BJ47" s="1">
        <f>BH47*T47</f>
        <v/>
      </c>
      <c r="BK47" s="1">
        <f>CE47+CF47</f>
        <v/>
      </c>
      <c r="BL47" s="1">
        <f>U47*M47*-1/H47</f>
        <v/>
      </c>
      <c r="BM47" s="1">
        <f>BK47*T47</f>
        <v/>
      </c>
      <c r="BN47" s="1">
        <f>SUM(CD47:CH47)</f>
        <v/>
      </c>
      <c r="BO47" s="1">
        <f>(T47+U47)*-1*M47/H47</f>
        <v/>
      </c>
      <c r="BP47" s="1">
        <f>BN47*T47</f>
        <v/>
      </c>
      <c r="BQ47" s="1">
        <f>CD47+CE47+CF47+CH47</f>
        <v/>
      </c>
      <c r="BR47" s="1">
        <f>M47/H47*U47*-1</f>
        <v/>
      </c>
      <c r="BS47" s="1">
        <f>T47*BQ47</f>
        <v/>
      </c>
      <c r="BU47" s="9" t="n">
        <v>3.14</v>
      </c>
      <c r="BV47" s="10" t="n">
        <v>0.2218110024</v>
      </c>
      <c r="BW47" s="9" t="n">
        <v>0.18104824</v>
      </c>
      <c r="BX47" s="9" t="n">
        <v>0.015714286</v>
      </c>
      <c r="BZ47" s="10">
        <f>1/H47*BV47</f>
        <v/>
      </c>
      <c r="CA47" s="10">
        <f>I47/H47*BW47</f>
        <v/>
      </c>
      <c r="CB47" s="10">
        <f>BZ47+CA47</f>
        <v/>
      </c>
      <c r="CD47" s="10">
        <f>BU47</f>
        <v/>
      </c>
      <c r="CE47" s="10">
        <f>J47/H47*BW47</f>
        <v/>
      </c>
      <c r="CF47" s="10">
        <f>(CB47-CD47-CE47-CH47)*(1-D47)</f>
        <v/>
      </c>
      <c r="CG47" s="10">
        <f>(CB47-CD47-CE47-CH47)*D47</f>
        <v/>
      </c>
      <c r="CH47" s="10">
        <f>BX47*R47</f>
        <v/>
      </c>
      <c r="CI47" s="10">
        <f>SUM(CD47:CH47)</f>
        <v/>
      </c>
      <c r="CK47" s="1">
        <f>CI47-CB47</f>
        <v/>
      </c>
    </row>
    <row r="48">
      <c r="B48" s="14" t="inlineStr">
        <is>
          <t>MIDAT_TSC:H2</t>
        </is>
      </c>
      <c r="C48" s="13" t="inlineStr">
        <is>
          <t>Ethane</t>
        </is>
      </c>
      <c r="D48" s="13" t="n">
        <v>0</v>
      </c>
      <c r="E48" s="13" t="n">
        <v>0</v>
      </c>
      <c r="F48" s="13" t="n">
        <v>0.1598531434</v>
      </c>
      <c r="G48" s="13" t="n">
        <v>0</v>
      </c>
      <c r="H48" s="13" t="n">
        <v>0.05310189724</v>
      </c>
      <c r="I48" s="13" t="n">
        <v>0.1318322859</v>
      </c>
      <c r="J48" s="13" t="n">
        <v>0</v>
      </c>
      <c r="K48" s="13" t="n"/>
      <c r="L48" s="13" t="n"/>
      <c r="M48" s="11">
        <f>CG48*H48</f>
        <v/>
      </c>
      <c r="N48" s="11">
        <f>CF48*H48</f>
        <v/>
      </c>
      <c r="O48" s="13" t="n">
        <v>99124.32016</v>
      </c>
      <c r="P48" s="13" t="n">
        <v>54251.99777</v>
      </c>
      <c r="Q48" s="13" t="n">
        <v>1.676159756</v>
      </c>
      <c r="R48" s="11" t="n">
        <v>0.2020556</v>
      </c>
      <c r="T48" s="16" t="n">
        <v>99.913298</v>
      </c>
      <c r="U48" s="16" t="n">
        <v>-15.650257</v>
      </c>
      <c r="V48" s="16" t="n">
        <v>63.953341</v>
      </c>
      <c r="W48" s="16" t="n">
        <v>39.720462</v>
      </c>
      <c r="X48" s="16" t="n">
        <v>40.53758</v>
      </c>
      <c r="Y48" s="22" t="n">
        <v>420</v>
      </c>
      <c r="Z48" s="11" t="n">
        <v>21.9863533</v>
      </c>
      <c r="AA48" s="17" t="n"/>
      <c r="AB48" s="17" t="n"/>
      <c r="AC48" s="16" t="n">
        <v>21.699949</v>
      </c>
      <c r="AD48" s="16" t="n">
        <v>8.045609000000001</v>
      </c>
      <c r="AE48" s="16" t="n"/>
      <c r="AF48" s="17" t="n"/>
      <c r="AG48" s="17" t="n"/>
      <c r="AH48" s="17" t="n"/>
      <c r="AI48" s="17" t="n"/>
      <c r="AJ48" s="17" t="n"/>
      <c r="AK48" s="17" t="n"/>
      <c r="AL48" s="16" t="n">
        <v>-0.930222</v>
      </c>
      <c r="AM48" s="16" t="n">
        <v>-2.781275</v>
      </c>
      <c r="AN48" s="16" t="n">
        <v>796.736008</v>
      </c>
      <c r="AO48" s="16" t="n">
        <v>796.736008</v>
      </c>
      <c r="AQ48" s="1">
        <f>B48</f>
        <v/>
      </c>
      <c r="AR48" s="1">
        <f>C48</f>
        <v/>
      </c>
      <c r="AS48" s="12">
        <f>SUM(AY48:BG48)+BI48+BJ48</f>
        <v/>
      </c>
      <c r="AT48" s="12">
        <f>SUM(AY48:BG48)+BL48+BM48</f>
        <v/>
      </c>
      <c r="AU48" s="5">
        <f>AS48-AT48</f>
        <v/>
      </c>
      <c r="AV48" s="12">
        <f>SUM(AY48:BG48)+BO48+BP48</f>
        <v/>
      </c>
      <c r="AW48" s="12">
        <f>SUM(AY48:BG48)+BR48+BS48</f>
        <v/>
      </c>
      <c r="AX48" s="5">
        <f>AV48-AW48</f>
        <v/>
      </c>
      <c r="AY48" s="5">
        <f>E48/H48*AD48</f>
        <v/>
      </c>
      <c r="AZ48" s="1">
        <f>F48/H48*AD48*-1</f>
        <v/>
      </c>
      <c r="BA48" s="1">
        <f>G48/H48*AC48</f>
        <v/>
      </c>
      <c r="BB48" s="1">
        <f>1/H48*Z48</f>
        <v/>
      </c>
      <c r="BC48" s="1">
        <f>I48/H48*AL48</f>
        <v/>
      </c>
      <c r="BD48" s="1">
        <f>J48/H48*AL48*-1</f>
        <v/>
      </c>
      <c r="BE48" s="1">
        <f>O48/H48/(0.9*8760)</f>
        <v/>
      </c>
      <c r="BF48" s="1">
        <f>P48/H48/(0.9*8760)</f>
        <v/>
      </c>
      <c r="BG48" s="1">
        <f>Q48/H48</f>
        <v/>
      </c>
      <c r="BH48" s="1">
        <f>CE48+CF48+CG48</f>
        <v/>
      </c>
      <c r="BI48" s="1">
        <f>(T48+U48)*-1*M48/H48</f>
        <v/>
      </c>
      <c r="BJ48" s="1">
        <f>BH48*T48</f>
        <v/>
      </c>
      <c r="BK48" s="1">
        <f>CE48+CF48</f>
        <v/>
      </c>
      <c r="BL48" s="1">
        <f>U48*M48*-1/H48</f>
        <v/>
      </c>
      <c r="BM48" s="1">
        <f>BK48*T48</f>
        <v/>
      </c>
      <c r="BN48" s="1">
        <f>SUM(CD48:CH48)</f>
        <v/>
      </c>
      <c r="BO48" s="1">
        <f>(T48+U48)*-1*M48/H48</f>
        <v/>
      </c>
      <c r="BP48" s="1">
        <f>BN48*T48</f>
        <v/>
      </c>
      <c r="BQ48" s="1">
        <f>CD48+CE48+CF48+CH48</f>
        <v/>
      </c>
      <c r="BR48" s="1">
        <f>M48/H48*U48*-1</f>
        <v/>
      </c>
      <c r="BS48" s="1">
        <f>T48*BQ48</f>
        <v/>
      </c>
      <c r="BU48" s="9" t="n">
        <v>3.14</v>
      </c>
      <c r="BV48" s="10" t="n">
        <v>0.2218110024</v>
      </c>
      <c r="BW48" s="9" t="n">
        <v>0.18104824</v>
      </c>
      <c r="BX48" s="9" t="n">
        <v>0.015714286</v>
      </c>
      <c r="BZ48" s="10">
        <f>1/H48*BV48</f>
        <v/>
      </c>
      <c r="CA48" s="10">
        <f>I48/H48*BW48</f>
        <v/>
      </c>
      <c r="CB48" s="10">
        <f>BZ48+CA48</f>
        <v/>
      </c>
      <c r="CD48" s="10">
        <f>BU48</f>
        <v/>
      </c>
      <c r="CE48" s="10">
        <f>J48/H48*BW48</f>
        <v/>
      </c>
      <c r="CF48" s="10">
        <f>(CB48-CD48-CE48-CH48)*(1-D48)</f>
        <v/>
      </c>
      <c r="CG48" s="10">
        <f>(CB48-CD48-CE48-CH48)*D48</f>
        <v/>
      </c>
      <c r="CH48" s="10">
        <f>BX48*R48</f>
        <v/>
      </c>
      <c r="CI48" s="10">
        <f>SUM(CD48:CH48)</f>
        <v/>
      </c>
      <c r="CK48" s="1">
        <f>CI48-CB48</f>
        <v/>
      </c>
    </row>
    <row r="49">
      <c r="B49" s="14" t="inlineStr">
        <is>
          <t>MIDAT_TSC+CC90:H2</t>
        </is>
      </c>
      <c r="C49" s="13" t="inlineStr">
        <is>
          <t>Ethane</t>
        </is>
      </c>
      <c r="D49" s="13" t="n">
        <v>0.9</v>
      </c>
      <c r="E49" s="13" t="n">
        <v>0</v>
      </c>
      <c r="F49" s="13" t="n">
        <v>0.1598531434</v>
      </c>
      <c r="G49" s="13" t="n">
        <v>0.009388736698</v>
      </c>
      <c r="H49" s="13" t="n">
        <v>0.05310189724</v>
      </c>
      <c r="I49" s="13" t="n">
        <v>0.1318322859</v>
      </c>
      <c r="J49" s="13" t="n">
        <v>0</v>
      </c>
      <c r="K49" s="13" t="n"/>
      <c r="L49" s="13" t="n"/>
      <c r="M49" s="11">
        <f>CG49*H49</f>
        <v/>
      </c>
      <c r="N49" s="11">
        <f>CF49*H49</f>
        <v/>
      </c>
      <c r="O49" s="13" t="n">
        <v>106900.9741</v>
      </c>
      <c r="P49" s="13" t="n">
        <v>58510.18581</v>
      </c>
      <c r="Q49" s="13" t="n">
        <v>1.807660423</v>
      </c>
      <c r="R49" s="11" t="n">
        <v>0.2020556</v>
      </c>
      <c r="T49" s="16" t="n">
        <v>99.913298</v>
      </c>
      <c r="U49" s="16" t="n">
        <v>-15.650257</v>
      </c>
      <c r="V49" s="16" t="n">
        <v>63.953341</v>
      </c>
      <c r="W49" s="16" t="n">
        <v>39.720462</v>
      </c>
      <c r="X49" s="16" t="n">
        <v>40.53758</v>
      </c>
      <c r="Y49" s="22" t="n">
        <v>420</v>
      </c>
      <c r="Z49" s="11" t="n">
        <v>21.9863533</v>
      </c>
      <c r="AA49" s="17" t="n"/>
      <c r="AB49" s="17" t="n"/>
      <c r="AC49" s="16" t="n">
        <v>21.699949</v>
      </c>
      <c r="AD49" s="16" t="n">
        <v>8.045609000000001</v>
      </c>
      <c r="AE49" s="16" t="n"/>
      <c r="AF49" s="17" t="n"/>
      <c r="AG49" s="17" t="n"/>
      <c r="AH49" s="17" t="n"/>
      <c r="AI49" s="17" t="n"/>
      <c r="AJ49" s="17" t="n"/>
      <c r="AK49" s="17" t="n"/>
      <c r="AL49" s="16" t="n">
        <v>-0.930222</v>
      </c>
      <c r="AM49" s="16" t="n">
        <v>-2.781275</v>
      </c>
      <c r="AN49" s="16" t="n">
        <v>796.736008</v>
      </c>
      <c r="AO49" s="16" t="n">
        <v>796.736008</v>
      </c>
      <c r="AQ49" s="1">
        <f>B49</f>
        <v/>
      </c>
      <c r="AR49" s="1">
        <f>C49</f>
        <v/>
      </c>
      <c r="AS49" s="12">
        <f>SUM(AY49:BG49)+BI49+BJ49</f>
        <v/>
      </c>
      <c r="AT49" s="12">
        <f>SUM(AY49:BG49)+BL49+BM49</f>
        <v/>
      </c>
      <c r="AU49" s="5">
        <f>AS49-AT49</f>
        <v/>
      </c>
      <c r="AV49" s="12">
        <f>SUM(AY49:BG49)+BO49+BP49</f>
        <v/>
      </c>
      <c r="AW49" s="12">
        <f>SUM(AY49:BG49)+BR49+BS49</f>
        <v/>
      </c>
      <c r="AX49" s="5">
        <f>AV49-AW49</f>
        <v/>
      </c>
      <c r="AY49" s="5">
        <f>E49/H49*AD49</f>
        <v/>
      </c>
      <c r="AZ49" s="1">
        <f>F49/H49*AD49*-1</f>
        <v/>
      </c>
      <c r="BA49" s="1">
        <f>G49/H49*AC49</f>
        <v/>
      </c>
      <c r="BB49" s="1">
        <f>1/H49*Z49</f>
        <v/>
      </c>
      <c r="BC49" s="1">
        <f>I49/H49*AL49</f>
        <v/>
      </c>
      <c r="BD49" s="1">
        <f>J49/H49*AL49*-1</f>
        <v/>
      </c>
      <c r="BE49" s="1">
        <f>O49/H49/(0.9*8760)</f>
        <v/>
      </c>
      <c r="BF49" s="1">
        <f>P49/H49/(0.9*8760)</f>
        <v/>
      </c>
      <c r="BG49" s="1">
        <f>Q49/H49</f>
        <v/>
      </c>
      <c r="BH49" s="1">
        <f>CE49+CF49+CG49</f>
        <v/>
      </c>
      <c r="BI49" s="1">
        <f>(T49+U49)*-1*M49/H49</f>
        <v/>
      </c>
      <c r="BJ49" s="1">
        <f>BH49*T49</f>
        <v/>
      </c>
      <c r="BK49" s="1">
        <f>CE49+CF49</f>
        <v/>
      </c>
      <c r="BL49" s="1">
        <f>U49*M49*-1/H49</f>
        <v/>
      </c>
      <c r="BM49" s="1">
        <f>BK49*T49</f>
        <v/>
      </c>
      <c r="BN49" s="1">
        <f>SUM(CD49:CH49)</f>
        <v/>
      </c>
      <c r="BO49" s="1">
        <f>(T49+U49)*-1*M49/H49</f>
        <v/>
      </c>
      <c r="BP49" s="1">
        <f>BN49*T49</f>
        <v/>
      </c>
      <c r="BQ49" s="1">
        <f>CD49+CE49+CF49+CH49</f>
        <v/>
      </c>
      <c r="BR49" s="1">
        <f>M49/H49*U49*-1</f>
        <v/>
      </c>
      <c r="BS49" s="1">
        <f>T49*BQ49</f>
        <v/>
      </c>
      <c r="BU49" s="9" t="n">
        <v>3.14</v>
      </c>
      <c r="BV49" s="10" t="n">
        <v>0.2218110024</v>
      </c>
      <c r="BW49" s="9" t="n">
        <v>0.18104824</v>
      </c>
      <c r="BX49" s="9" t="n">
        <v>0.015714286</v>
      </c>
      <c r="BZ49" s="10">
        <f>1/H49*BV49</f>
        <v/>
      </c>
      <c r="CA49" s="10">
        <f>I49/H49*BW49</f>
        <v/>
      </c>
      <c r="CB49" s="10">
        <f>BZ49+CA49</f>
        <v/>
      </c>
      <c r="CD49" s="10">
        <f>BU49</f>
        <v/>
      </c>
      <c r="CE49" s="10">
        <f>J49/H49*BW49</f>
        <v/>
      </c>
      <c r="CF49" s="10">
        <f>(CB49-CD49-CE49-CH49)*(1-D49)</f>
        <v/>
      </c>
      <c r="CG49" s="10">
        <f>(CB49-CD49-CE49-CH49)*D49</f>
        <v/>
      </c>
      <c r="CH49" s="10">
        <f>BX49*R49</f>
        <v/>
      </c>
      <c r="CI49" s="10">
        <f>SUM(CD49:CH49)</f>
        <v/>
      </c>
      <c r="CK49" s="1">
        <f>CI49-CB49</f>
        <v/>
      </c>
    </row>
    <row r="50">
      <c r="B50" s="14" t="inlineStr">
        <is>
          <t>MIDAT_TSC+H2in</t>
        </is>
      </c>
      <c r="C50" s="13" t="inlineStr">
        <is>
          <t>Ethane</t>
        </is>
      </c>
      <c r="D50" s="13" t="n">
        <v>0</v>
      </c>
      <c r="E50" s="13" t="n">
        <v>0.02226644157</v>
      </c>
      <c r="F50" s="13" t="n">
        <v>0</v>
      </c>
      <c r="G50" s="13" t="n">
        <v>0</v>
      </c>
      <c r="H50" s="13" t="n">
        <v>0.05310189724</v>
      </c>
      <c r="I50" s="13" t="n">
        <v>0</v>
      </c>
      <c r="J50" s="13" t="n">
        <v>0</v>
      </c>
      <c r="K50" s="13" t="n"/>
      <c r="L50" s="13" t="n"/>
      <c r="M50" s="11">
        <f>CG50*H50</f>
        <v/>
      </c>
      <c r="N50" s="11">
        <f>CF50*H50</f>
        <v/>
      </c>
      <c r="O50" s="13" t="n">
        <v>99124.32016</v>
      </c>
      <c r="P50" s="13" t="n">
        <v>54251.99777</v>
      </c>
      <c r="Q50" s="13" t="n">
        <v>1.676159756</v>
      </c>
      <c r="R50" s="11" t="n">
        <v>0.2020556</v>
      </c>
      <c r="T50" s="16" t="n">
        <v>99.913298</v>
      </c>
      <c r="U50" s="16" t="n">
        <v>-15.650257</v>
      </c>
      <c r="V50" s="16" t="n">
        <v>63.953341</v>
      </c>
      <c r="W50" s="16" t="n">
        <v>39.720462</v>
      </c>
      <c r="X50" s="16" t="n">
        <v>40.53758</v>
      </c>
      <c r="Y50" s="22" t="n">
        <v>420</v>
      </c>
      <c r="Z50" s="11" t="n">
        <v>21.9863533</v>
      </c>
      <c r="AA50" s="17" t="n"/>
      <c r="AB50" s="17" t="n"/>
      <c r="AC50" s="16" t="n">
        <v>21.699949</v>
      </c>
      <c r="AD50" s="16" t="n">
        <v>8.045609000000001</v>
      </c>
      <c r="AE50" s="16" t="n"/>
      <c r="AF50" s="17" t="n"/>
      <c r="AG50" s="17" t="n"/>
      <c r="AH50" s="17" t="n"/>
      <c r="AI50" s="17" t="n"/>
      <c r="AJ50" s="17" t="n"/>
      <c r="AK50" s="17" t="n"/>
      <c r="AL50" s="16" t="n">
        <v>-0.930222</v>
      </c>
      <c r="AM50" s="16" t="n">
        <v>-2.781275</v>
      </c>
      <c r="AN50" s="16" t="n">
        <v>796.736008</v>
      </c>
      <c r="AO50" s="16" t="n">
        <v>796.736008</v>
      </c>
      <c r="AQ50" s="1">
        <f>B50</f>
        <v/>
      </c>
      <c r="AR50" s="1">
        <f>C50</f>
        <v/>
      </c>
      <c r="AS50" s="12">
        <f>SUM(AY50:BG50)+BI50+BJ50</f>
        <v/>
      </c>
      <c r="AT50" s="12">
        <f>SUM(AY50:BG50)+BL50+BM50</f>
        <v/>
      </c>
      <c r="AU50" s="5">
        <f>AS50-AT50</f>
        <v/>
      </c>
      <c r="AV50" s="12">
        <f>SUM(AY50:BG50)+BO50+BP50</f>
        <v/>
      </c>
      <c r="AW50" s="12">
        <f>SUM(AY50:BG50)+BR50+BS50</f>
        <v/>
      </c>
      <c r="AX50" s="5">
        <f>AV50-AW50</f>
        <v/>
      </c>
      <c r="AY50" s="5">
        <f>E50/H50*AD50</f>
        <v/>
      </c>
      <c r="AZ50" s="1">
        <f>F50/H50*AD50*-1</f>
        <v/>
      </c>
      <c r="BA50" s="1">
        <f>G50/H50*AC50</f>
        <v/>
      </c>
      <c r="BB50" s="1">
        <f>1/H50*Z50</f>
        <v/>
      </c>
      <c r="BC50" s="1">
        <f>I50/H50*AL50</f>
        <v/>
      </c>
      <c r="BD50" s="1">
        <f>J50/H50*AL50*-1</f>
        <v/>
      </c>
      <c r="BE50" s="1">
        <f>O50/H50/(0.9*8760)</f>
        <v/>
      </c>
      <c r="BF50" s="1">
        <f>P50/H50/(0.9*8760)</f>
        <v/>
      </c>
      <c r="BG50" s="1">
        <f>Q50/H50</f>
        <v/>
      </c>
      <c r="BH50" s="1">
        <f>CE50+CF50+CG50</f>
        <v/>
      </c>
      <c r="BI50" s="1">
        <f>(T50+U50)*-1*M50/H50</f>
        <v/>
      </c>
      <c r="BJ50" s="1">
        <f>BH50*T50</f>
        <v/>
      </c>
      <c r="BK50" s="1">
        <f>CE50+CF50</f>
        <v/>
      </c>
      <c r="BL50" s="1">
        <f>U50*M50*-1/H50</f>
        <v/>
      </c>
      <c r="BM50" s="1">
        <f>BK50*T50</f>
        <v/>
      </c>
      <c r="BN50" s="1">
        <f>SUM(CD50:CH50)</f>
        <v/>
      </c>
      <c r="BO50" s="1">
        <f>(T50+U50)*-1*M50/H50</f>
        <v/>
      </c>
      <c r="BP50" s="1">
        <f>BN50*T50</f>
        <v/>
      </c>
      <c r="BQ50" s="1">
        <f>CD50+CE50+CF50+CH50</f>
        <v/>
      </c>
      <c r="BR50" s="1">
        <f>M50/H50*U50*-1</f>
        <v/>
      </c>
      <c r="BS50" s="1">
        <f>T50*BQ50</f>
        <v/>
      </c>
      <c r="BU50" s="9" t="n">
        <v>3.14</v>
      </c>
      <c r="BV50" s="10" t="n">
        <v>0.2218110024</v>
      </c>
      <c r="BW50" s="9" t="n">
        <v>0.18104824</v>
      </c>
      <c r="BX50" s="9" t="n">
        <v>0.015714286</v>
      </c>
      <c r="BZ50" s="10">
        <f>1/H50*BV50</f>
        <v/>
      </c>
      <c r="CA50" s="10">
        <f>I50/H50*BW50</f>
        <v/>
      </c>
      <c r="CB50" s="10">
        <f>BZ50+CA50</f>
        <v/>
      </c>
      <c r="CD50" s="10">
        <f>BU50</f>
        <v/>
      </c>
      <c r="CE50" s="10">
        <f>J50/H50*BW50</f>
        <v/>
      </c>
      <c r="CF50" s="10">
        <f>(CB50-CD50-CE50-CH50)*(1-D50)</f>
        <v/>
      </c>
      <c r="CG50" s="10">
        <f>(CB50-CD50-CE50-CH50)*D50</f>
        <v/>
      </c>
      <c r="CH50" s="10">
        <f>BX50*R50</f>
        <v/>
      </c>
      <c r="CI50" s="10">
        <f>SUM(CD50:CH50)</f>
        <v/>
      </c>
      <c r="CK50" s="1">
        <f>CI50-CB50</f>
        <v/>
      </c>
    </row>
    <row r="51">
      <c r="B51" s="14" t="inlineStr">
        <is>
          <t>MIDAT_TSC+H2in:CH4</t>
        </is>
      </c>
      <c r="C51" s="13" t="inlineStr">
        <is>
          <t>Ethane</t>
        </is>
      </c>
      <c r="D51" s="13" t="n">
        <v>0</v>
      </c>
      <c r="E51" s="13" t="n">
        <v>0.1375867019</v>
      </c>
      <c r="F51" s="13" t="n">
        <v>0</v>
      </c>
      <c r="G51" s="13" t="n">
        <v>0</v>
      </c>
      <c r="H51" s="13" t="n">
        <v>0.05310189724</v>
      </c>
      <c r="I51" s="13" t="n">
        <v>0</v>
      </c>
      <c r="J51" s="13" t="n">
        <v>0.1181424966</v>
      </c>
      <c r="K51" s="13" t="n"/>
      <c r="L51" s="13" t="n"/>
      <c r="M51" s="11">
        <f>CG51*H51</f>
        <v/>
      </c>
      <c r="N51" s="11">
        <f>CF51*H51</f>
        <v/>
      </c>
      <c r="O51" s="13" t="n">
        <v>99124.32016</v>
      </c>
      <c r="P51" s="13" t="n">
        <v>54251.99777</v>
      </c>
      <c r="Q51" s="13" t="n">
        <v>1.676159756</v>
      </c>
      <c r="R51" s="11" t="n">
        <v>0.2020556</v>
      </c>
      <c r="T51" s="16" t="n">
        <v>99.913298</v>
      </c>
      <c r="U51" s="16" t="n">
        <v>-15.650257</v>
      </c>
      <c r="V51" s="16" t="n">
        <v>63.953341</v>
      </c>
      <c r="W51" s="16" t="n">
        <v>39.720462</v>
      </c>
      <c r="X51" s="16" t="n">
        <v>40.53758</v>
      </c>
      <c r="Y51" s="22" t="n">
        <v>420</v>
      </c>
      <c r="Z51" s="11" t="n">
        <v>21.9863533</v>
      </c>
      <c r="AA51" s="17" t="n"/>
      <c r="AB51" s="17" t="n"/>
      <c r="AC51" s="16" t="n">
        <v>21.699949</v>
      </c>
      <c r="AD51" s="16" t="n">
        <v>8.045609000000001</v>
      </c>
      <c r="AE51" s="16" t="n"/>
      <c r="AF51" s="17" t="n"/>
      <c r="AG51" s="17" t="n"/>
      <c r="AH51" s="17" t="n"/>
      <c r="AI51" s="17" t="n"/>
      <c r="AJ51" s="17" t="n"/>
      <c r="AK51" s="17" t="n"/>
      <c r="AL51" s="16" t="n">
        <v>-0.930222</v>
      </c>
      <c r="AM51" s="16" t="n">
        <v>-2.781275</v>
      </c>
      <c r="AN51" s="16" t="n">
        <v>796.736008</v>
      </c>
      <c r="AO51" s="16" t="n">
        <v>796.736008</v>
      </c>
      <c r="AQ51" s="1">
        <f>B51</f>
        <v/>
      </c>
      <c r="AR51" s="1">
        <f>C51</f>
        <v/>
      </c>
      <c r="AS51" s="12">
        <f>SUM(AY51:BG51)+BI51+BJ51</f>
        <v/>
      </c>
      <c r="AT51" s="12">
        <f>SUM(AY51:BG51)+BL51+BM51</f>
        <v/>
      </c>
      <c r="AU51" s="5">
        <f>AS51-AT51</f>
        <v/>
      </c>
      <c r="AV51" s="12">
        <f>SUM(AY51:BG51)+BO51+BP51</f>
        <v/>
      </c>
      <c r="AW51" s="12">
        <f>SUM(AY51:BG51)+BR51+BS51</f>
        <v/>
      </c>
      <c r="AX51" s="5">
        <f>AV51-AW51</f>
        <v/>
      </c>
      <c r="AY51" s="5">
        <f>E51/H51*AD51</f>
        <v/>
      </c>
      <c r="AZ51" s="1">
        <f>F51/H51*AD51*-1</f>
        <v/>
      </c>
      <c r="BA51" s="1">
        <f>G51/H51*AC51</f>
        <v/>
      </c>
      <c r="BB51" s="1">
        <f>1/H51*Z51</f>
        <v/>
      </c>
      <c r="BC51" s="1">
        <f>I51/H51*AL51</f>
        <v/>
      </c>
      <c r="BD51" s="1">
        <f>J51/H51*AL51*-1</f>
        <v/>
      </c>
      <c r="BE51" s="1">
        <f>O51/H51/(0.9*8760)</f>
        <v/>
      </c>
      <c r="BF51" s="1">
        <f>P51/H51/(0.9*8760)</f>
        <v/>
      </c>
      <c r="BG51" s="1">
        <f>Q51/H51</f>
        <v/>
      </c>
      <c r="BH51" s="1">
        <f>CE51+CF51+CG51</f>
        <v/>
      </c>
      <c r="BI51" s="1">
        <f>(T51+U51)*-1*M51/H51</f>
        <v/>
      </c>
      <c r="BJ51" s="1">
        <f>BH51*T51</f>
        <v/>
      </c>
      <c r="BK51" s="1">
        <f>CE51+CF51</f>
        <v/>
      </c>
      <c r="BL51" s="1">
        <f>U51*M51*-1/H51</f>
        <v/>
      </c>
      <c r="BM51" s="1">
        <f>BK51*T51</f>
        <v/>
      </c>
      <c r="BN51" s="1">
        <f>SUM(CD51:CH51)</f>
        <v/>
      </c>
      <c r="BO51" s="1">
        <f>(T51+U51)*-1*M51/H51</f>
        <v/>
      </c>
      <c r="BP51" s="1">
        <f>BN51*T51</f>
        <v/>
      </c>
      <c r="BQ51" s="1">
        <f>CD51+CE51+CF51+CH51</f>
        <v/>
      </c>
      <c r="BR51" s="1">
        <f>M51/H51*U51*-1</f>
        <v/>
      </c>
      <c r="BS51" s="1">
        <f>T51*BQ51</f>
        <v/>
      </c>
      <c r="BU51" s="9" t="n">
        <v>3.14</v>
      </c>
      <c r="BV51" s="10" t="n">
        <v>0.2218110024</v>
      </c>
      <c r="BW51" s="9" t="n">
        <v>0.18104824</v>
      </c>
      <c r="BX51" s="9" t="n">
        <v>0.015714286</v>
      </c>
      <c r="BZ51" s="10">
        <f>1/H51*BV51</f>
        <v/>
      </c>
      <c r="CA51" s="10">
        <f>I51/H51*BW51</f>
        <v/>
      </c>
      <c r="CB51" s="10">
        <f>BZ51+CA51</f>
        <v/>
      </c>
      <c r="CD51" s="10">
        <f>BU51</f>
        <v/>
      </c>
      <c r="CE51" s="10">
        <f>J51/H51*BW51</f>
        <v/>
      </c>
      <c r="CF51" s="10">
        <f>(CB51-CD51-CE51-CH51)*(1-D51)</f>
        <v/>
      </c>
      <c r="CG51" s="10">
        <f>(CB51-CD51-CE51-CH51)*D51</f>
        <v/>
      </c>
      <c r="CH51" s="10">
        <f>BX51*R51</f>
        <v/>
      </c>
      <c r="CI51" s="10">
        <f>SUM(CD51:CH51)</f>
        <v/>
      </c>
      <c r="CK51" s="1">
        <f>CI51-CB51</f>
        <v/>
      </c>
    </row>
    <row r="52">
      <c r="B52" s="14" t="inlineStr">
        <is>
          <t>NE_TSC+CC90</t>
        </is>
      </c>
      <c r="C52" s="13" t="inlineStr">
        <is>
          <t>Ethane</t>
        </is>
      </c>
      <c r="D52" s="13" t="n">
        <v>0.9</v>
      </c>
      <c r="E52" s="13" t="n">
        <v>0</v>
      </c>
      <c r="F52" s="13" t="n">
        <v>0</v>
      </c>
      <c r="G52" s="13" t="n">
        <v>0.008052966438000001</v>
      </c>
      <c r="H52" s="13" t="n">
        <v>0.05310189724</v>
      </c>
      <c r="I52" s="13" t="n">
        <v>0.02270169876</v>
      </c>
      <c r="J52" s="13" t="n">
        <v>0</v>
      </c>
      <c r="K52" s="13" t="n"/>
      <c r="L52" s="13" t="n"/>
      <c r="M52" s="11">
        <f>CG52*H52</f>
        <v/>
      </c>
      <c r="N52" s="11">
        <f>CF52*H52</f>
        <v/>
      </c>
      <c r="O52" s="13" t="n">
        <v>106875.1697</v>
      </c>
      <c r="P52" s="13" t="n">
        <v>58496.38728</v>
      </c>
      <c r="Q52" s="13" t="n">
        <v>1.807224085</v>
      </c>
      <c r="R52" s="11" t="n">
        <v>0.2020556</v>
      </c>
      <c r="T52" s="16" t="n">
        <v>99.913298</v>
      </c>
      <c r="U52" s="16" t="n">
        <v>-21.727401</v>
      </c>
      <c r="V52" s="16" t="n">
        <v>66.936657</v>
      </c>
      <c r="W52" s="16" t="n">
        <v>41.693039</v>
      </c>
      <c r="X52" s="16" t="n">
        <v>41.333943</v>
      </c>
      <c r="Y52" s="22" t="n">
        <v>420</v>
      </c>
      <c r="Z52" s="11" t="n">
        <v>21.9863533</v>
      </c>
      <c r="AA52" s="17" t="n"/>
      <c r="AB52" s="17" t="n"/>
      <c r="AC52" s="16" t="n">
        <v>20.978032</v>
      </c>
      <c r="AD52" s="16" t="n">
        <v>12.546751</v>
      </c>
      <c r="AE52" s="16" t="n"/>
      <c r="AF52" s="17" t="n"/>
      <c r="AG52" s="17" t="n"/>
      <c r="AH52" s="17" t="n"/>
      <c r="AI52" s="17" t="n"/>
      <c r="AJ52" s="17" t="n"/>
      <c r="AK52" s="17" t="n"/>
      <c r="AL52" s="16" t="n">
        <v>5.888729</v>
      </c>
      <c r="AM52" s="16" t="n">
        <v>0</v>
      </c>
      <c r="AN52" s="16" t="n">
        <v>796.736008</v>
      </c>
      <c r="AO52" s="16" t="n">
        <v>0</v>
      </c>
      <c r="AQ52" s="1">
        <f>B52</f>
        <v/>
      </c>
      <c r="AR52" s="1">
        <f>C52</f>
        <v/>
      </c>
      <c r="AS52" s="12">
        <f>SUM(AY52:BG52)+BI52+BJ52</f>
        <v/>
      </c>
      <c r="AT52" s="12">
        <f>SUM(AY52:BG52)+BL52+BM52</f>
        <v/>
      </c>
      <c r="AU52" s="5">
        <f>AS52-AT52</f>
        <v/>
      </c>
      <c r="AV52" s="12">
        <f>SUM(AY52:BG52)+BO52+BP52</f>
        <v/>
      </c>
      <c r="AW52" s="12">
        <f>SUM(AY52:BG52)+BR52+BS52</f>
        <v/>
      </c>
      <c r="AX52" s="5">
        <f>AV52-AW52</f>
        <v/>
      </c>
      <c r="AY52" s="5">
        <f>E52/H52*AD52</f>
        <v/>
      </c>
      <c r="AZ52" s="1">
        <f>F52/H52*AD52*-1</f>
        <v/>
      </c>
      <c r="BA52" s="1">
        <f>G52/H52*AC52</f>
        <v/>
      </c>
      <c r="BB52" s="1">
        <f>1/H52*Z52</f>
        <v/>
      </c>
      <c r="BC52" s="1">
        <f>I52/H52*AL52</f>
        <v/>
      </c>
      <c r="BD52" s="1">
        <f>J52/H52*AL52*-1</f>
        <v/>
      </c>
      <c r="BE52" s="1">
        <f>O52/H52/(0.9*8760)</f>
        <v/>
      </c>
      <c r="BF52" s="1">
        <f>P52/H52/(0.9*8760)</f>
        <v/>
      </c>
      <c r="BG52" s="1">
        <f>Q52/H52</f>
        <v/>
      </c>
      <c r="BH52" s="1">
        <f>CE52+CF52+CG52</f>
        <v/>
      </c>
      <c r="BI52" s="1">
        <f>(T52+U52)*-1*M52/H52</f>
        <v/>
      </c>
      <c r="BJ52" s="1">
        <f>BH52*T52</f>
        <v/>
      </c>
      <c r="BK52" s="1">
        <f>CE52+CF52</f>
        <v/>
      </c>
      <c r="BL52" s="1">
        <f>U52*M52*-1/H52</f>
        <v/>
      </c>
      <c r="BM52" s="1">
        <f>BK52*T52</f>
        <v/>
      </c>
      <c r="BN52" s="1">
        <f>SUM(CD52:CH52)</f>
        <v/>
      </c>
      <c r="BO52" s="1">
        <f>(T52+U52)*-1*M52/H52</f>
        <v/>
      </c>
      <c r="BP52" s="1">
        <f>BN52*T52</f>
        <v/>
      </c>
      <c r="BQ52" s="1">
        <f>CD52+CE52+CF52+CH52</f>
        <v/>
      </c>
      <c r="BR52" s="1">
        <f>M52/H52*U52*-1</f>
        <v/>
      </c>
      <c r="BS52" s="1">
        <f>T52*BQ52</f>
        <v/>
      </c>
      <c r="BU52" s="9" t="n">
        <v>3.14</v>
      </c>
      <c r="BV52" s="10" t="n">
        <v>0.2218110024</v>
      </c>
      <c r="BW52" s="9" t="n">
        <v>0.18104824</v>
      </c>
      <c r="BX52" s="9" t="n">
        <v>0.015714286</v>
      </c>
      <c r="BZ52" s="10">
        <f>1/H52*BV52</f>
        <v/>
      </c>
      <c r="CA52" s="10">
        <f>I52/H52*BW52</f>
        <v/>
      </c>
      <c r="CB52" s="10">
        <f>BZ52+CA52</f>
        <v/>
      </c>
      <c r="CD52" s="10">
        <f>BU52</f>
        <v/>
      </c>
      <c r="CE52" s="10">
        <f>J52/H52*BW52</f>
        <v/>
      </c>
      <c r="CF52" s="10">
        <f>(CB52-CD52-CE52-CH52)*(1-D52)</f>
        <v/>
      </c>
      <c r="CG52" s="10">
        <f>(CB52-CD52-CE52-CH52)*D52</f>
        <v/>
      </c>
      <c r="CH52" s="10">
        <f>BX52*R52</f>
        <v/>
      </c>
      <c r="CI52" s="10">
        <f>SUM(CD52:CH52)</f>
        <v/>
      </c>
      <c r="CK52" s="1">
        <f>CI52-CB52</f>
        <v/>
      </c>
    </row>
    <row r="53">
      <c r="B53" s="14" t="inlineStr">
        <is>
          <t>NE_TSC:H2</t>
        </is>
      </c>
      <c r="C53" s="13" t="inlineStr">
        <is>
          <t>Ethane</t>
        </is>
      </c>
      <c r="D53" s="13" t="n">
        <v>0</v>
      </c>
      <c r="E53" s="13" t="n">
        <v>0</v>
      </c>
      <c r="F53" s="13" t="n">
        <v>0.1598531434</v>
      </c>
      <c r="G53" s="13" t="n">
        <v>0</v>
      </c>
      <c r="H53" s="13" t="n">
        <v>0.05310189724</v>
      </c>
      <c r="I53" s="13" t="n">
        <v>0.1318322859</v>
      </c>
      <c r="J53" s="13" t="n">
        <v>0</v>
      </c>
      <c r="K53" s="13" t="n"/>
      <c r="L53" s="13" t="n"/>
      <c r="M53" s="11">
        <f>CG53*H53</f>
        <v/>
      </c>
      <c r="N53" s="11">
        <f>CF53*H53</f>
        <v/>
      </c>
      <c r="O53" s="13" t="n">
        <v>99124.32016</v>
      </c>
      <c r="P53" s="13" t="n">
        <v>54251.99777</v>
      </c>
      <c r="Q53" s="13" t="n">
        <v>1.676159756</v>
      </c>
      <c r="R53" s="11" t="n">
        <v>0.2020556</v>
      </c>
      <c r="T53" s="16" t="n">
        <v>99.913298</v>
      </c>
      <c r="U53" s="16" t="n">
        <v>-21.727401</v>
      </c>
      <c r="V53" s="16" t="n">
        <v>66.936657</v>
      </c>
      <c r="W53" s="16" t="n">
        <v>41.693039</v>
      </c>
      <c r="X53" s="16" t="n">
        <v>41.333943</v>
      </c>
      <c r="Y53" s="22" t="n">
        <v>420</v>
      </c>
      <c r="Z53" s="11" t="n">
        <v>21.9863533</v>
      </c>
      <c r="AA53" s="17" t="n"/>
      <c r="AB53" s="17" t="n"/>
      <c r="AC53" s="16" t="n">
        <v>20.978032</v>
      </c>
      <c r="AD53" s="16" t="n">
        <v>12.546751</v>
      </c>
      <c r="AE53" s="16" t="n"/>
      <c r="AF53" s="17" t="n"/>
      <c r="AG53" s="17" t="n"/>
      <c r="AH53" s="17" t="n"/>
      <c r="AI53" s="17" t="n"/>
      <c r="AJ53" s="17" t="n"/>
      <c r="AK53" s="17" t="n"/>
      <c r="AL53" s="16" t="n">
        <v>5.888729</v>
      </c>
      <c r="AM53" s="16" t="n">
        <v>0</v>
      </c>
      <c r="AN53" s="16" t="n">
        <v>796.736008</v>
      </c>
      <c r="AO53" s="16" t="n">
        <v>0</v>
      </c>
      <c r="AQ53" s="1">
        <f>B53</f>
        <v/>
      </c>
      <c r="AR53" s="1">
        <f>C53</f>
        <v/>
      </c>
      <c r="AS53" s="12">
        <f>SUM(AY53:BG53)+BI53+BJ53</f>
        <v/>
      </c>
      <c r="AT53" s="12">
        <f>SUM(AY53:BG53)+BL53+BM53</f>
        <v/>
      </c>
      <c r="AU53" s="5">
        <f>AS53-AT53</f>
        <v/>
      </c>
      <c r="AV53" s="12">
        <f>SUM(AY53:BG53)+BO53+BP53</f>
        <v/>
      </c>
      <c r="AW53" s="12">
        <f>SUM(AY53:BG53)+BR53+BS53</f>
        <v/>
      </c>
      <c r="AX53" s="5">
        <f>AV53-AW53</f>
        <v/>
      </c>
      <c r="AY53" s="5">
        <f>E53/H53*AD53</f>
        <v/>
      </c>
      <c r="AZ53" s="1">
        <f>F53/H53*AD53*-1</f>
        <v/>
      </c>
      <c r="BA53" s="1">
        <f>G53/H53*AC53</f>
        <v/>
      </c>
      <c r="BB53" s="1">
        <f>1/H53*Z53</f>
        <v/>
      </c>
      <c r="BC53" s="1">
        <f>I53/H53*AL53</f>
        <v/>
      </c>
      <c r="BD53" s="1">
        <f>J53/H53*AL53*-1</f>
        <v/>
      </c>
      <c r="BE53" s="1">
        <f>O53/H53/(0.9*8760)</f>
        <v/>
      </c>
      <c r="BF53" s="1">
        <f>P53/H53/(0.9*8760)</f>
        <v/>
      </c>
      <c r="BG53" s="1">
        <f>Q53/H53</f>
        <v/>
      </c>
      <c r="BH53" s="1">
        <f>CE53+CF53+CG53</f>
        <v/>
      </c>
      <c r="BI53" s="1">
        <f>(T53+U53)*-1*M53/H53</f>
        <v/>
      </c>
      <c r="BJ53" s="1">
        <f>BH53*T53</f>
        <v/>
      </c>
      <c r="BK53" s="1">
        <f>CE53+CF53</f>
        <v/>
      </c>
      <c r="BL53" s="1">
        <f>U53*M53*-1/H53</f>
        <v/>
      </c>
      <c r="BM53" s="1">
        <f>BK53*T53</f>
        <v/>
      </c>
      <c r="BN53" s="1">
        <f>SUM(CD53:CH53)</f>
        <v/>
      </c>
      <c r="BO53" s="1">
        <f>(T53+U53)*-1*M53/H53</f>
        <v/>
      </c>
      <c r="BP53" s="1">
        <f>BN53*T53</f>
        <v/>
      </c>
      <c r="BQ53" s="1">
        <f>CD53+CE53+CF53+CH53</f>
        <v/>
      </c>
      <c r="BR53" s="1">
        <f>M53/H53*U53*-1</f>
        <v/>
      </c>
      <c r="BS53" s="1">
        <f>T53*BQ53</f>
        <v/>
      </c>
      <c r="BU53" s="9" t="n">
        <v>3.14</v>
      </c>
      <c r="BV53" s="10" t="n">
        <v>0.2218110024</v>
      </c>
      <c r="BW53" s="9" t="n">
        <v>0.18104824</v>
      </c>
      <c r="BX53" s="9" t="n">
        <v>0.015714286</v>
      </c>
      <c r="BZ53" s="10">
        <f>1/H53*BV53</f>
        <v/>
      </c>
      <c r="CA53" s="10">
        <f>I53/H53*BW53</f>
        <v/>
      </c>
      <c r="CB53" s="10">
        <f>BZ53+CA53</f>
        <v/>
      </c>
      <c r="CD53" s="10">
        <f>BU53</f>
        <v/>
      </c>
      <c r="CE53" s="10">
        <f>J53/H53*BW53</f>
        <v/>
      </c>
      <c r="CF53" s="10">
        <f>(CB53-CD53-CE53-CH53)*(1-D53)</f>
        <v/>
      </c>
      <c r="CG53" s="10">
        <f>(CB53-CD53-CE53-CH53)*D53</f>
        <v/>
      </c>
      <c r="CH53" s="10">
        <f>BX53*R53</f>
        <v/>
      </c>
      <c r="CI53" s="10">
        <f>SUM(CD53:CH53)</f>
        <v/>
      </c>
      <c r="CK53" s="1">
        <f>CI53-CB53</f>
        <v/>
      </c>
    </row>
    <row r="54">
      <c r="B54" s="14" t="inlineStr">
        <is>
          <t>NE_TSC+CC90:H2</t>
        </is>
      </c>
      <c r="C54" s="13" t="inlineStr">
        <is>
          <t>Ethane</t>
        </is>
      </c>
      <c r="D54" s="13" t="n">
        <v>0.9</v>
      </c>
      <c r="E54" s="13" t="n">
        <v>0</v>
      </c>
      <c r="F54" s="13" t="n">
        <v>0.1598531434</v>
      </c>
      <c r="G54" s="13" t="n">
        <v>0.009388736698</v>
      </c>
      <c r="H54" s="13" t="n">
        <v>0.05310189724</v>
      </c>
      <c r="I54" s="13" t="n">
        <v>0.1318322859</v>
      </c>
      <c r="J54" s="13" t="n">
        <v>0</v>
      </c>
      <c r="K54" s="13" t="n"/>
      <c r="L54" s="13" t="n"/>
      <c r="M54" s="11">
        <f>CG54*H54</f>
        <v/>
      </c>
      <c r="N54" s="11">
        <f>CF54*H54</f>
        <v/>
      </c>
      <c r="O54" s="13" t="n">
        <v>106900.9741</v>
      </c>
      <c r="P54" s="13" t="n">
        <v>58510.18581</v>
      </c>
      <c r="Q54" s="13" t="n">
        <v>1.807660423</v>
      </c>
      <c r="R54" s="11" t="n">
        <v>0.2020556</v>
      </c>
      <c r="T54" s="16" t="n">
        <v>99.913298</v>
      </c>
      <c r="U54" s="16" t="n">
        <v>-21.727401</v>
      </c>
      <c r="V54" s="16" t="n">
        <v>66.936657</v>
      </c>
      <c r="W54" s="16" t="n">
        <v>41.693039</v>
      </c>
      <c r="X54" s="16" t="n">
        <v>41.333943</v>
      </c>
      <c r="Y54" s="22" t="n">
        <v>420</v>
      </c>
      <c r="Z54" s="11" t="n">
        <v>21.9863533</v>
      </c>
      <c r="AA54" s="17" t="n"/>
      <c r="AB54" s="17" t="n"/>
      <c r="AC54" s="16" t="n">
        <v>20.978032</v>
      </c>
      <c r="AD54" s="16" t="n">
        <v>12.546751</v>
      </c>
      <c r="AE54" s="16" t="n"/>
      <c r="AF54" s="17" t="n"/>
      <c r="AG54" s="17" t="n"/>
      <c r="AH54" s="17" t="n"/>
      <c r="AI54" s="17" t="n"/>
      <c r="AJ54" s="17" t="n"/>
      <c r="AK54" s="17" t="n"/>
      <c r="AL54" s="16" t="n">
        <v>5.888729</v>
      </c>
      <c r="AM54" s="16" t="n">
        <v>0</v>
      </c>
      <c r="AN54" s="16" t="n">
        <v>796.736008</v>
      </c>
      <c r="AO54" s="16" t="n">
        <v>0</v>
      </c>
      <c r="AQ54" s="1">
        <f>B54</f>
        <v/>
      </c>
      <c r="AR54" s="1">
        <f>C54</f>
        <v/>
      </c>
      <c r="AS54" s="12">
        <f>SUM(AY54:BG54)+BI54+BJ54</f>
        <v/>
      </c>
      <c r="AT54" s="12">
        <f>SUM(AY54:BG54)+BL54+BM54</f>
        <v/>
      </c>
      <c r="AU54" s="5">
        <f>AS54-AT54</f>
        <v/>
      </c>
      <c r="AV54" s="12">
        <f>SUM(AY54:BG54)+BO54+BP54</f>
        <v/>
      </c>
      <c r="AW54" s="12">
        <f>SUM(AY54:BG54)+BR54+BS54</f>
        <v/>
      </c>
      <c r="AX54" s="5">
        <f>AV54-AW54</f>
        <v/>
      </c>
      <c r="AY54" s="5">
        <f>E54/H54*AD54</f>
        <v/>
      </c>
      <c r="AZ54" s="1">
        <f>F54/H54*AD54*-1</f>
        <v/>
      </c>
      <c r="BA54" s="1">
        <f>G54/H54*AC54</f>
        <v/>
      </c>
      <c r="BB54" s="1">
        <f>1/H54*Z54</f>
        <v/>
      </c>
      <c r="BC54" s="1">
        <f>I54/H54*AL54</f>
        <v/>
      </c>
      <c r="BD54" s="1">
        <f>J54/H54*AL54*-1</f>
        <v/>
      </c>
      <c r="BE54" s="1">
        <f>O54/H54/(0.9*8760)</f>
        <v/>
      </c>
      <c r="BF54" s="1">
        <f>P54/H54/(0.9*8760)</f>
        <v/>
      </c>
      <c r="BG54" s="1">
        <f>Q54/H54</f>
        <v/>
      </c>
      <c r="BH54" s="1">
        <f>CE54+CF54+CG54</f>
        <v/>
      </c>
      <c r="BI54" s="1">
        <f>(T54+U54)*-1*M54/H54</f>
        <v/>
      </c>
      <c r="BJ54" s="1">
        <f>BH54*T54</f>
        <v/>
      </c>
      <c r="BK54" s="1">
        <f>CE54+CF54</f>
        <v/>
      </c>
      <c r="BL54" s="1">
        <f>U54*M54*-1/H54</f>
        <v/>
      </c>
      <c r="BM54" s="1">
        <f>BK54*T54</f>
        <v/>
      </c>
      <c r="BN54" s="1">
        <f>SUM(CD54:CH54)</f>
        <v/>
      </c>
      <c r="BO54" s="1">
        <f>(T54+U54)*-1*M54/H54</f>
        <v/>
      </c>
      <c r="BP54" s="1">
        <f>BN54*T54</f>
        <v/>
      </c>
      <c r="BQ54" s="1">
        <f>CD54+CE54+CF54+CH54</f>
        <v/>
      </c>
      <c r="BR54" s="1">
        <f>M54/H54*U54*-1</f>
        <v/>
      </c>
      <c r="BS54" s="1">
        <f>T54*BQ54</f>
        <v/>
      </c>
      <c r="BU54" s="9" t="n">
        <v>3.14</v>
      </c>
      <c r="BV54" s="10" t="n">
        <v>0.2218110024</v>
      </c>
      <c r="BW54" s="9" t="n">
        <v>0.18104824</v>
      </c>
      <c r="BX54" s="9" t="n">
        <v>0.015714286</v>
      </c>
      <c r="BZ54" s="10">
        <f>1/H54*BV54</f>
        <v/>
      </c>
      <c r="CA54" s="10">
        <f>I54/H54*BW54</f>
        <v/>
      </c>
      <c r="CB54" s="10">
        <f>BZ54+CA54</f>
        <v/>
      </c>
      <c r="CD54" s="10">
        <f>BU54</f>
        <v/>
      </c>
      <c r="CE54" s="10">
        <f>J54/H54*BW54</f>
        <v/>
      </c>
      <c r="CF54" s="10">
        <f>(CB54-CD54-CE54-CH54)*(1-D54)</f>
        <v/>
      </c>
      <c r="CG54" s="10">
        <f>(CB54-CD54-CE54-CH54)*D54</f>
        <v/>
      </c>
      <c r="CH54" s="10">
        <f>BX54*R54</f>
        <v/>
      </c>
      <c r="CI54" s="10">
        <f>SUM(CD54:CH54)</f>
        <v/>
      </c>
      <c r="CK54" s="1">
        <f>CI54-CB54</f>
        <v/>
      </c>
    </row>
    <row r="55">
      <c r="B55" s="14" t="inlineStr">
        <is>
          <t>NE_TSC+H2in</t>
        </is>
      </c>
      <c r="C55" s="13" t="inlineStr">
        <is>
          <t>Ethane</t>
        </is>
      </c>
      <c r="D55" s="13" t="n">
        <v>0</v>
      </c>
      <c r="E55" s="13" t="n">
        <v>0.02226644157</v>
      </c>
      <c r="F55" s="13" t="n">
        <v>0</v>
      </c>
      <c r="G55" s="13" t="n">
        <v>0</v>
      </c>
      <c r="H55" s="13" t="n">
        <v>0.05310189724</v>
      </c>
      <c r="I55" s="13" t="n">
        <v>0</v>
      </c>
      <c r="J55" s="13" t="n">
        <v>0</v>
      </c>
      <c r="K55" s="13" t="n"/>
      <c r="L55" s="13" t="n"/>
      <c r="M55" s="11">
        <f>CG55*H55</f>
        <v/>
      </c>
      <c r="N55" s="11">
        <f>CF55*H55</f>
        <v/>
      </c>
      <c r="O55" s="13" t="n">
        <v>99124.32016</v>
      </c>
      <c r="P55" s="13" t="n">
        <v>54251.99777</v>
      </c>
      <c r="Q55" s="13" t="n">
        <v>1.676159756</v>
      </c>
      <c r="R55" s="11" t="n">
        <v>0.2020556</v>
      </c>
      <c r="T55" s="16" t="n">
        <v>99.913298</v>
      </c>
      <c r="U55" s="16" t="n">
        <v>-21.727401</v>
      </c>
      <c r="V55" s="16" t="n">
        <v>66.936657</v>
      </c>
      <c r="W55" s="16" t="n">
        <v>41.693039</v>
      </c>
      <c r="X55" s="16" t="n">
        <v>41.333943</v>
      </c>
      <c r="Y55" s="22" t="n">
        <v>420</v>
      </c>
      <c r="Z55" s="11" t="n">
        <v>21.9863533</v>
      </c>
      <c r="AA55" s="17" t="n"/>
      <c r="AB55" s="17" t="n"/>
      <c r="AC55" s="16" t="n">
        <v>20.978032</v>
      </c>
      <c r="AD55" s="16" t="n">
        <v>12.546751</v>
      </c>
      <c r="AE55" s="16" t="n"/>
      <c r="AF55" s="17" t="n"/>
      <c r="AG55" s="17" t="n"/>
      <c r="AH55" s="17" t="n"/>
      <c r="AI55" s="17" t="n"/>
      <c r="AJ55" s="17" t="n"/>
      <c r="AK55" s="17" t="n"/>
      <c r="AL55" s="16" t="n">
        <v>5.888729</v>
      </c>
      <c r="AM55" s="16" t="n">
        <v>0</v>
      </c>
      <c r="AN55" s="16" t="n">
        <v>796.736008</v>
      </c>
      <c r="AO55" s="16" t="n">
        <v>0</v>
      </c>
      <c r="AQ55" s="1">
        <f>B55</f>
        <v/>
      </c>
      <c r="AR55" s="1">
        <f>C55</f>
        <v/>
      </c>
      <c r="AS55" s="12">
        <f>SUM(AY55:BG55)+BI55+BJ55</f>
        <v/>
      </c>
      <c r="AT55" s="12">
        <f>SUM(AY55:BG55)+BL55+BM55</f>
        <v/>
      </c>
      <c r="AU55" s="5">
        <f>AS55-AT55</f>
        <v/>
      </c>
      <c r="AV55" s="12">
        <f>SUM(AY55:BG55)+BO55+BP55</f>
        <v/>
      </c>
      <c r="AW55" s="12">
        <f>SUM(AY55:BG55)+BR55+BS55</f>
        <v/>
      </c>
      <c r="AX55" s="5">
        <f>AV55-AW55</f>
        <v/>
      </c>
      <c r="AY55" s="5">
        <f>E55/H55*AD55</f>
        <v/>
      </c>
      <c r="AZ55" s="1">
        <f>F55/H55*AD55*-1</f>
        <v/>
      </c>
      <c r="BA55" s="1">
        <f>G55/H55*AC55</f>
        <v/>
      </c>
      <c r="BB55" s="1">
        <f>1/H55*Z55</f>
        <v/>
      </c>
      <c r="BC55" s="1">
        <f>I55/H55*AL55</f>
        <v/>
      </c>
      <c r="BD55" s="1">
        <f>J55/H55*AL55*-1</f>
        <v/>
      </c>
      <c r="BE55" s="1">
        <f>O55/H55/(0.9*8760)</f>
        <v/>
      </c>
      <c r="BF55" s="1">
        <f>P55/H55/(0.9*8760)</f>
        <v/>
      </c>
      <c r="BG55" s="1">
        <f>Q55/H55</f>
        <v/>
      </c>
      <c r="BH55" s="1">
        <f>CE55+CF55+CG55</f>
        <v/>
      </c>
      <c r="BI55" s="1">
        <f>(T55+U55)*-1*M55/H55</f>
        <v/>
      </c>
      <c r="BJ55" s="1">
        <f>BH55*T55</f>
        <v/>
      </c>
      <c r="BK55" s="1">
        <f>CE55+CF55</f>
        <v/>
      </c>
      <c r="BL55" s="1">
        <f>U55*M55*-1/H55</f>
        <v/>
      </c>
      <c r="BM55" s="1">
        <f>BK55*T55</f>
        <v/>
      </c>
      <c r="BN55" s="1">
        <f>SUM(CD55:CH55)</f>
        <v/>
      </c>
      <c r="BO55" s="1">
        <f>(T55+U55)*-1*M55/H55</f>
        <v/>
      </c>
      <c r="BP55" s="1">
        <f>BN55*T55</f>
        <v/>
      </c>
      <c r="BQ55" s="1">
        <f>CD55+CE55+CF55+CH55</f>
        <v/>
      </c>
      <c r="BR55" s="1">
        <f>M55/H55*U55*-1</f>
        <v/>
      </c>
      <c r="BS55" s="1">
        <f>T55*BQ55</f>
        <v/>
      </c>
      <c r="BU55" s="9" t="n">
        <v>3.14</v>
      </c>
      <c r="BV55" s="10" t="n">
        <v>0.2218110024</v>
      </c>
      <c r="BW55" s="9" t="n">
        <v>0.18104824</v>
      </c>
      <c r="BX55" s="9" t="n">
        <v>0.015714286</v>
      </c>
      <c r="BZ55" s="10">
        <f>1/H55*BV55</f>
        <v/>
      </c>
      <c r="CA55" s="10">
        <f>I55/H55*BW55</f>
        <v/>
      </c>
      <c r="CB55" s="10">
        <f>BZ55+CA55</f>
        <v/>
      </c>
      <c r="CD55" s="10">
        <f>BU55</f>
        <v/>
      </c>
      <c r="CE55" s="10">
        <f>J55/H55*BW55</f>
        <v/>
      </c>
      <c r="CF55" s="10">
        <f>(CB55-CD55-CE55-CH55)*(1-D55)</f>
        <v/>
      </c>
      <c r="CG55" s="10">
        <f>(CB55-CD55-CE55-CH55)*D55</f>
        <v/>
      </c>
      <c r="CH55" s="10">
        <f>BX55*R55</f>
        <v/>
      </c>
      <c r="CI55" s="10">
        <f>SUM(CD55:CH55)</f>
        <v/>
      </c>
      <c r="CK55" s="1">
        <f>CI55-CB55</f>
        <v/>
      </c>
    </row>
    <row r="56">
      <c r="B56" s="14" t="inlineStr">
        <is>
          <t>NE_TSC+H2in:CH4</t>
        </is>
      </c>
      <c r="C56" s="13" t="inlineStr">
        <is>
          <t>Ethane</t>
        </is>
      </c>
      <c r="D56" s="13" t="n">
        <v>0</v>
      </c>
      <c r="E56" s="13" t="n">
        <v>0.1375867019</v>
      </c>
      <c r="F56" s="13" t="n">
        <v>0</v>
      </c>
      <c r="G56" s="13" t="n">
        <v>0</v>
      </c>
      <c r="H56" s="13" t="n">
        <v>0.05310189724</v>
      </c>
      <c r="I56" s="13" t="n">
        <v>0</v>
      </c>
      <c r="J56" s="13" t="n">
        <v>0.1181424966</v>
      </c>
      <c r="K56" s="13" t="n"/>
      <c r="L56" s="13" t="n"/>
      <c r="M56" s="11">
        <f>CG56*H56</f>
        <v/>
      </c>
      <c r="N56" s="11">
        <f>CF56*H56</f>
        <v/>
      </c>
      <c r="O56" s="13" t="n">
        <v>99124.32016</v>
      </c>
      <c r="P56" s="13" t="n">
        <v>54251.99777</v>
      </c>
      <c r="Q56" s="13" t="n">
        <v>1.676159756</v>
      </c>
      <c r="R56" s="11" t="n">
        <v>0.2020556</v>
      </c>
      <c r="T56" s="16" t="n">
        <v>99.913298</v>
      </c>
      <c r="U56" s="16" t="n">
        <v>-21.727401</v>
      </c>
      <c r="V56" s="16" t="n">
        <v>66.936657</v>
      </c>
      <c r="W56" s="16" t="n">
        <v>41.693039</v>
      </c>
      <c r="X56" s="16" t="n">
        <v>41.333943</v>
      </c>
      <c r="Y56" s="22" t="n">
        <v>420</v>
      </c>
      <c r="Z56" s="11" t="n">
        <v>21.9863533</v>
      </c>
      <c r="AA56" s="17" t="n"/>
      <c r="AB56" s="17" t="n"/>
      <c r="AC56" s="16" t="n">
        <v>20.978032</v>
      </c>
      <c r="AD56" s="16" t="n">
        <v>12.546751</v>
      </c>
      <c r="AE56" s="16" t="n"/>
      <c r="AF56" s="17" t="n"/>
      <c r="AG56" s="17" t="n"/>
      <c r="AH56" s="17" t="n"/>
      <c r="AI56" s="17" t="n"/>
      <c r="AJ56" s="17" t="n"/>
      <c r="AK56" s="17" t="n"/>
      <c r="AL56" s="16" t="n">
        <v>5.888729</v>
      </c>
      <c r="AM56" s="16" t="n">
        <v>0</v>
      </c>
      <c r="AN56" s="16" t="n">
        <v>796.736008</v>
      </c>
      <c r="AO56" s="16" t="n">
        <v>0</v>
      </c>
      <c r="AQ56" s="1">
        <f>B56</f>
        <v/>
      </c>
      <c r="AR56" s="1">
        <f>C56</f>
        <v/>
      </c>
      <c r="AS56" s="12">
        <f>SUM(AY56:BG56)+BI56+BJ56</f>
        <v/>
      </c>
      <c r="AT56" s="12">
        <f>SUM(AY56:BG56)+BL56+BM56</f>
        <v/>
      </c>
      <c r="AU56" s="5">
        <f>AS56-AT56</f>
        <v/>
      </c>
      <c r="AV56" s="12">
        <f>SUM(AY56:BG56)+BO56+BP56</f>
        <v/>
      </c>
      <c r="AW56" s="12">
        <f>SUM(AY56:BG56)+BR56+BS56</f>
        <v/>
      </c>
      <c r="AX56" s="5">
        <f>AV56-AW56</f>
        <v/>
      </c>
      <c r="AY56" s="5">
        <f>E56/H56*AD56</f>
        <v/>
      </c>
      <c r="AZ56" s="1">
        <f>F56/H56*AD56*-1</f>
        <v/>
      </c>
      <c r="BA56" s="1">
        <f>G56/H56*AC56</f>
        <v/>
      </c>
      <c r="BB56" s="1">
        <f>1/H56*Z56</f>
        <v/>
      </c>
      <c r="BC56" s="1">
        <f>I56/H56*AL56</f>
        <v/>
      </c>
      <c r="BD56" s="1">
        <f>J56/H56*AL56*-1</f>
        <v/>
      </c>
      <c r="BE56" s="1">
        <f>O56/H56/(0.9*8760)</f>
        <v/>
      </c>
      <c r="BF56" s="1">
        <f>P56/H56/(0.9*8760)</f>
        <v/>
      </c>
      <c r="BG56" s="1">
        <f>Q56/H56</f>
        <v/>
      </c>
      <c r="BH56" s="1">
        <f>CE56+CF56+CG56</f>
        <v/>
      </c>
      <c r="BI56" s="1">
        <f>(T56+U56)*-1*M56/H56</f>
        <v/>
      </c>
      <c r="BJ56" s="1">
        <f>BH56*T56</f>
        <v/>
      </c>
      <c r="BK56" s="1">
        <f>CE56+CF56</f>
        <v/>
      </c>
      <c r="BL56" s="1">
        <f>U56*M56*-1/H56</f>
        <v/>
      </c>
      <c r="BM56" s="1">
        <f>BK56*T56</f>
        <v/>
      </c>
      <c r="BN56" s="1">
        <f>SUM(CD56:CH56)</f>
        <v/>
      </c>
      <c r="BO56" s="1">
        <f>(T56+U56)*-1*M56/H56</f>
        <v/>
      </c>
      <c r="BP56" s="1">
        <f>BN56*T56</f>
        <v/>
      </c>
      <c r="BQ56" s="1">
        <f>CD56+CE56+CF56+CH56</f>
        <v/>
      </c>
      <c r="BR56" s="1">
        <f>M56/H56*U56*-1</f>
        <v/>
      </c>
      <c r="BS56" s="1">
        <f>T56*BQ56</f>
        <v/>
      </c>
      <c r="BU56" s="9" t="n">
        <v>3.14</v>
      </c>
      <c r="BV56" s="10" t="n">
        <v>0.2218110024</v>
      </c>
      <c r="BW56" s="9" t="n">
        <v>0.18104824</v>
      </c>
      <c r="BX56" s="9" t="n">
        <v>0.015714286</v>
      </c>
      <c r="BZ56" s="10">
        <f>1/H56*BV56</f>
        <v/>
      </c>
      <c r="CA56" s="10">
        <f>I56/H56*BW56</f>
        <v/>
      </c>
      <c r="CB56" s="10">
        <f>BZ56+CA56</f>
        <v/>
      </c>
      <c r="CD56" s="10">
        <f>BU56</f>
        <v/>
      </c>
      <c r="CE56" s="10">
        <f>J56/H56*BW56</f>
        <v/>
      </c>
      <c r="CF56" s="10">
        <f>(CB56-CD56-CE56-CH56)*(1-D56)</f>
        <v/>
      </c>
      <c r="CG56" s="10">
        <f>(CB56-CD56-CE56-CH56)*D56</f>
        <v/>
      </c>
      <c r="CH56" s="10">
        <f>BX56*R56</f>
        <v/>
      </c>
      <c r="CI56" s="10">
        <f>SUM(CD56:CH56)</f>
        <v/>
      </c>
      <c r="CK56" s="1">
        <f>CI56-CB56</f>
        <v/>
      </c>
    </row>
    <row r="57">
      <c r="B57" s="14" t="inlineStr">
        <is>
          <t>CA_ESC</t>
        </is>
      </c>
      <c r="C57" s="13" t="inlineStr">
        <is>
          <t>Ethane</t>
        </is>
      </c>
      <c r="D57" s="13" t="n">
        <v>0</v>
      </c>
      <c r="E57" s="13" t="n">
        <v>0</v>
      </c>
      <c r="F57" s="13" t="n">
        <v>0.1598531434</v>
      </c>
      <c r="G57" s="13" t="n">
        <v>0.1913827933</v>
      </c>
      <c r="H57" s="13" t="n">
        <v>0.05310189724</v>
      </c>
      <c r="I57" s="13" t="n">
        <v>0</v>
      </c>
      <c r="J57" s="13" t="n">
        <v>0.1181424966</v>
      </c>
      <c r="K57" s="13" t="n"/>
      <c r="L57" s="13" t="n"/>
      <c r="M57" s="11">
        <f>CG57*H57</f>
        <v/>
      </c>
      <c r="N57" s="11">
        <f>CF57*H57</f>
        <v/>
      </c>
      <c r="O57" s="13" t="n">
        <v>131324.1148</v>
      </c>
      <c r="P57" s="13" t="n">
        <v>71875.35400000001</v>
      </c>
      <c r="Q57" s="13" t="n">
        <v>2.220647733</v>
      </c>
      <c r="R57" s="11" t="n">
        <v>0.2020556</v>
      </c>
      <c r="T57" s="17" t="n">
        <v>99.913298</v>
      </c>
      <c r="U57" s="17" t="n">
        <v>-5.387721</v>
      </c>
      <c r="V57" s="16" t="n">
        <v>69.443859</v>
      </c>
      <c r="W57" s="16" t="n">
        <v>44.089523</v>
      </c>
      <c r="X57" s="16" t="n">
        <v>38.115627</v>
      </c>
      <c r="Y57" s="22" t="n">
        <v>420</v>
      </c>
      <c r="Z57" s="11" t="n">
        <v>21.9863533</v>
      </c>
      <c r="AA57" s="17" t="n"/>
      <c r="AB57" s="17" t="n"/>
      <c r="AC57" s="16" t="n">
        <v>19.219858</v>
      </c>
      <c r="AD57" s="16" t="n">
        <v>4.641256</v>
      </c>
      <c r="AE57" s="17" t="n"/>
      <c r="AF57" s="17" t="n"/>
      <c r="AG57" s="17" t="n"/>
      <c r="AH57" s="17" t="n"/>
      <c r="AI57" s="17" t="n"/>
      <c r="AJ57" s="17" t="n"/>
      <c r="AK57" s="17" t="n"/>
      <c r="AL57" s="16" t="n">
        <v>-3.135876</v>
      </c>
      <c r="AM57" s="16" t="n">
        <v>-4.519557</v>
      </c>
      <c r="AN57" s="16" t="n">
        <v>796.736008</v>
      </c>
      <c r="AO57" s="16" t="n">
        <v>0</v>
      </c>
      <c r="AQ57" s="1">
        <f>B57</f>
        <v/>
      </c>
      <c r="AR57" s="1">
        <f>C57</f>
        <v/>
      </c>
      <c r="AS57" s="12">
        <f>SUM(AY57:BG57)+BI57+BJ57</f>
        <v/>
      </c>
      <c r="AT57" s="12">
        <f>SUM(AY57:BG57)+BL57+BM57</f>
        <v/>
      </c>
      <c r="AU57" s="5">
        <f>AS57-AT57</f>
        <v/>
      </c>
      <c r="AV57" s="12">
        <f>SUM(AY57:BG57)+BO57+BP57</f>
        <v/>
      </c>
      <c r="AW57" s="12">
        <f>SUM(AY57:BG57)+BR57+BS57</f>
        <v/>
      </c>
      <c r="AX57" s="5">
        <f>AV57-AW57</f>
        <v/>
      </c>
      <c r="AY57" s="5">
        <f>E57/H57*AD57</f>
        <v/>
      </c>
      <c r="AZ57" s="1">
        <f>F57/H57*AD57*-1</f>
        <v/>
      </c>
      <c r="BA57" s="1">
        <f>G57/H57*AC57</f>
        <v/>
      </c>
      <c r="BB57" s="1">
        <f>1/H57*Z57</f>
        <v/>
      </c>
      <c r="BC57" s="1">
        <f>I57/H57*AL57</f>
        <v/>
      </c>
      <c r="BD57" s="1">
        <f>J57/H57*AL57*-1</f>
        <v/>
      </c>
      <c r="BE57" s="1">
        <f>O57/H57/(0.9*8760)</f>
        <v/>
      </c>
      <c r="BF57" s="1">
        <f>P57/H57/(0.9*8760)</f>
        <v/>
      </c>
      <c r="BG57" s="1">
        <f>Q57/H57</f>
        <v/>
      </c>
      <c r="BH57" s="1">
        <f>CE57+CF57+CG57</f>
        <v/>
      </c>
      <c r="BI57" s="1">
        <f>(T57+U57)*-1*M57/H57</f>
        <v/>
      </c>
      <c r="BJ57" s="1">
        <f>BH57*T57</f>
        <v/>
      </c>
      <c r="BK57" s="1">
        <f>CE57+CF57</f>
        <v/>
      </c>
      <c r="BL57" s="1">
        <f>U57*M57*-1/H57</f>
        <v/>
      </c>
      <c r="BM57" s="1">
        <f>BK57*T57</f>
        <v/>
      </c>
      <c r="BN57" s="1">
        <f>SUM(CD57:CH57)</f>
        <v/>
      </c>
      <c r="BO57" s="1">
        <f>(T57+U57)*-1*M57/H57</f>
        <v/>
      </c>
      <c r="BP57" s="1">
        <f>BN57*T57</f>
        <v/>
      </c>
      <c r="BQ57" s="1">
        <f>CD57+CE57+CF57+CH57</f>
        <v/>
      </c>
      <c r="BR57" s="1">
        <f>M57/H57*U57*-1</f>
        <v/>
      </c>
      <c r="BS57" s="1">
        <f>T57*BQ57</f>
        <v/>
      </c>
      <c r="BU57" s="9" t="n">
        <v>3.14</v>
      </c>
      <c r="BV57" s="10" t="n">
        <v>0.2218110024</v>
      </c>
      <c r="BW57" s="9" t="n">
        <v>0.18104824</v>
      </c>
      <c r="BX57" s="9" t="n">
        <v>0.015714286</v>
      </c>
      <c r="BZ57" s="10">
        <f>1/H57*BV57</f>
        <v/>
      </c>
      <c r="CA57" s="10">
        <f>I57/H57*BW57</f>
        <v/>
      </c>
      <c r="CB57" s="10">
        <f>BZ57+CA57</f>
        <v/>
      </c>
      <c r="CD57" s="10">
        <f>BU57</f>
        <v/>
      </c>
      <c r="CE57" s="10">
        <f>J57/H57*BW57</f>
        <v/>
      </c>
      <c r="CF57" s="10">
        <f>(CB57-CD57-CE57-CH57)*(1-D57)</f>
        <v/>
      </c>
      <c r="CG57" s="10">
        <f>(CB57-CD57-CE57-CH57)*D57</f>
        <v/>
      </c>
      <c r="CH57" s="10">
        <f>BX57*R57</f>
        <v/>
      </c>
      <c r="CI57" s="10">
        <f>SUM(CD57:CH57)</f>
        <v/>
      </c>
      <c r="CK57" s="1">
        <f>CI57-CB57</f>
        <v/>
      </c>
    </row>
    <row r="58">
      <c r="B58" s="14" t="inlineStr">
        <is>
          <t>SW_ESC</t>
        </is>
      </c>
      <c r="C58" s="13" t="inlineStr">
        <is>
          <t>Ethane</t>
        </is>
      </c>
      <c r="D58" s="13" t="n">
        <v>0</v>
      </c>
      <c r="E58" s="13" t="n">
        <v>0</v>
      </c>
      <c r="F58" s="13" t="n">
        <v>0.1598531434</v>
      </c>
      <c r="G58" s="13" t="n">
        <v>0.1913827933</v>
      </c>
      <c r="H58" s="13" t="n">
        <v>0.05310189724</v>
      </c>
      <c r="I58" s="13" t="n">
        <v>0</v>
      </c>
      <c r="J58" s="13" t="n">
        <v>0.1181424966</v>
      </c>
      <c r="K58" s="13" t="n"/>
      <c r="L58" s="13" t="n"/>
      <c r="M58" s="11">
        <f>CG58*H58</f>
        <v/>
      </c>
      <c r="N58" s="11">
        <f>CF58*H58</f>
        <v/>
      </c>
      <c r="O58" s="13" t="n">
        <v>131324.1148</v>
      </c>
      <c r="P58" s="13" t="n">
        <v>71875.35400000001</v>
      </c>
      <c r="Q58" s="13" t="n">
        <v>2.220647733</v>
      </c>
      <c r="R58" s="11" t="n">
        <v>0.2020556</v>
      </c>
      <c r="T58" s="17" t="n">
        <v>99.913298</v>
      </c>
      <c r="U58" s="17" t="n">
        <v>-5.321206</v>
      </c>
      <c r="V58" s="16" t="n">
        <v>65.718464</v>
      </c>
      <c r="W58" s="16" t="n">
        <v>44.094475</v>
      </c>
      <c r="X58" s="16" t="n">
        <v>41.17053</v>
      </c>
      <c r="Y58" s="22" t="n">
        <v>420</v>
      </c>
      <c r="Z58" s="11" t="n">
        <v>21.9863533</v>
      </c>
      <c r="AA58" s="17" t="n"/>
      <c r="AB58" s="17" t="n"/>
      <c r="AC58" s="16" t="n">
        <v>20.088657</v>
      </c>
      <c r="AD58" s="16" t="n">
        <v>6.238322</v>
      </c>
      <c r="AE58" s="17" t="n"/>
      <c r="AF58" s="17" t="n"/>
      <c r="AG58" s="17" t="n"/>
      <c r="AH58" s="17" t="n"/>
      <c r="AI58" s="17" t="n"/>
      <c r="AJ58" s="17" t="n"/>
      <c r="AK58" s="17" t="n"/>
      <c r="AL58" s="16" t="n">
        <v>-1.277867</v>
      </c>
      <c r="AM58" s="16" t="n">
        <v>-3.020989</v>
      </c>
      <c r="AN58" s="16" t="n">
        <v>796.736008</v>
      </c>
      <c r="AO58" s="16" t="n">
        <v>0</v>
      </c>
      <c r="AQ58" s="1">
        <f>B58</f>
        <v/>
      </c>
      <c r="AR58" s="1">
        <f>C58</f>
        <v/>
      </c>
      <c r="AS58" s="12">
        <f>SUM(AY58:BG58)+BI58+BJ58</f>
        <v/>
      </c>
      <c r="AT58" s="12">
        <f>SUM(AY58:BG58)+BL58+BM58</f>
        <v/>
      </c>
      <c r="AU58" s="5">
        <f>AS58-AT58</f>
        <v/>
      </c>
      <c r="AV58" s="12">
        <f>SUM(AY58:BG58)+BO58+BP58</f>
        <v/>
      </c>
      <c r="AW58" s="12">
        <f>SUM(AY58:BG58)+BR58+BS58</f>
        <v/>
      </c>
      <c r="AX58" s="5">
        <f>AV58-AW58</f>
        <v/>
      </c>
      <c r="AY58" s="5">
        <f>E58/H58*AD58</f>
        <v/>
      </c>
      <c r="AZ58" s="1">
        <f>F58/H58*AD58*-1</f>
        <v/>
      </c>
      <c r="BA58" s="1">
        <f>G58/H58*AC58</f>
        <v/>
      </c>
      <c r="BB58" s="1">
        <f>1/H58*Z58</f>
        <v/>
      </c>
      <c r="BC58" s="1">
        <f>I58/H58*AL58</f>
        <v/>
      </c>
      <c r="BD58" s="1">
        <f>J58/H58*AL58*-1</f>
        <v/>
      </c>
      <c r="BE58" s="1">
        <f>O58/H58/(0.9*8760)</f>
        <v/>
      </c>
      <c r="BF58" s="1">
        <f>P58/H58/(0.9*8760)</f>
        <v/>
      </c>
      <c r="BG58" s="1">
        <f>Q58/H58</f>
        <v/>
      </c>
      <c r="BH58" s="1">
        <f>CE58+CF58+CG58</f>
        <v/>
      </c>
      <c r="BI58" s="1">
        <f>(T58+U58)*-1*M58/H58</f>
        <v/>
      </c>
      <c r="BJ58" s="1">
        <f>BH58*T58</f>
        <v/>
      </c>
      <c r="BK58" s="1">
        <f>CE58+CF58</f>
        <v/>
      </c>
      <c r="BL58" s="1">
        <f>U58*M58*-1/H58</f>
        <v/>
      </c>
      <c r="BM58" s="1">
        <f>BK58*T58</f>
        <v/>
      </c>
      <c r="BN58" s="1">
        <f>SUM(CD58:CH58)</f>
        <v/>
      </c>
      <c r="BO58" s="1">
        <f>(T58+U58)*-1*M58/H58</f>
        <v/>
      </c>
      <c r="BP58" s="1">
        <f>BN58*T58</f>
        <v/>
      </c>
      <c r="BQ58" s="1">
        <f>CD58+CE58+CF58+CH58</f>
        <v/>
      </c>
      <c r="BR58" s="1">
        <f>M58/H58*U58*-1</f>
        <v/>
      </c>
      <c r="BS58" s="1">
        <f>T58*BQ58</f>
        <v/>
      </c>
      <c r="BU58" s="9" t="n">
        <v>3.14</v>
      </c>
      <c r="BV58" s="10" t="n">
        <v>0.2218110024</v>
      </c>
      <c r="BW58" s="9" t="n">
        <v>0.18104824</v>
      </c>
      <c r="BX58" s="9" t="n">
        <v>0.015714286</v>
      </c>
      <c r="BZ58" s="10">
        <f>1/H58*BV58</f>
        <v/>
      </c>
      <c r="CA58" s="10">
        <f>I58/H58*BW58</f>
        <v/>
      </c>
      <c r="CB58" s="10">
        <f>BZ58+CA58</f>
        <v/>
      </c>
      <c r="CD58" s="10">
        <f>BU58</f>
        <v/>
      </c>
      <c r="CE58" s="10">
        <f>J58/H58*BW58</f>
        <v/>
      </c>
      <c r="CF58" s="10">
        <f>(CB58-CD58-CE58-CH58)*(1-D58)</f>
        <v/>
      </c>
      <c r="CG58" s="10">
        <f>(CB58-CD58-CE58-CH58)*D58</f>
        <v/>
      </c>
      <c r="CH58" s="10">
        <f>BX58*R58</f>
        <v/>
      </c>
      <c r="CI58" s="10">
        <f>SUM(CD58:CH58)</f>
        <v/>
      </c>
      <c r="CK58" s="1">
        <f>CI58-CB58</f>
        <v/>
      </c>
    </row>
    <row r="59">
      <c r="B59" s="14" t="inlineStr">
        <is>
          <t>NW_ESC</t>
        </is>
      </c>
      <c r="C59" s="13" t="inlineStr">
        <is>
          <t>Ethane</t>
        </is>
      </c>
      <c r="D59" s="13" t="n">
        <v>0</v>
      </c>
      <c r="E59" s="13" t="n">
        <v>0</v>
      </c>
      <c r="F59" s="13" t="n">
        <v>0.1598531434</v>
      </c>
      <c r="G59" s="13" t="n">
        <v>0.1913827933</v>
      </c>
      <c r="H59" s="13" t="n">
        <v>0.05310189724</v>
      </c>
      <c r="I59" s="13" t="n">
        <v>0</v>
      </c>
      <c r="J59" s="13" t="n">
        <v>0.1181424966</v>
      </c>
      <c r="K59" s="13" t="n"/>
      <c r="L59" s="13" t="n"/>
      <c r="M59" s="11">
        <f>CG59*H59</f>
        <v/>
      </c>
      <c r="N59" s="11">
        <f>CF59*H59</f>
        <v/>
      </c>
      <c r="O59" s="13" t="n">
        <v>131324.1148</v>
      </c>
      <c r="P59" s="13" t="n">
        <v>71875.35400000001</v>
      </c>
      <c r="Q59" s="13" t="n">
        <v>2.220647733</v>
      </c>
      <c r="R59" s="11" t="n">
        <v>0.2020556</v>
      </c>
      <c r="T59" s="17" t="n">
        <v>99.913298</v>
      </c>
      <c r="U59" s="17" t="n">
        <v>-5.280129</v>
      </c>
      <c r="V59" s="16" t="n">
        <v>67.91567999999999</v>
      </c>
      <c r="W59" s="16" t="n">
        <v>44.074162</v>
      </c>
      <c r="X59" s="16" t="n">
        <v>42.063157</v>
      </c>
      <c r="Y59" s="22" t="n">
        <v>420</v>
      </c>
      <c r="Z59" s="11" t="n">
        <v>21.9863533</v>
      </c>
      <c r="AA59" s="17" t="n"/>
      <c r="AB59" s="17" t="n"/>
      <c r="AC59" s="16" t="n">
        <v>19.074368</v>
      </c>
      <c r="AD59" s="16" t="n">
        <v>5.238745</v>
      </c>
      <c r="AE59" s="17" t="n"/>
      <c r="AF59" s="17" t="n"/>
      <c r="AG59" s="17" t="n"/>
      <c r="AH59" s="17" t="n"/>
      <c r="AI59" s="17" t="n"/>
      <c r="AJ59" s="17" t="n"/>
      <c r="AK59" s="17" t="n"/>
      <c r="AL59" s="16" t="n">
        <v>-2.438704</v>
      </c>
      <c r="AM59" s="16" t="n">
        <v>-3.956322</v>
      </c>
      <c r="AN59" s="16" t="n">
        <v>796.736008</v>
      </c>
      <c r="AO59" s="16" t="n">
        <v>0</v>
      </c>
      <c r="AQ59" s="1">
        <f>B59</f>
        <v/>
      </c>
      <c r="AR59" s="1">
        <f>C59</f>
        <v/>
      </c>
      <c r="AS59" s="12">
        <f>SUM(AY59:BG59)+BI59+BJ59</f>
        <v/>
      </c>
      <c r="AT59" s="12">
        <f>SUM(AY59:BG59)+BL59+BM59</f>
        <v/>
      </c>
      <c r="AU59" s="5">
        <f>AS59-AT59</f>
        <v/>
      </c>
      <c r="AV59" s="12">
        <f>SUM(AY59:BG59)+BO59+BP59</f>
        <v/>
      </c>
      <c r="AW59" s="12">
        <f>SUM(AY59:BG59)+BR59+BS59</f>
        <v/>
      </c>
      <c r="AX59" s="5">
        <f>AV59-AW59</f>
        <v/>
      </c>
      <c r="AY59" s="5">
        <f>E59/H59*AD59</f>
        <v/>
      </c>
      <c r="AZ59" s="1">
        <f>F59/H59*AD59*-1</f>
        <v/>
      </c>
      <c r="BA59" s="1">
        <f>G59/H59*AC59</f>
        <v/>
      </c>
      <c r="BB59" s="1">
        <f>1/H59*Z59</f>
        <v/>
      </c>
      <c r="BC59" s="1">
        <f>I59/H59*AL59</f>
        <v/>
      </c>
      <c r="BD59" s="1">
        <f>J59/H59*AL59*-1</f>
        <v/>
      </c>
      <c r="BE59" s="1">
        <f>O59/H59/(0.9*8760)</f>
        <v/>
      </c>
      <c r="BF59" s="1">
        <f>P59/H59/(0.9*8760)</f>
        <v/>
      </c>
      <c r="BG59" s="1">
        <f>Q59/H59</f>
        <v/>
      </c>
      <c r="BH59" s="1">
        <f>CE59+CF59+CG59</f>
        <v/>
      </c>
      <c r="BI59" s="1">
        <f>(T59+U59)*-1*M59/H59</f>
        <v/>
      </c>
      <c r="BJ59" s="1">
        <f>BH59*T59</f>
        <v/>
      </c>
      <c r="BK59" s="1">
        <f>CE59+CF59</f>
        <v/>
      </c>
      <c r="BL59" s="1">
        <f>U59*M59*-1/H59</f>
        <v/>
      </c>
      <c r="BM59" s="1">
        <f>BK59*T59</f>
        <v/>
      </c>
      <c r="BN59" s="1">
        <f>SUM(CD59:CH59)</f>
        <v/>
      </c>
      <c r="BO59" s="1">
        <f>(T59+U59)*-1*M59/H59</f>
        <v/>
      </c>
      <c r="BP59" s="1">
        <f>BN59*T59</f>
        <v/>
      </c>
      <c r="BQ59" s="1">
        <f>CD59+CE59+CF59+CH59</f>
        <v/>
      </c>
      <c r="BR59" s="1">
        <f>M59/H59*U59*-1</f>
        <v/>
      </c>
      <c r="BS59" s="1">
        <f>T59*BQ59</f>
        <v/>
      </c>
      <c r="BU59" s="9" t="n">
        <v>3.14</v>
      </c>
      <c r="BV59" s="10" t="n">
        <v>0.2218110024</v>
      </c>
      <c r="BW59" s="9" t="n">
        <v>0.18104824</v>
      </c>
      <c r="BX59" s="9" t="n">
        <v>0.015714286</v>
      </c>
      <c r="BZ59" s="10">
        <f>1/H59*BV59</f>
        <v/>
      </c>
      <c r="CA59" s="10">
        <f>I59/H59*BW59</f>
        <v/>
      </c>
      <c r="CB59" s="10">
        <f>BZ59+CA59</f>
        <v/>
      </c>
      <c r="CD59" s="10">
        <f>BU59</f>
        <v/>
      </c>
      <c r="CE59" s="10">
        <f>J59/H59*BW59</f>
        <v/>
      </c>
      <c r="CF59" s="10">
        <f>(CB59-CD59-CE59-CH59)*(1-D59)</f>
        <v/>
      </c>
      <c r="CG59" s="10">
        <f>(CB59-CD59-CE59-CH59)*D59</f>
        <v/>
      </c>
      <c r="CH59" s="10">
        <f>BX59*R59</f>
        <v/>
      </c>
      <c r="CI59" s="10">
        <f>SUM(CD59:CH59)</f>
        <v/>
      </c>
      <c r="CK59" s="1">
        <f>CI59-CB59</f>
        <v/>
      </c>
    </row>
    <row r="60">
      <c r="B60" s="14" t="inlineStr">
        <is>
          <t>TX_ESC</t>
        </is>
      </c>
      <c r="C60" s="13" t="inlineStr">
        <is>
          <t>Ethane</t>
        </is>
      </c>
      <c r="D60" s="13" t="n">
        <v>0</v>
      </c>
      <c r="E60" s="13" t="n">
        <v>0</v>
      </c>
      <c r="F60" s="13" t="n">
        <v>0.1598531434</v>
      </c>
      <c r="G60" s="13" t="n">
        <v>0.1913827933</v>
      </c>
      <c r="H60" s="13" t="n">
        <v>0.05310189724</v>
      </c>
      <c r="I60" s="13" t="n">
        <v>0</v>
      </c>
      <c r="J60" s="13" t="n">
        <v>0.1181424966</v>
      </c>
      <c r="K60" s="13" t="n"/>
      <c r="L60" s="13" t="n"/>
      <c r="M60" s="11">
        <f>CG60*H60</f>
        <v/>
      </c>
      <c r="N60" s="11">
        <f>CF60*H60</f>
        <v/>
      </c>
      <c r="O60" s="13" t="n">
        <v>131324.1148</v>
      </c>
      <c r="P60" s="13" t="n">
        <v>71875.35400000001</v>
      </c>
      <c r="Q60" s="13" t="n">
        <v>2.220647733</v>
      </c>
      <c r="R60" s="11" t="n">
        <v>0.2020556</v>
      </c>
      <c r="T60" s="17" t="n">
        <v>99.913298</v>
      </c>
      <c r="U60" s="17" t="n">
        <v>-4.998843</v>
      </c>
      <c r="V60" s="16" t="n">
        <v>65.086749</v>
      </c>
      <c r="W60" s="16" t="n">
        <v>44.879451</v>
      </c>
      <c r="X60" s="16" t="n">
        <v>38.220582</v>
      </c>
      <c r="Y60" s="22" t="n">
        <v>420</v>
      </c>
      <c r="Z60" s="11" t="n">
        <v>21.9863533</v>
      </c>
      <c r="AA60" s="17" t="n"/>
      <c r="AB60" s="17" t="n"/>
      <c r="AC60" s="16" t="n">
        <v>20.95841</v>
      </c>
      <c r="AD60" s="16" t="n">
        <v>6.059849</v>
      </c>
      <c r="AE60" s="17" t="n"/>
      <c r="AF60" s="17" t="n"/>
      <c r="AG60" s="17" t="n"/>
      <c r="AH60" s="17" t="n"/>
      <c r="AI60" s="17" t="n"/>
      <c r="AJ60" s="17" t="n"/>
      <c r="AK60" s="17" t="n"/>
      <c r="AL60" s="16" t="n">
        <v>-1.481188</v>
      </c>
      <c r="AM60" s="16" t="n">
        <v>-3.21388</v>
      </c>
      <c r="AN60" s="16" t="n">
        <v>796.736008</v>
      </c>
      <c r="AO60" s="16" t="n">
        <v>796.736008</v>
      </c>
      <c r="AQ60" s="1">
        <f>B60</f>
        <v/>
      </c>
      <c r="AR60" s="1">
        <f>C60</f>
        <v/>
      </c>
      <c r="AS60" s="12">
        <f>SUM(AY60:BG60)+BI60+BJ60</f>
        <v/>
      </c>
      <c r="AT60" s="12">
        <f>SUM(AY60:BG60)+BL60+BM60</f>
        <v/>
      </c>
      <c r="AU60" s="5">
        <f>AS60-AT60</f>
        <v/>
      </c>
      <c r="AV60" s="12">
        <f>SUM(AY60:BG60)+BO60+BP60</f>
        <v/>
      </c>
      <c r="AW60" s="12">
        <f>SUM(AY60:BG60)+BR60+BS60</f>
        <v/>
      </c>
      <c r="AX60" s="5">
        <f>AV60-AW60</f>
        <v/>
      </c>
      <c r="AY60" s="5">
        <f>E60/H60*AD60</f>
        <v/>
      </c>
      <c r="AZ60" s="1">
        <f>F60/H60*AD60*-1</f>
        <v/>
      </c>
      <c r="BA60" s="1">
        <f>G60/H60*AC60</f>
        <v/>
      </c>
      <c r="BB60" s="1">
        <f>1/H60*Z60</f>
        <v/>
      </c>
      <c r="BC60" s="1">
        <f>I60/H60*AL60</f>
        <v/>
      </c>
      <c r="BD60" s="1">
        <f>J60/H60*AL60*-1</f>
        <v/>
      </c>
      <c r="BE60" s="1">
        <f>O60/H60/(0.9*8760)</f>
        <v/>
      </c>
      <c r="BF60" s="1">
        <f>P60/H60/(0.9*8760)</f>
        <v/>
      </c>
      <c r="BG60" s="1">
        <f>Q60/H60</f>
        <v/>
      </c>
      <c r="BH60" s="1">
        <f>CE60+CF60+CG60</f>
        <v/>
      </c>
      <c r="BI60" s="1">
        <f>(T60+U60)*-1*M60/H60</f>
        <v/>
      </c>
      <c r="BJ60" s="1">
        <f>BH60*T60</f>
        <v/>
      </c>
      <c r="BK60" s="1">
        <f>CE60+CF60</f>
        <v/>
      </c>
      <c r="BL60" s="1">
        <f>U60*M60*-1/H60</f>
        <v/>
      </c>
      <c r="BM60" s="1">
        <f>BK60*T60</f>
        <v/>
      </c>
      <c r="BN60" s="1">
        <f>SUM(CD60:CH60)</f>
        <v/>
      </c>
      <c r="BO60" s="1">
        <f>(T60+U60)*-1*M60/H60</f>
        <v/>
      </c>
      <c r="BP60" s="1">
        <f>BN60*T60</f>
        <v/>
      </c>
      <c r="BQ60" s="1">
        <f>CD60+CE60+CF60+CH60</f>
        <v/>
      </c>
      <c r="BR60" s="1">
        <f>M60/H60*U60*-1</f>
        <v/>
      </c>
      <c r="BS60" s="1">
        <f>T60*BQ60</f>
        <v/>
      </c>
      <c r="BU60" s="9" t="n">
        <v>3.14</v>
      </c>
      <c r="BV60" s="10" t="n">
        <v>0.2218110024</v>
      </c>
      <c r="BW60" s="9" t="n">
        <v>0.18104824</v>
      </c>
      <c r="BX60" s="9" t="n">
        <v>0.015714286</v>
      </c>
      <c r="BZ60" s="10">
        <f>1/H60*BV60</f>
        <v/>
      </c>
      <c r="CA60" s="10">
        <f>I60/H60*BW60</f>
        <v/>
      </c>
      <c r="CB60" s="10">
        <f>BZ60+CA60</f>
        <v/>
      </c>
      <c r="CD60" s="10">
        <f>BU60</f>
        <v/>
      </c>
      <c r="CE60" s="10">
        <f>J60/H60*BW60</f>
        <v/>
      </c>
      <c r="CF60" s="10">
        <f>(CB60-CD60-CE60-CH60)*(1-D60)</f>
        <v/>
      </c>
      <c r="CG60" s="10">
        <f>(CB60-CD60-CE60-CH60)*D60</f>
        <v/>
      </c>
      <c r="CH60" s="10">
        <f>BX60*R60</f>
        <v/>
      </c>
      <c r="CI60" s="10">
        <f>SUM(CD60:CH60)</f>
        <v/>
      </c>
      <c r="CK60" s="1">
        <f>CI60-CB60</f>
        <v/>
      </c>
    </row>
    <row r="61">
      <c r="B61" s="14" t="inlineStr">
        <is>
          <t>NCEN_ESC</t>
        </is>
      </c>
      <c r="C61" s="13" t="inlineStr">
        <is>
          <t>Ethane</t>
        </is>
      </c>
      <c r="D61" s="13" t="n">
        <v>0</v>
      </c>
      <c r="E61" s="13" t="n">
        <v>0</v>
      </c>
      <c r="F61" s="13" t="n">
        <v>0.1598531434</v>
      </c>
      <c r="G61" s="13" t="n">
        <v>0.1913827933</v>
      </c>
      <c r="H61" s="13" t="n">
        <v>0.05310189724</v>
      </c>
      <c r="I61" s="13" t="n">
        <v>0</v>
      </c>
      <c r="J61" s="13" t="n">
        <v>0.1181424966</v>
      </c>
      <c r="K61" s="13" t="n"/>
      <c r="L61" s="13" t="n"/>
      <c r="M61" s="11">
        <f>CG61*H61</f>
        <v/>
      </c>
      <c r="N61" s="11">
        <f>CF61*H61</f>
        <v/>
      </c>
      <c r="O61" s="13" t="n">
        <v>131324.1148</v>
      </c>
      <c r="P61" s="13" t="n">
        <v>71875.35400000001</v>
      </c>
      <c r="Q61" s="13" t="n">
        <v>2.220647733</v>
      </c>
      <c r="R61" s="11" t="n">
        <v>0.2020556</v>
      </c>
      <c r="T61" s="17" t="n">
        <v>99.913298</v>
      </c>
      <c r="U61" s="17" t="n">
        <v>-6.08881</v>
      </c>
      <c r="V61" s="16" t="n">
        <v>66.12049500000001</v>
      </c>
      <c r="W61" s="16" t="n">
        <v>43.630616</v>
      </c>
      <c r="X61" s="16" t="n">
        <v>43.105329</v>
      </c>
      <c r="Y61" s="22" t="n">
        <v>420</v>
      </c>
      <c r="Z61" s="11" t="n">
        <v>21.9863533</v>
      </c>
      <c r="AA61" s="17" t="n"/>
      <c r="AB61" s="17" t="n"/>
      <c r="AC61" s="16" t="n">
        <v>22.136932</v>
      </c>
      <c r="AD61" s="16" t="n">
        <v>6.801534</v>
      </c>
      <c r="AE61" s="17" t="n"/>
      <c r="AF61" s="17" t="n"/>
      <c r="AG61" s="17" t="n"/>
      <c r="AH61" s="17" t="n"/>
      <c r="AI61" s="17" t="n"/>
      <c r="AJ61" s="17" t="n"/>
      <c r="AK61" s="17" t="n"/>
      <c r="AL61" s="16" t="n">
        <v>-0.824778</v>
      </c>
      <c r="AM61" s="16" t="n">
        <v>-3.075704</v>
      </c>
      <c r="AN61" s="16" t="n">
        <v>796.736008</v>
      </c>
      <c r="AO61" s="16" t="n">
        <v>796.736008</v>
      </c>
      <c r="AQ61" s="1">
        <f>B61</f>
        <v/>
      </c>
      <c r="AR61" s="1">
        <f>C61</f>
        <v/>
      </c>
      <c r="AS61" s="12">
        <f>SUM(AY61:BG61)+BI61+BJ61</f>
        <v/>
      </c>
      <c r="AT61" s="12">
        <f>SUM(AY61:BG61)+BL61+BM61</f>
        <v/>
      </c>
      <c r="AU61" s="5">
        <f>AS61-AT61</f>
        <v/>
      </c>
      <c r="AV61" s="12">
        <f>SUM(AY61:BG61)+BO61+BP61</f>
        <v/>
      </c>
      <c r="AW61" s="12">
        <f>SUM(AY61:BG61)+BR61+BS61</f>
        <v/>
      </c>
      <c r="AX61" s="5">
        <f>AV61-AW61</f>
        <v/>
      </c>
      <c r="AY61" s="5">
        <f>E61/H61*AD61</f>
        <v/>
      </c>
      <c r="AZ61" s="1">
        <f>F61/H61*AD61*-1</f>
        <v/>
      </c>
      <c r="BA61" s="1">
        <f>G61/H61*AC61</f>
        <v/>
      </c>
      <c r="BB61" s="1">
        <f>1/H61*Z61</f>
        <v/>
      </c>
      <c r="BC61" s="1">
        <f>I61/H61*AL61</f>
        <v/>
      </c>
      <c r="BD61" s="1">
        <f>J61/H61*AL61*-1</f>
        <v/>
      </c>
      <c r="BE61" s="1">
        <f>O61/H61/(0.9*8760)</f>
        <v/>
      </c>
      <c r="BF61" s="1">
        <f>P61/H61/(0.9*8760)</f>
        <v/>
      </c>
      <c r="BG61" s="1">
        <f>Q61/H61</f>
        <v/>
      </c>
      <c r="BH61" s="1">
        <f>CE61+CF61+CG61</f>
        <v/>
      </c>
      <c r="BI61" s="1">
        <f>(T61+U61)*-1*M61/H61</f>
        <v/>
      </c>
      <c r="BJ61" s="1">
        <f>BH61*T61</f>
        <v/>
      </c>
      <c r="BK61" s="1">
        <f>CE61+CF61</f>
        <v/>
      </c>
      <c r="BL61" s="1">
        <f>U61*M61*-1/H61</f>
        <v/>
      </c>
      <c r="BM61" s="1">
        <f>BK61*T61</f>
        <v/>
      </c>
      <c r="BN61" s="1">
        <f>SUM(CD61:CH61)</f>
        <v/>
      </c>
      <c r="BO61" s="1">
        <f>(T61+U61)*-1*M61/H61</f>
        <v/>
      </c>
      <c r="BP61" s="1">
        <f>BN61*T61</f>
        <v/>
      </c>
      <c r="BQ61" s="1">
        <f>CD61+CE61+CF61+CH61</f>
        <v/>
      </c>
      <c r="BR61" s="1">
        <f>M61/H61*U61*-1</f>
        <v/>
      </c>
      <c r="BS61" s="1">
        <f>T61*BQ61</f>
        <v/>
      </c>
      <c r="BU61" s="9" t="n">
        <v>3.14</v>
      </c>
      <c r="BV61" s="10" t="n">
        <v>0.2218110024</v>
      </c>
      <c r="BW61" s="9" t="n">
        <v>0.18104824</v>
      </c>
      <c r="BX61" s="9" t="n">
        <v>0.015714286</v>
      </c>
      <c r="BZ61" s="10">
        <f>1/H61*BV61</f>
        <v/>
      </c>
      <c r="CA61" s="10">
        <f>I61/H61*BW61</f>
        <v/>
      </c>
      <c r="CB61" s="10">
        <f>BZ61+CA61</f>
        <v/>
      </c>
      <c r="CD61" s="10">
        <f>BU61</f>
        <v/>
      </c>
      <c r="CE61" s="10">
        <f>J61/H61*BW61</f>
        <v/>
      </c>
      <c r="CF61" s="10">
        <f>(CB61-CD61-CE61-CH61)*(1-D61)</f>
        <v/>
      </c>
      <c r="CG61" s="10">
        <f>(CB61-CD61-CE61-CH61)*D61</f>
        <v/>
      </c>
      <c r="CH61" s="10">
        <f>BX61*R61</f>
        <v/>
      </c>
      <c r="CI61" s="10">
        <f>SUM(CD61:CH61)</f>
        <v/>
      </c>
      <c r="CK61" s="1">
        <f>CI61-CB61</f>
        <v/>
      </c>
    </row>
    <row r="62">
      <c r="B62" s="14" t="inlineStr">
        <is>
          <t>CEN_ESC</t>
        </is>
      </c>
      <c r="C62" s="13" t="inlineStr">
        <is>
          <t>Ethane</t>
        </is>
      </c>
      <c r="D62" s="13" t="n">
        <v>0</v>
      </c>
      <c r="E62" s="13" t="n">
        <v>0</v>
      </c>
      <c r="F62" s="13" t="n">
        <v>0.1598531434</v>
      </c>
      <c r="G62" s="13" t="n">
        <v>0.1913827933</v>
      </c>
      <c r="H62" s="13" t="n">
        <v>0.05310189724</v>
      </c>
      <c r="I62" s="13" t="n">
        <v>0</v>
      </c>
      <c r="J62" s="13" t="n">
        <v>0.1181424966</v>
      </c>
      <c r="K62" s="13" t="n"/>
      <c r="L62" s="13" t="n"/>
      <c r="M62" s="11">
        <f>CG62*H62</f>
        <v/>
      </c>
      <c r="N62" s="11">
        <f>CF62*H62</f>
        <v/>
      </c>
      <c r="O62" s="13" t="n">
        <v>131324.1148</v>
      </c>
      <c r="P62" s="13" t="n">
        <v>71875.35400000001</v>
      </c>
      <c r="Q62" s="13" t="n">
        <v>2.220647733</v>
      </c>
      <c r="R62" s="11" t="n">
        <v>0.2020556</v>
      </c>
      <c r="T62" s="17" t="n">
        <v>99.913298</v>
      </c>
      <c r="U62" s="17" t="n">
        <v>-6.197641</v>
      </c>
      <c r="V62" s="16" t="n">
        <v>65.135812</v>
      </c>
      <c r="W62" s="16" t="n">
        <v>43.37233</v>
      </c>
      <c r="X62" s="16" t="n">
        <v>42.438418</v>
      </c>
      <c r="Y62" s="22" t="n">
        <v>420</v>
      </c>
      <c r="Z62" s="11" t="n">
        <v>21.9863533</v>
      </c>
      <c r="AA62" s="17" t="n"/>
      <c r="AB62" s="17" t="n"/>
      <c r="AC62" s="16" t="n">
        <v>21.530919</v>
      </c>
      <c r="AD62" s="16" t="n">
        <v>6.288532</v>
      </c>
      <c r="AE62" s="17" t="n"/>
      <c r="AF62" s="17" t="n"/>
      <c r="AG62" s="17" t="n"/>
      <c r="AH62" s="17" t="n"/>
      <c r="AI62" s="17" t="n"/>
      <c r="AJ62" s="17" t="n"/>
      <c r="AK62" s="17" t="n"/>
      <c r="AL62" s="16" t="n">
        <v>-1.431457</v>
      </c>
      <c r="AM62" s="16" t="n">
        <v>-3.351826</v>
      </c>
      <c r="AN62" s="16" t="n">
        <v>796.736008</v>
      </c>
      <c r="AO62" s="16" t="n">
        <v>796.736008</v>
      </c>
      <c r="AQ62" s="1">
        <f>B62</f>
        <v/>
      </c>
      <c r="AR62" s="1">
        <f>C62</f>
        <v/>
      </c>
      <c r="AS62" s="12">
        <f>SUM(AY62:BG62)+BI62+BJ62</f>
        <v/>
      </c>
      <c r="AT62" s="12">
        <f>SUM(AY62:BG62)+BL62+BM62</f>
        <v/>
      </c>
      <c r="AU62" s="5">
        <f>AS62-AT62</f>
        <v/>
      </c>
      <c r="AV62" s="12">
        <f>SUM(AY62:BG62)+BO62+BP62</f>
        <v/>
      </c>
      <c r="AW62" s="12">
        <f>SUM(AY62:BG62)+BR62+BS62</f>
        <v/>
      </c>
      <c r="AX62" s="5">
        <f>AV62-AW62</f>
        <v/>
      </c>
      <c r="AY62" s="5">
        <f>E62/H62*AD62</f>
        <v/>
      </c>
      <c r="AZ62" s="1">
        <f>F62/H62*AD62*-1</f>
        <v/>
      </c>
      <c r="BA62" s="1">
        <f>G62/H62*AC62</f>
        <v/>
      </c>
      <c r="BB62" s="1">
        <f>1/H62*Z62</f>
        <v/>
      </c>
      <c r="BC62" s="1">
        <f>I62/H62*AL62</f>
        <v/>
      </c>
      <c r="BD62" s="1">
        <f>J62/H62*AL62*-1</f>
        <v/>
      </c>
      <c r="BE62" s="1">
        <f>O62/H62/(0.9*8760)</f>
        <v/>
      </c>
      <c r="BF62" s="1">
        <f>P62/H62/(0.9*8760)</f>
        <v/>
      </c>
      <c r="BG62" s="1">
        <f>Q62/H62</f>
        <v/>
      </c>
      <c r="BH62" s="1">
        <f>CE62+CF62+CG62</f>
        <v/>
      </c>
      <c r="BI62" s="1">
        <f>(T62+U62)*-1*M62/H62</f>
        <v/>
      </c>
      <c r="BJ62" s="1">
        <f>BH62*T62</f>
        <v/>
      </c>
      <c r="BK62" s="1">
        <f>CE62+CF62</f>
        <v/>
      </c>
      <c r="BL62" s="1">
        <f>U62*M62*-1/H62</f>
        <v/>
      </c>
      <c r="BM62" s="1">
        <f>BK62*T62</f>
        <v/>
      </c>
      <c r="BN62" s="1">
        <f>SUM(CD62:CH62)</f>
        <v/>
      </c>
      <c r="BO62" s="1">
        <f>(T62+U62)*-1*M62/H62</f>
        <v/>
      </c>
      <c r="BP62" s="1">
        <f>BN62*T62</f>
        <v/>
      </c>
      <c r="BQ62" s="1">
        <f>CD62+CE62+CF62+CH62</f>
        <v/>
      </c>
      <c r="BR62" s="1">
        <f>M62/H62*U62*-1</f>
        <v/>
      </c>
      <c r="BS62" s="1">
        <f>T62*BQ62</f>
        <v/>
      </c>
      <c r="BU62" s="9" t="n">
        <v>3.14</v>
      </c>
      <c r="BV62" s="10" t="n">
        <v>0.2218110024</v>
      </c>
      <c r="BW62" s="9" t="n">
        <v>0.18104824</v>
      </c>
      <c r="BX62" s="9" t="n">
        <v>0.015714286</v>
      </c>
      <c r="BZ62" s="10">
        <f>1/H62*BV62</f>
        <v/>
      </c>
      <c r="CA62" s="10">
        <f>I62/H62*BW62</f>
        <v/>
      </c>
      <c r="CB62" s="10">
        <f>BZ62+CA62</f>
        <v/>
      </c>
      <c r="CD62" s="10">
        <f>BU62</f>
        <v/>
      </c>
      <c r="CE62" s="10">
        <f>J62/H62*BW62</f>
        <v/>
      </c>
      <c r="CF62" s="10">
        <f>(CB62-CD62-CE62-CH62)*(1-D62)</f>
        <v/>
      </c>
      <c r="CG62" s="10">
        <f>(CB62-CD62-CE62-CH62)*D62</f>
        <v/>
      </c>
      <c r="CH62" s="10">
        <f>BX62*R62</f>
        <v/>
      </c>
      <c r="CI62" s="10">
        <f>SUM(CD62:CH62)</f>
        <v/>
      </c>
      <c r="CK62" s="1">
        <f>CI62-CB62</f>
        <v/>
      </c>
    </row>
    <row r="63">
      <c r="B63" s="14" t="inlineStr">
        <is>
          <t>SE_ESC</t>
        </is>
      </c>
      <c r="C63" s="13" t="inlineStr">
        <is>
          <t>Ethane</t>
        </is>
      </c>
      <c r="D63" s="13" t="n">
        <v>0</v>
      </c>
      <c r="E63" s="13" t="n">
        <v>0</v>
      </c>
      <c r="F63" s="13" t="n">
        <v>0.1598531434</v>
      </c>
      <c r="G63" s="13" t="n">
        <v>0.1913827933</v>
      </c>
      <c r="H63" s="13" t="n">
        <v>0.05310189724</v>
      </c>
      <c r="I63" s="13" t="n">
        <v>0</v>
      </c>
      <c r="J63" s="13" t="n">
        <v>0.1181424966</v>
      </c>
      <c r="K63" s="13" t="n"/>
      <c r="L63" s="13" t="n"/>
      <c r="M63" s="11">
        <f>CG63*H63</f>
        <v/>
      </c>
      <c r="N63" s="11">
        <f>CF63*H63</f>
        <v/>
      </c>
      <c r="O63" s="13" t="n">
        <v>131324.1148</v>
      </c>
      <c r="P63" s="13" t="n">
        <v>71875.35400000001</v>
      </c>
      <c r="Q63" s="13" t="n">
        <v>2.220647733</v>
      </c>
      <c r="R63" s="11" t="n">
        <v>0.2020556</v>
      </c>
      <c r="T63" s="17" t="n">
        <v>99.913298</v>
      </c>
      <c r="U63" s="17" t="n">
        <v>-6.084348</v>
      </c>
      <c r="V63" s="16" t="n">
        <v>64.97039700000001</v>
      </c>
      <c r="W63" s="16" t="n">
        <v>43.861592</v>
      </c>
      <c r="X63" s="16" t="n">
        <v>39.255601</v>
      </c>
      <c r="Y63" s="22" t="n">
        <v>420</v>
      </c>
      <c r="Z63" s="11" t="n">
        <v>21.9863533</v>
      </c>
      <c r="AA63" s="17" t="n"/>
      <c r="AB63" s="17" t="n"/>
      <c r="AC63" s="16" t="n">
        <v>21.109138</v>
      </c>
      <c r="AD63" s="16" t="n">
        <v>6.240639</v>
      </c>
      <c r="AE63" s="17" t="n"/>
      <c r="AF63" s="17" t="n"/>
      <c r="AG63" s="17" t="n"/>
      <c r="AH63" s="17" t="n"/>
      <c r="AI63" s="17" t="n"/>
      <c r="AJ63" s="17" t="n"/>
      <c r="AK63" s="17" t="n"/>
      <c r="AL63" s="16" t="n">
        <v>-1.452344</v>
      </c>
      <c r="AM63" s="16" t="n">
        <v>-3.071509</v>
      </c>
      <c r="AN63" s="16" t="n">
        <v>796.736008</v>
      </c>
      <c r="AO63" s="16" t="n">
        <v>796.736008</v>
      </c>
      <c r="AQ63" s="1">
        <f>B63</f>
        <v/>
      </c>
      <c r="AR63" s="1">
        <f>C63</f>
        <v/>
      </c>
      <c r="AS63" s="12">
        <f>SUM(AY63:BG63)+BI63+BJ63</f>
        <v/>
      </c>
      <c r="AT63" s="12">
        <f>SUM(AY63:BG63)+BL63+BM63</f>
        <v/>
      </c>
      <c r="AU63" s="5">
        <f>AS63-AT63</f>
        <v/>
      </c>
      <c r="AV63" s="12">
        <f>SUM(AY63:BG63)+BO63+BP63</f>
        <v/>
      </c>
      <c r="AW63" s="12">
        <f>SUM(AY63:BG63)+BR63+BS63</f>
        <v/>
      </c>
      <c r="AX63" s="5">
        <f>AV63-AW63</f>
        <v/>
      </c>
      <c r="AY63" s="5">
        <f>E63/H63*AD63</f>
        <v/>
      </c>
      <c r="AZ63" s="1">
        <f>F63/H63*AD63*-1</f>
        <v/>
      </c>
      <c r="BA63" s="1">
        <f>G63/H63*AC63</f>
        <v/>
      </c>
      <c r="BB63" s="1">
        <f>1/H63*Z63</f>
        <v/>
      </c>
      <c r="BC63" s="1">
        <f>I63/H63*AL63</f>
        <v/>
      </c>
      <c r="BD63" s="1">
        <f>J63/H63*AL63*-1</f>
        <v/>
      </c>
      <c r="BE63" s="1">
        <f>O63/H63/(0.9*8760)</f>
        <v/>
      </c>
      <c r="BF63" s="1">
        <f>P63/H63/(0.9*8760)</f>
        <v/>
      </c>
      <c r="BG63" s="1">
        <f>Q63/H63</f>
        <v/>
      </c>
      <c r="BH63" s="1">
        <f>CE63+CF63+CG63</f>
        <v/>
      </c>
      <c r="BI63" s="1">
        <f>(T63+U63)*-1*M63/H63</f>
        <v/>
      </c>
      <c r="BJ63" s="1">
        <f>BH63*T63</f>
        <v/>
      </c>
      <c r="BK63" s="1">
        <f>CE63+CF63</f>
        <v/>
      </c>
      <c r="BL63" s="1">
        <f>U63*M63*-1/H63</f>
        <v/>
      </c>
      <c r="BM63" s="1">
        <f>BK63*T63</f>
        <v/>
      </c>
      <c r="BN63" s="1">
        <f>SUM(CD63:CH63)</f>
        <v/>
      </c>
      <c r="BO63" s="1">
        <f>(T63+U63)*-1*M63/H63</f>
        <v/>
      </c>
      <c r="BP63" s="1">
        <f>BN63*T63</f>
        <v/>
      </c>
      <c r="BQ63" s="1">
        <f>CD63+CE63+CF63+CH63</f>
        <v/>
      </c>
      <c r="BR63" s="1">
        <f>M63/H63*U63*-1</f>
        <v/>
      </c>
      <c r="BS63" s="1">
        <f>T63*BQ63</f>
        <v/>
      </c>
      <c r="BU63" s="9" t="n">
        <v>3.14</v>
      </c>
      <c r="BV63" s="10" t="n">
        <v>0.2218110024</v>
      </c>
      <c r="BW63" s="9" t="n">
        <v>0.18104824</v>
      </c>
      <c r="BX63" s="9" t="n">
        <v>0.015714286</v>
      </c>
      <c r="BZ63" s="10">
        <f>1/H63*BV63</f>
        <v/>
      </c>
      <c r="CA63" s="10">
        <f>I63/H63*BW63</f>
        <v/>
      </c>
      <c r="CB63" s="10">
        <f>BZ63+CA63</f>
        <v/>
      </c>
      <c r="CD63" s="10">
        <f>BU63</f>
        <v/>
      </c>
      <c r="CE63" s="10">
        <f>J63/H63*BW63</f>
        <v/>
      </c>
      <c r="CF63" s="10">
        <f>(CB63-CD63-CE63-CH63)*(1-D63)</f>
        <v/>
      </c>
      <c r="CG63" s="10">
        <f>(CB63-CD63-CE63-CH63)*D63</f>
        <v/>
      </c>
      <c r="CH63" s="10">
        <f>BX63*R63</f>
        <v/>
      </c>
      <c r="CI63" s="10">
        <f>SUM(CD63:CH63)</f>
        <v/>
      </c>
      <c r="CK63" s="1">
        <f>CI63-CB63</f>
        <v/>
      </c>
    </row>
    <row r="64">
      <c r="B64" s="14" t="inlineStr">
        <is>
          <t>MIDAT_ESC</t>
        </is>
      </c>
      <c r="C64" s="13" t="inlineStr">
        <is>
          <t>Ethane</t>
        </is>
      </c>
      <c r="D64" s="13" t="n">
        <v>0</v>
      </c>
      <c r="E64" s="13" t="n">
        <v>0</v>
      </c>
      <c r="F64" s="13" t="n">
        <v>0.1598531434</v>
      </c>
      <c r="G64" s="13" t="n">
        <v>0.1913827933</v>
      </c>
      <c r="H64" s="13" t="n">
        <v>0.05310189724</v>
      </c>
      <c r="I64" s="13" t="n">
        <v>0</v>
      </c>
      <c r="J64" s="13" t="n">
        <v>0.1181424966</v>
      </c>
      <c r="K64" s="13" t="n"/>
      <c r="L64" s="13" t="n"/>
      <c r="M64" s="11">
        <f>CG64*H64</f>
        <v/>
      </c>
      <c r="N64" s="11">
        <f>CF64*H64</f>
        <v/>
      </c>
      <c r="O64" s="13" t="n">
        <v>131324.1148</v>
      </c>
      <c r="P64" s="13" t="n">
        <v>71875.35400000001</v>
      </c>
      <c r="Q64" s="13" t="n">
        <v>2.220647733</v>
      </c>
      <c r="R64" s="11" t="n">
        <v>0.2020556</v>
      </c>
      <c r="T64" s="17" t="n">
        <v>99.913298</v>
      </c>
      <c r="U64" s="17" t="n">
        <v>-15.650257</v>
      </c>
      <c r="V64" s="16" t="n">
        <v>63.953341</v>
      </c>
      <c r="W64" s="16" t="n">
        <v>39.720462</v>
      </c>
      <c r="X64" s="16" t="n">
        <v>40.53758</v>
      </c>
      <c r="Y64" s="22" t="n">
        <v>420</v>
      </c>
      <c r="Z64" s="11" t="n">
        <v>21.9863533</v>
      </c>
      <c r="AA64" s="17" t="n"/>
      <c r="AB64" s="17" t="n"/>
      <c r="AC64" s="16" t="n">
        <v>21.699949</v>
      </c>
      <c r="AD64" s="16" t="n">
        <v>8.045609000000001</v>
      </c>
      <c r="AE64" s="17" t="n"/>
      <c r="AF64" s="17" t="n"/>
      <c r="AG64" s="17" t="n"/>
      <c r="AH64" s="17" t="n"/>
      <c r="AI64" s="17" t="n"/>
      <c r="AJ64" s="17" t="n"/>
      <c r="AK64" s="17" t="n"/>
      <c r="AL64" s="16" t="n">
        <v>-0.930222</v>
      </c>
      <c r="AM64" s="16" t="n">
        <v>-2.781275</v>
      </c>
      <c r="AN64" s="16" t="n">
        <v>796.736008</v>
      </c>
      <c r="AO64" s="16" t="n">
        <v>796.736008</v>
      </c>
      <c r="AQ64" s="1">
        <f>B64</f>
        <v/>
      </c>
      <c r="AR64" s="1">
        <f>C64</f>
        <v/>
      </c>
      <c r="AS64" s="12">
        <f>SUM(AY64:BG64)+BI64+BJ64</f>
        <v/>
      </c>
      <c r="AT64" s="12">
        <f>SUM(AY64:BG64)+BL64+BM64</f>
        <v/>
      </c>
      <c r="AU64" s="5">
        <f>AS64-AT64</f>
        <v/>
      </c>
      <c r="AV64" s="12">
        <f>SUM(AY64:BG64)+BO64+BP64</f>
        <v/>
      </c>
      <c r="AW64" s="12">
        <f>SUM(AY64:BG64)+BR64+BS64</f>
        <v/>
      </c>
      <c r="AX64" s="5">
        <f>AV64-AW64</f>
        <v/>
      </c>
      <c r="AY64" s="5">
        <f>E64/H64*AD64</f>
        <v/>
      </c>
      <c r="AZ64" s="1">
        <f>F64/H64*AD64*-1</f>
        <v/>
      </c>
      <c r="BA64" s="1">
        <f>G64/H64*AC64</f>
        <v/>
      </c>
      <c r="BB64" s="1">
        <f>1/H64*Z64</f>
        <v/>
      </c>
      <c r="BC64" s="1">
        <f>I64/H64*AL64</f>
        <v/>
      </c>
      <c r="BD64" s="1">
        <f>J64/H64*AL64*-1</f>
        <v/>
      </c>
      <c r="BE64" s="1">
        <f>O64/H64/(0.9*8760)</f>
        <v/>
      </c>
      <c r="BF64" s="1">
        <f>P64/H64/(0.9*8760)</f>
        <v/>
      </c>
      <c r="BG64" s="1">
        <f>Q64/H64</f>
        <v/>
      </c>
      <c r="BH64" s="1">
        <f>CE64+CF64+CG64</f>
        <v/>
      </c>
      <c r="BI64" s="1">
        <f>(T64+U64)*-1*M64/H64</f>
        <v/>
      </c>
      <c r="BJ64" s="1">
        <f>BH64*T64</f>
        <v/>
      </c>
      <c r="BK64" s="1">
        <f>CE64+CF64</f>
        <v/>
      </c>
      <c r="BL64" s="1">
        <f>U64*M64*-1/H64</f>
        <v/>
      </c>
      <c r="BM64" s="1">
        <f>BK64*T64</f>
        <v/>
      </c>
      <c r="BN64" s="1">
        <f>SUM(CD64:CH64)</f>
        <v/>
      </c>
      <c r="BO64" s="1">
        <f>(T64+U64)*-1*M64/H64</f>
        <v/>
      </c>
      <c r="BP64" s="1">
        <f>BN64*T64</f>
        <v/>
      </c>
      <c r="BQ64" s="1">
        <f>CD64+CE64+CF64+CH64</f>
        <v/>
      </c>
      <c r="BR64" s="1">
        <f>M64/H64*U64*-1</f>
        <v/>
      </c>
      <c r="BS64" s="1">
        <f>T64*BQ64</f>
        <v/>
      </c>
      <c r="BU64" s="9" t="n">
        <v>3.14</v>
      </c>
      <c r="BV64" s="10" t="n">
        <v>0.2218110024</v>
      </c>
      <c r="BW64" s="9" t="n">
        <v>0.18104824</v>
      </c>
      <c r="BX64" s="9" t="n">
        <v>0.015714286</v>
      </c>
      <c r="BZ64" s="10">
        <f>1/H64*BV64</f>
        <v/>
      </c>
      <c r="CA64" s="10">
        <f>I64/H64*BW64</f>
        <v/>
      </c>
      <c r="CB64" s="10">
        <f>BZ64+CA64</f>
        <v/>
      </c>
      <c r="CD64" s="10">
        <f>BU64</f>
        <v/>
      </c>
      <c r="CE64" s="10">
        <f>J64/H64*BW64</f>
        <v/>
      </c>
      <c r="CF64" s="10">
        <f>(CB64-CD64-CE64-CH64)*(1-D64)</f>
        <v/>
      </c>
      <c r="CG64" s="10">
        <f>(CB64-CD64-CE64-CH64)*D64</f>
        <v/>
      </c>
      <c r="CH64" s="10">
        <f>BX64*R64</f>
        <v/>
      </c>
      <c r="CI64" s="10">
        <f>SUM(CD64:CH64)</f>
        <v/>
      </c>
      <c r="CK64" s="1">
        <f>CI64-CB64</f>
        <v/>
      </c>
    </row>
    <row r="65">
      <c r="B65" s="14" t="inlineStr">
        <is>
          <t>NE_ESC</t>
        </is>
      </c>
      <c r="C65" s="13" t="inlineStr">
        <is>
          <t>Ethane</t>
        </is>
      </c>
      <c r="D65" s="13" t="n">
        <v>0</v>
      </c>
      <c r="E65" s="13" t="n">
        <v>0</v>
      </c>
      <c r="F65" s="13" t="n">
        <v>0.1598531434</v>
      </c>
      <c r="G65" s="13" t="n">
        <v>0.1913827933</v>
      </c>
      <c r="H65" s="13" t="n">
        <v>0.05310189724</v>
      </c>
      <c r="I65" s="13" t="n">
        <v>0</v>
      </c>
      <c r="J65" s="13" t="n">
        <v>0.1181424966</v>
      </c>
      <c r="K65" s="13" t="n"/>
      <c r="L65" s="13" t="n"/>
      <c r="M65" s="11">
        <f>CG65*H65</f>
        <v/>
      </c>
      <c r="N65" s="11">
        <f>CF65*H65</f>
        <v/>
      </c>
      <c r="O65" s="13" t="n">
        <v>131324.1148</v>
      </c>
      <c r="P65" s="13" t="n">
        <v>71875.35400000001</v>
      </c>
      <c r="Q65" s="13" t="n">
        <v>2.220647733</v>
      </c>
      <c r="R65" s="11" t="n">
        <v>0.2020556</v>
      </c>
      <c r="T65" s="17" t="n">
        <v>99.913298</v>
      </c>
      <c r="U65" s="17" t="n">
        <v>-21.727401</v>
      </c>
      <c r="V65" s="16" t="n">
        <v>66.936657</v>
      </c>
      <c r="W65" s="16" t="n">
        <v>41.693039</v>
      </c>
      <c r="X65" s="16" t="n">
        <v>41.333943</v>
      </c>
      <c r="Y65" s="22" t="n">
        <v>420</v>
      </c>
      <c r="Z65" s="11" t="n">
        <v>21.9863533</v>
      </c>
      <c r="AA65" s="17" t="n"/>
      <c r="AB65" s="17" t="n"/>
      <c r="AC65" s="16" t="n">
        <v>20.978032</v>
      </c>
      <c r="AD65" s="16" t="n">
        <v>12.546751</v>
      </c>
      <c r="AE65" s="17" t="n"/>
      <c r="AF65" s="17" t="n"/>
      <c r="AG65" s="17" t="n"/>
      <c r="AH65" s="17" t="n"/>
      <c r="AI65" s="17" t="n"/>
      <c r="AJ65" s="17" t="n"/>
      <c r="AK65" s="17" t="n"/>
      <c r="AL65" s="16" t="n">
        <v>5.888729</v>
      </c>
      <c r="AM65" s="16" t="n">
        <v>0</v>
      </c>
      <c r="AN65" s="16" t="n">
        <v>796.736008</v>
      </c>
      <c r="AO65" s="16" t="n">
        <v>0</v>
      </c>
      <c r="AQ65" s="1">
        <f>B65</f>
        <v/>
      </c>
      <c r="AR65" s="1">
        <f>C65</f>
        <v/>
      </c>
      <c r="AS65" s="12">
        <f>SUM(AY65:BG65)+BI65+BJ65</f>
        <v/>
      </c>
      <c r="AT65" s="12">
        <f>SUM(AY65:BG65)+BL65+BM65</f>
        <v/>
      </c>
      <c r="AU65" s="5">
        <f>AS65-AT65</f>
        <v/>
      </c>
      <c r="AV65" s="12">
        <f>SUM(AY65:BG65)+BO65+BP65</f>
        <v/>
      </c>
      <c r="AW65" s="12">
        <f>SUM(AY65:BG65)+BR65+BS65</f>
        <v/>
      </c>
      <c r="AX65" s="5">
        <f>AV65-AW65</f>
        <v/>
      </c>
      <c r="AY65" s="5">
        <f>E65/H65*AD65</f>
        <v/>
      </c>
      <c r="AZ65" s="1">
        <f>F65/H65*AD65*-1</f>
        <v/>
      </c>
      <c r="BA65" s="1">
        <f>G65/H65*AC65</f>
        <v/>
      </c>
      <c r="BB65" s="1">
        <f>1/H65*Z65</f>
        <v/>
      </c>
      <c r="BC65" s="1">
        <f>I65/H65*AL65</f>
        <v/>
      </c>
      <c r="BD65" s="1">
        <f>J65/H65*AL65*-1</f>
        <v/>
      </c>
      <c r="BE65" s="1">
        <f>O65/H65/(0.9*8760)</f>
        <v/>
      </c>
      <c r="BF65" s="1">
        <f>P65/H65/(0.9*8760)</f>
        <v/>
      </c>
      <c r="BG65" s="1">
        <f>Q65/H65</f>
        <v/>
      </c>
      <c r="BH65" s="1">
        <f>CE65+CF65+CG65</f>
        <v/>
      </c>
      <c r="BI65" s="1">
        <f>(T65+U65)*-1*M65/H65</f>
        <v/>
      </c>
      <c r="BJ65" s="1">
        <f>BH65*T65</f>
        <v/>
      </c>
      <c r="BK65" s="1">
        <f>CE65+CF65</f>
        <v/>
      </c>
      <c r="BL65" s="1">
        <f>U65*M65*-1/H65</f>
        <v/>
      </c>
      <c r="BM65" s="1">
        <f>BK65*T65</f>
        <v/>
      </c>
      <c r="BN65" s="1">
        <f>SUM(CD65:CH65)</f>
        <v/>
      </c>
      <c r="BO65" s="1">
        <f>(T65+U65)*-1*M65/H65</f>
        <v/>
      </c>
      <c r="BP65" s="1">
        <f>BN65*T65</f>
        <v/>
      </c>
      <c r="BQ65" s="1">
        <f>CD65+CE65+CF65+CH65</f>
        <v/>
      </c>
      <c r="BR65" s="1">
        <f>M65/H65*U65*-1</f>
        <v/>
      </c>
      <c r="BS65" s="1">
        <f>T65*BQ65</f>
        <v/>
      </c>
      <c r="BU65" s="9" t="n">
        <v>3.14</v>
      </c>
      <c r="BV65" s="10" t="n">
        <v>0.2218110024</v>
      </c>
      <c r="BW65" s="9" t="n">
        <v>0.18104824</v>
      </c>
      <c r="BX65" s="9" t="n">
        <v>0.015714286</v>
      </c>
      <c r="BZ65" s="10">
        <f>1/H65*BV65</f>
        <v/>
      </c>
      <c r="CA65" s="10">
        <f>I65/H65*BW65</f>
        <v/>
      </c>
      <c r="CB65" s="10">
        <f>BZ65+CA65</f>
        <v/>
      </c>
      <c r="CD65" s="10">
        <f>BU65</f>
        <v/>
      </c>
      <c r="CE65" s="10">
        <f>J65/H65*BW65</f>
        <v/>
      </c>
      <c r="CF65" s="10">
        <f>(CB65-CD65-CE65-CH65)*(1-D65)</f>
        <v/>
      </c>
      <c r="CG65" s="10">
        <f>(CB65-CD65-CE65-CH65)*D65</f>
        <v/>
      </c>
      <c r="CH65" s="10">
        <f>BX65*R65</f>
        <v/>
      </c>
      <c r="CI65" s="10">
        <f>SUM(CD65:CH65)</f>
        <v/>
      </c>
      <c r="CK65" s="1">
        <f>CI65-CB65</f>
        <v/>
      </c>
    </row>
    <row r="66">
      <c r="AS66" s="5" t="n"/>
      <c r="AT66" s="5" t="n"/>
      <c r="AU66" s="5" t="n"/>
      <c r="AV66" s="5" t="n"/>
      <c r="AW66" s="5" t="n"/>
      <c r="AX66" s="5" t="n"/>
      <c r="AY66" s="5" t="n"/>
      <c r="BU66" s="8" t="n"/>
      <c r="BW66" s="8" t="n"/>
      <c r="BX66" s="8" t="n"/>
    </row>
    <row r="67">
      <c r="AS67" s="5" t="n"/>
      <c r="AT67" s="5" t="n"/>
      <c r="AU67" s="5" t="n"/>
      <c r="AV67" s="5" t="n"/>
      <c r="AW67" s="5" t="n"/>
      <c r="AX67" s="5" t="n"/>
      <c r="AY67" s="5" t="n"/>
      <c r="BU67" s="8" t="n"/>
      <c r="BW67" s="8" t="n"/>
      <c r="BX67" s="8" t="n"/>
    </row>
    <row r="68">
      <c r="AS68" s="5" t="n"/>
      <c r="AT68" s="5" t="n"/>
      <c r="AU68" s="5" t="n"/>
      <c r="AV68" s="5" t="n"/>
      <c r="AW68" s="5" t="n"/>
      <c r="AX68" s="5" t="n"/>
      <c r="AY68" s="5" t="n"/>
      <c r="BU68" s="8" t="n"/>
      <c r="BW68" s="8" t="n"/>
      <c r="BX68" s="8" t="n"/>
    </row>
    <row r="69">
      <c r="AS69" s="5" t="n"/>
      <c r="AT69" s="5" t="n"/>
      <c r="AU69" s="5" t="n"/>
      <c r="AV69" s="5" t="n"/>
      <c r="AW69" s="5" t="n"/>
      <c r="AX69" s="5" t="n"/>
      <c r="AY69" s="5" t="n"/>
      <c r="BU69" s="8" t="n"/>
      <c r="BW69" s="8" t="n"/>
      <c r="BX69" s="8" t="n"/>
    </row>
    <row r="70">
      <c r="AS70" s="5" t="n"/>
      <c r="AT70" s="5" t="n"/>
      <c r="AU70" s="5" t="n"/>
      <c r="AV70" s="5" t="n"/>
      <c r="AW70" s="5" t="n"/>
      <c r="AX70" s="5" t="n"/>
      <c r="AY70" s="5" t="n"/>
      <c r="BU70" s="8" t="n"/>
      <c r="BW70" s="8" t="n"/>
      <c r="BX70" s="8" t="n"/>
    </row>
    <row r="71">
      <c r="AS71" s="5" t="n"/>
      <c r="AT71" s="5" t="n"/>
      <c r="AU71" s="5" t="n"/>
      <c r="AV71" s="5" t="n"/>
      <c r="AW71" s="5" t="n"/>
      <c r="AX71" s="5" t="n"/>
      <c r="AY71" s="5" t="n"/>
      <c r="BU71" s="8" t="n"/>
      <c r="BW71" s="8" t="n"/>
      <c r="BX71" s="8" t="n"/>
    </row>
    <row r="72">
      <c r="AS72" s="5" t="n"/>
      <c r="AT72" s="5" t="n"/>
      <c r="AU72" s="5" t="n"/>
      <c r="AV72" s="5" t="n"/>
      <c r="AW72" s="5" t="n"/>
      <c r="AX72" s="5" t="n"/>
      <c r="AY72" s="5" t="n"/>
      <c r="BU72" s="8" t="n"/>
      <c r="BW72" s="8" t="n"/>
      <c r="BX72" s="8" t="n"/>
    </row>
    <row r="73">
      <c r="AS73" s="5" t="n"/>
      <c r="AT73" s="5" t="n"/>
      <c r="AU73" s="5" t="n"/>
      <c r="AV73" s="5" t="n"/>
      <c r="AW73" s="5" t="n"/>
      <c r="AX73" s="5" t="n"/>
      <c r="AY73" s="5" t="n"/>
      <c r="BU73" s="8" t="n"/>
      <c r="BW73" s="8" t="n"/>
      <c r="BX73" s="8" t="n"/>
    </row>
    <row r="74">
      <c r="AS74" s="5" t="n"/>
      <c r="AT74" s="5" t="n"/>
      <c r="AU74" s="5" t="n"/>
      <c r="AV74" s="5" t="n"/>
      <c r="AW74" s="5" t="n"/>
      <c r="AX74" s="5" t="n"/>
      <c r="AY74" s="5" t="n"/>
      <c r="BU74" s="8" t="n"/>
      <c r="BW74" s="8" t="n"/>
      <c r="BX74" s="8" t="n"/>
    </row>
    <row r="75">
      <c r="AS75" s="5" t="n"/>
      <c r="AT75" s="5" t="n"/>
      <c r="AU75" s="5" t="n"/>
      <c r="AV75" s="5" t="n"/>
      <c r="AW75" s="5" t="n"/>
      <c r="AX75" s="5" t="n"/>
      <c r="AY75" s="5" t="n"/>
      <c r="BU75" s="8" t="n"/>
      <c r="BW75" s="8" t="n"/>
      <c r="BX75" s="8" t="n"/>
    </row>
    <row r="76">
      <c r="AS76" s="5" t="n"/>
      <c r="AT76" s="5" t="n"/>
      <c r="AU76" s="5" t="n"/>
      <c r="AV76" s="5" t="n"/>
      <c r="AW76" s="5" t="n"/>
      <c r="AX76" s="5" t="n"/>
      <c r="AY76" s="5" t="n"/>
      <c r="BU76" s="8" t="n"/>
      <c r="BW76" s="8" t="n"/>
      <c r="BX76" s="8" t="n"/>
    </row>
    <row r="77">
      <c r="AS77" s="5" t="n"/>
      <c r="AT77" s="5" t="n"/>
      <c r="AU77" s="5" t="n"/>
      <c r="AV77" s="5" t="n"/>
      <c r="AW77" s="5" t="n"/>
      <c r="AX77" s="5" t="n"/>
      <c r="AY77" s="5" t="n"/>
      <c r="BU77" s="8" t="n"/>
      <c r="BW77" s="8" t="n"/>
      <c r="BX77" s="8" t="n"/>
    </row>
    <row r="78">
      <c r="AS78" s="5" t="n"/>
      <c r="AT78" s="5" t="n"/>
      <c r="AU78" s="5" t="n"/>
      <c r="AV78" s="5" t="n"/>
      <c r="AW78" s="5" t="n"/>
      <c r="AX78" s="5" t="n"/>
      <c r="AY78" s="5" t="n"/>
      <c r="BU78" s="8" t="n"/>
      <c r="BW78" s="8" t="n"/>
      <c r="BX78" s="8" t="n"/>
    </row>
    <row r="79">
      <c r="AS79" s="5" t="n"/>
      <c r="AT79" s="5" t="n"/>
      <c r="AU79" s="5" t="n"/>
      <c r="AV79" s="5" t="n"/>
      <c r="AW79" s="5" t="n"/>
      <c r="AX79" s="5" t="n"/>
      <c r="AY79" s="5" t="n"/>
      <c r="BU79" s="8" t="n"/>
      <c r="BW79" s="8" t="n"/>
      <c r="BX79" s="8" t="n"/>
    </row>
    <row r="80">
      <c r="AS80" s="5" t="n"/>
      <c r="AT80" s="5" t="n"/>
      <c r="AU80" s="5" t="n"/>
      <c r="AV80" s="5" t="n"/>
      <c r="AW80" s="5" t="n"/>
      <c r="AX80" s="5" t="n"/>
      <c r="AY80" s="5" t="n"/>
      <c r="BU80" s="8" t="n"/>
      <c r="BW80" s="8" t="n"/>
      <c r="BX80" s="8" t="n"/>
    </row>
    <row r="81">
      <c r="AS81" s="5" t="n"/>
      <c r="AT81" s="5" t="n"/>
      <c r="AU81" s="5" t="n"/>
      <c r="AV81" s="5" t="n"/>
      <c r="AW81" s="5" t="n"/>
      <c r="AX81" s="5" t="n"/>
      <c r="AY81" s="5" t="n"/>
      <c r="BU81" s="8" t="n"/>
      <c r="BW81" s="8" t="n"/>
      <c r="BX81" s="8" t="n"/>
    </row>
    <row r="82">
      <c r="AS82" s="5" t="n"/>
      <c r="AT82" s="5" t="n"/>
      <c r="AU82" s="5" t="n"/>
      <c r="AV82" s="5" t="n"/>
      <c r="AW82" s="5" t="n"/>
      <c r="AX82" s="5" t="n"/>
      <c r="AY82" s="5" t="n"/>
      <c r="BU82" s="8" t="n"/>
      <c r="BW82" s="8" t="n"/>
      <c r="BX82" s="8" t="n"/>
    </row>
    <row r="83">
      <c r="AS83" s="5" t="n"/>
      <c r="AT83" s="5" t="n"/>
      <c r="AU83" s="5" t="n"/>
      <c r="AV83" s="5" t="n"/>
      <c r="AW83" s="5" t="n"/>
      <c r="AX83" s="5" t="n"/>
      <c r="AY83" s="5" t="n"/>
      <c r="BU83" s="8" t="n"/>
      <c r="BW83" s="8" t="n"/>
      <c r="BX83" s="8" t="n"/>
    </row>
    <row r="84">
      <c r="AS84" s="5" t="n"/>
      <c r="AT84" s="5" t="n"/>
      <c r="AU84" s="5" t="n"/>
      <c r="AV84" s="5" t="n"/>
      <c r="AW84" s="5" t="n"/>
      <c r="AX84" s="5" t="n"/>
      <c r="AY84" s="5" t="n"/>
      <c r="BU84" s="8" t="n"/>
      <c r="BW84" s="8" t="n"/>
      <c r="BX84" s="8" t="n"/>
    </row>
    <row r="85">
      <c r="AS85" s="5" t="n"/>
      <c r="AT85" s="5" t="n"/>
      <c r="AU85" s="5" t="n"/>
      <c r="AV85" s="5" t="n"/>
      <c r="AW85" s="5" t="n"/>
      <c r="AX85" s="5" t="n"/>
      <c r="AY85" s="5" t="n"/>
      <c r="BU85" s="8" t="n"/>
      <c r="BW85" s="8" t="n"/>
      <c r="BX85" s="8" t="n"/>
    </row>
    <row r="86">
      <c r="AS86" s="5" t="n"/>
      <c r="AT86" s="5" t="n"/>
      <c r="AU86" s="5" t="n"/>
      <c r="AV86" s="5" t="n"/>
      <c r="AW86" s="5" t="n"/>
      <c r="AX86" s="5" t="n"/>
      <c r="AY86" s="5" t="n"/>
      <c r="BU86" s="8" t="n"/>
      <c r="BW86" s="8" t="n"/>
      <c r="BX86" s="8" t="n"/>
    </row>
    <row r="87">
      <c r="AS87" s="5" t="n"/>
      <c r="AT87" s="5" t="n"/>
      <c r="AU87" s="5" t="n"/>
      <c r="AV87" s="5" t="n"/>
      <c r="AW87" s="5" t="n"/>
      <c r="AX87" s="5" t="n"/>
      <c r="AY87" s="5" t="n"/>
      <c r="BU87" s="8" t="n"/>
      <c r="BW87" s="8" t="n"/>
      <c r="BX87" s="8" t="n"/>
    </row>
    <row r="88">
      <c r="AS88" s="5" t="n"/>
      <c r="AT88" s="5" t="n"/>
      <c r="AU88" s="5" t="n"/>
      <c r="AV88" s="5" t="n"/>
      <c r="AW88" s="5" t="n"/>
      <c r="AX88" s="5" t="n"/>
      <c r="AY88" s="5" t="n"/>
      <c r="BU88" s="8" t="n"/>
      <c r="BW88" s="8" t="n"/>
      <c r="BX88" s="8" t="n"/>
    </row>
    <row r="89">
      <c r="AS89" s="5" t="n"/>
      <c r="AT89" s="5" t="n"/>
      <c r="AU89" s="5" t="n"/>
      <c r="AV89" s="5" t="n"/>
      <c r="AW89" s="5" t="n"/>
      <c r="AX89" s="5" t="n"/>
      <c r="AY89" s="5" t="n"/>
      <c r="BU89" s="8" t="n"/>
      <c r="BW89" s="8" t="n"/>
      <c r="BX89" s="8" t="n"/>
    </row>
    <row r="90">
      <c r="AS90" s="5" t="n"/>
      <c r="AT90" s="5" t="n"/>
      <c r="AU90" s="5" t="n"/>
      <c r="AV90" s="5" t="n"/>
      <c r="AW90" s="5" t="n"/>
      <c r="AX90" s="5" t="n"/>
      <c r="AY90" s="5" t="n"/>
      <c r="BU90" s="8" t="n"/>
      <c r="BW90" s="8" t="n"/>
      <c r="BX90" s="8" t="n"/>
    </row>
    <row r="91">
      <c r="AS91" s="5" t="n"/>
      <c r="AT91" s="5" t="n"/>
      <c r="AU91" s="5" t="n"/>
      <c r="AV91" s="5" t="n"/>
      <c r="AW91" s="5" t="n"/>
      <c r="AX91" s="5" t="n"/>
      <c r="AY91" s="5" t="n"/>
      <c r="BU91" s="8" t="n"/>
      <c r="BW91" s="8" t="n"/>
      <c r="BX91" s="8" t="n"/>
    </row>
    <row r="92">
      <c r="AS92" s="5" t="n"/>
      <c r="AT92" s="5" t="n"/>
      <c r="AU92" s="5" t="n"/>
      <c r="AV92" s="5" t="n"/>
      <c r="AW92" s="5" t="n"/>
      <c r="AX92" s="5" t="n"/>
      <c r="AY92" s="5" t="n"/>
      <c r="BU92" s="8" t="n"/>
      <c r="BW92" s="8" t="n"/>
      <c r="BX92" s="8" t="n"/>
    </row>
    <row r="93">
      <c r="AS93" s="5" t="n"/>
      <c r="AT93" s="5" t="n"/>
      <c r="AU93" s="5" t="n"/>
      <c r="AV93" s="5" t="n"/>
      <c r="AW93" s="5" t="n"/>
      <c r="AX93" s="5" t="n"/>
      <c r="AY93" s="5" t="n"/>
      <c r="BU93" s="8" t="n"/>
      <c r="BW93" s="8" t="n"/>
      <c r="BX93" s="8" t="n"/>
    </row>
    <row r="94">
      <c r="AS94" s="5" t="n"/>
      <c r="AT94" s="5" t="n"/>
      <c r="AU94" s="5" t="n"/>
      <c r="AV94" s="5" t="n"/>
      <c r="AW94" s="5" t="n"/>
      <c r="AX94" s="5" t="n"/>
      <c r="AY94" s="5" t="n"/>
      <c r="BU94" s="8" t="n"/>
      <c r="BW94" s="8" t="n"/>
      <c r="BX94" s="8" t="n"/>
    </row>
    <row r="95">
      <c r="AS95" s="5" t="n"/>
      <c r="AT95" s="5" t="n"/>
      <c r="AU95" s="5" t="n"/>
      <c r="AV95" s="5" t="n"/>
      <c r="AW95" s="5" t="n"/>
      <c r="AX95" s="5" t="n"/>
      <c r="AY95" s="5" t="n"/>
      <c r="BU95" s="8" t="n"/>
      <c r="BW95" s="8" t="n"/>
      <c r="BX95" s="8" t="n"/>
    </row>
    <row r="96">
      <c r="AS96" s="5" t="n"/>
      <c r="AT96" s="5" t="n"/>
      <c r="AU96" s="5" t="n"/>
      <c r="AV96" s="5" t="n"/>
      <c r="AW96" s="5" t="n"/>
      <c r="AX96" s="5" t="n"/>
      <c r="AY96" s="5" t="n"/>
      <c r="BU96" s="8" t="n"/>
      <c r="BW96" s="8" t="n"/>
      <c r="BX96" s="8" t="n"/>
    </row>
    <row r="97">
      <c r="AS97" s="5" t="n"/>
      <c r="AT97" s="5" t="n"/>
      <c r="AU97" s="5" t="n"/>
      <c r="AV97" s="5" t="n"/>
      <c r="AW97" s="5" t="n"/>
      <c r="AX97" s="5" t="n"/>
      <c r="AY97" s="5" t="n"/>
      <c r="BU97" s="8" t="n"/>
      <c r="BW97" s="8" t="n"/>
      <c r="BX97" s="8" t="n"/>
    </row>
    <row r="98">
      <c r="AS98" s="5" t="n"/>
      <c r="AT98" s="5" t="n"/>
      <c r="AU98" s="5" t="n"/>
      <c r="AV98" s="5" t="n"/>
      <c r="AW98" s="5" t="n"/>
      <c r="AX98" s="5" t="n"/>
      <c r="AY98" s="5" t="n"/>
      <c r="BU98" s="8" t="n"/>
      <c r="BW98" s="8" t="n"/>
      <c r="BX98" s="8" t="n"/>
    </row>
    <row r="99">
      <c r="AS99" s="5" t="n"/>
      <c r="AT99" s="5" t="n"/>
      <c r="AU99" s="5" t="n"/>
      <c r="AV99" s="5" t="n"/>
      <c r="AW99" s="5" t="n"/>
      <c r="AX99" s="5" t="n"/>
      <c r="AY99" s="5" t="n"/>
      <c r="BU99" s="8" t="n"/>
      <c r="BW99" s="8" t="n"/>
      <c r="BX99" s="8" t="n"/>
    </row>
    <row r="100">
      <c r="AS100" s="5" t="n"/>
      <c r="AT100" s="5" t="n"/>
      <c r="AU100" s="5" t="n"/>
      <c r="AV100" s="5" t="n"/>
      <c r="AW100" s="5" t="n"/>
      <c r="AX100" s="5" t="n"/>
      <c r="AY100" s="5" t="n"/>
      <c r="BU100" s="8" t="n"/>
      <c r="BW100" s="8" t="n"/>
      <c r="BX100" s="8" t="n"/>
    </row>
    <row r="101">
      <c r="AS101" s="5" t="n"/>
      <c r="AT101" s="5" t="n"/>
      <c r="AU101" s="5" t="n"/>
      <c r="AV101" s="5" t="n"/>
      <c r="AW101" s="5" t="n"/>
      <c r="AX101" s="5" t="n"/>
      <c r="AY101" s="5" t="n"/>
      <c r="BU101" s="8" t="n"/>
      <c r="BW101" s="8" t="n"/>
      <c r="BX101" s="8" t="n"/>
    </row>
    <row r="102">
      <c r="AS102" s="5" t="n"/>
      <c r="AT102" s="5" t="n"/>
      <c r="AU102" s="5" t="n"/>
      <c r="AV102" s="5" t="n"/>
      <c r="AW102" s="5" t="n"/>
      <c r="AX102" s="5" t="n"/>
      <c r="AY102" s="5" t="n"/>
      <c r="BU102" s="8" t="n"/>
      <c r="BW102" s="8" t="n"/>
      <c r="BX102" s="8" t="n"/>
    </row>
    <row r="103">
      <c r="AS103" s="5" t="n"/>
      <c r="AT103" s="5" t="n"/>
      <c r="AU103" s="5" t="n"/>
      <c r="AV103" s="5" t="n"/>
      <c r="AW103" s="5" t="n"/>
      <c r="AX103" s="5" t="n"/>
      <c r="AY103" s="5" t="n"/>
      <c r="BU103" s="8" t="n"/>
      <c r="BW103" s="8" t="n"/>
      <c r="BX103" s="8" t="n"/>
    </row>
    <row r="104">
      <c r="AS104" s="5" t="n"/>
      <c r="AT104" s="5" t="n"/>
      <c r="AU104" s="5" t="n"/>
      <c r="AV104" s="5" t="n"/>
      <c r="AW104" s="5" t="n"/>
      <c r="AX104" s="5" t="n"/>
      <c r="AY104" s="5" t="n"/>
    </row>
    <row r="105">
      <c r="AS105" s="5" t="n"/>
      <c r="AT105" s="5" t="n"/>
      <c r="AU105" s="5" t="n"/>
      <c r="AV105" s="5" t="n"/>
      <c r="AW105" s="5" t="n"/>
      <c r="AX105" s="5" t="n"/>
      <c r="AY105" s="5" t="n"/>
    </row>
    <row r="106">
      <c r="AS106" s="5" t="n"/>
      <c r="AT106" s="5" t="n"/>
      <c r="AU106" s="5" t="n"/>
      <c r="AV106" s="5" t="n"/>
      <c r="AW106" s="5" t="n"/>
      <c r="AX106" s="5" t="n"/>
      <c r="AY106" s="5" t="n"/>
    </row>
    <row r="107">
      <c r="AY107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5"/>
  <sheetViews>
    <sheetView zoomScale="64" workbookViewId="0">
      <selection activeCell="I16" sqref="I16"/>
    </sheetView>
  </sheetViews>
  <sheetFormatPr baseColWidth="10" defaultRowHeight="16"/>
  <cols>
    <col width="19" customWidth="1" min="1" max="1"/>
    <col width="14.1640625" bestFit="1" customWidth="1" min="2" max="2"/>
    <col width="12.6640625" bestFit="1" customWidth="1" min="3" max="3"/>
    <col width="15.1640625" bestFit="1" customWidth="1" min="4" max="4"/>
    <col width="17.5" bestFit="1" customWidth="1" min="5" max="5"/>
    <col width="17.1640625" bestFit="1" customWidth="1" min="6" max="6"/>
    <col width="15.5" bestFit="1" customWidth="1" min="7" max="7"/>
    <col width="13.6640625" bestFit="1" customWidth="1" min="8" max="8"/>
    <col width="12.1640625" bestFit="1" customWidth="1" min="9" max="9"/>
    <col width="14.5" bestFit="1" customWidth="1" min="10" max="10"/>
    <col width="17.83203125" bestFit="1" customWidth="1" min="11" max="11"/>
    <col width="19.33203125" bestFit="1" customWidth="1" min="12" max="12"/>
    <col width="4.6640625" bestFit="1" customWidth="1" min="13" max="13"/>
    <col width="12.6640625" bestFit="1" customWidth="1" min="14" max="14"/>
    <col width="11" bestFit="1" customWidth="1" min="15" max="15"/>
    <col width="16.5" customWidth="1" min="16" max="16"/>
    <col width="2.83203125" customWidth="1" min="17" max="17"/>
    <col width="12.6640625" bestFit="1" customWidth="1" min="18" max="18"/>
    <col width="5.33203125" bestFit="1" customWidth="1" min="19" max="19"/>
    <col width="13" bestFit="1" customWidth="1" min="20" max="20"/>
  </cols>
  <sheetData>
    <row r="1" customFormat="1" s="19">
      <c r="A1" s="18" t="inlineStr">
        <is>
          <t>LCOE for steam/electric cracker ($/GJ-ethylene) - CHEMICALS SEQUESTRATION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R1" s="19" t="inlineStr">
        <is>
          <t>Assumptions</t>
        </is>
      </c>
    </row>
    <row r="2" ht="32" customHeight="1">
      <c r="A2" s="4" t="inlineStr">
        <is>
          <t>id_LC</t>
        </is>
      </c>
      <c r="B2" s="4" t="inlineStr">
        <is>
          <t>h2_consumption</t>
        </is>
      </c>
      <c r="C2" s="4" t="inlineStr">
        <is>
          <t>h2_production</t>
        </is>
      </c>
      <c r="D2" s="4" t="inlineStr">
        <is>
          <t>elec_consumption</t>
        </is>
      </c>
      <c r="E2" s="4" t="inlineStr">
        <is>
          <t>ethane_consumption</t>
        </is>
      </c>
      <c r="F2" s="4" t="inlineStr">
        <is>
          <t>natgas_consumption</t>
        </is>
      </c>
      <c r="G2" s="4" t="inlineStr">
        <is>
          <t>natgas_production</t>
        </is>
      </c>
      <c r="H2" s="4" t="inlineStr">
        <is>
          <t>investment_cost</t>
        </is>
      </c>
      <c r="I2" s="4" t="inlineStr">
        <is>
          <t>fixed_om_cost</t>
        </is>
      </c>
      <c r="J2" s="4" t="inlineStr">
        <is>
          <t>variable_om_cost</t>
        </is>
      </c>
      <c r="K2" s="3" t="inlineStr">
        <is>
          <t>modified capture cost</t>
        </is>
      </c>
      <c r="L2" s="3" t="inlineStr">
        <is>
          <t>modified emissions cost</t>
        </is>
      </c>
      <c r="M2" s="3" t="inlineStr">
        <is>
          <t>CI</t>
        </is>
      </c>
      <c r="N2" s="20" t="inlineStr">
        <is>
          <t>LCOE ($/t-ethylene)</t>
        </is>
      </c>
      <c r="O2" s="20" t="inlineStr">
        <is>
          <t>LCOE ($/GJ-ethylene)</t>
        </is>
      </c>
      <c r="P2" s="20" t="inlineStr">
        <is>
          <t>CHECK LCOE ($/GJ-ethylene)</t>
        </is>
      </c>
      <c r="R2" t="inlineStr">
        <is>
          <t>Ethylene LHV</t>
        </is>
      </c>
      <c r="S2" t="n">
        <v>45.6</v>
      </c>
      <c r="T2" t="inlineStr">
        <is>
          <t>GJ/t-ethylene</t>
        </is>
      </c>
    </row>
    <row r="3">
      <c r="A3">
        <f>lc_detailed!AQ3</f>
        <v/>
      </c>
      <c r="B3" s="21">
        <f>lc_detailed!AY3/$S$2</f>
        <v/>
      </c>
      <c r="C3" s="21">
        <f>lc_detailed!AZ3/$S$2</f>
        <v/>
      </c>
      <c r="D3" s="21">
        <f>lc_detailed!BA3/$S$2</f>
        <v/>
      </c>
      <c r="E3" s="21">
        <f>lc_detailed!BB3/$S$2</f>
        <v/>
      </c>
      <c r="F3" s="21">
        <f>lc_detailed!BC3/$S$2</f>
        <v/>
      </c>
      <c r="G3" s="21">
        <f>lc_detailed!BD3/$S$2</f>
        <v/>
      </c>
      <c r="H3" s="21">
        <f>lc_detailed!BE3/$S$2</f>
        <v/>
      </c>
      <c r="I3" s="21">
        <f>lc_detailed!BF3/$S$2</f>
        <v/>
      </c>
      <c r="J3" s="21">
        <f>lc_detailed!BG3/$S$2</f>
        <v/>
      </c>
      <c r="K3" s="21">
        <f>lc_detailed!BI3/$S$2</f>
        <v/>
      </c>
      <c r="L3" s="21">
        <f>lc_detailed!BJ3/$S$2</f>
        <v/>
      </c>
      <c r="M3" s="21">
        <f>lc_detailed!BH3</f>
        <v/>
      </c>
      <c r="N3" s="21">
        <f>lc_detailed!AS3</f>
        <v/>
      </c>
      <c r="O3" s="21">
        <f>N3/$S$2</f>
        <v/>
      </c>
      <c r="P3" s="21">
        <f>SUM(B3:L3)</f>
        <v/>
      </c>
    </row>
    <row r="4">
      <c r="A4">
        <f>lc_detailed!AQ4</f>
        <v/>
      </c>
      <c r="B4" s="21">
        <f>lc_detailed!AY4/$S$2</f>
        <v/>
      </c>
      <c r="C4" s="21">
        <f>lc_detailed!AZ4/$S$2</f>
        <v/>
      </c>
      <c r="D4" s="21">
        <f>lc_detailed!BA4/$S$2</f>
        <v/>
      </c>
      <c r="E4" s="21">
        <f>lc_detailed!BB4/$S$2</f>
        <v/>
      </c>
      <c r="F4" s="21">
        <f>lc_detailed!BC4/$S$2</f>
        <v/>
      </c>
      <c r="G4" s="21">
        <f>lc_detailed!BD4/$S$2</f>
        <v/>
      </c>
      <c r="H4" s="21">
        <f>lc_detailed!BE4/$S$2</f>
        <v/>
      </c>
      <c r="I4" s="21">
        <f>lc_detailed!BF4/$S$2</f>
        <v/>
      </c>
      <c r="J4" s="21">
        <f>lc_detailed!BG4/$S$2</f>
        <v/>
      </c>
      <c r="K4" s="21">
        <f>lc_detailed!BI4/$S$2</f>
        <v/>
      </c>
      <c r="L4" s="21">
        <f>lc_detailed!BJ4/$S$2</f>
        <v/>
      </c>
      <c r="M4" s="21">
        <f>lc_detailed!BH4</f>
        <v/>
      </c>
      <c r="N4" s="21">
        <f>lc_detailed!AS4</f>
        <v/>
      </c>
      <c r="O4" s="21">
        <f>N4/$S$2</f>
        <v/>
      </c>
      <c r="P4" s="21">
        <f>SUM(B4:L4)</f>
        <v/>
      </c>
    </row>
    <row r="5">
      <c r="A5">
        <f>lc_detailed!AQ5</f>
        <v/>
      </c>
      <c r="B5" s="21">
        <f>lc_detailed!AY5/$S$2</f>
        <v/>
      </c>
      <c r="C5" s="21">
        <f>lc_detailed!AZ5/$S$2</f>
        <v/>
      </c>
      <c r="D5" s="21">
        <f>lc_detailed!BA5/$S$2</f>
        <v/>
      </c>
      <c r="E5" s="21">
        <f>lc_detailed!BB5/$S$2</f>
        <v/>
      </c>
      <c r="F5" s="21">
        <f>lc_detailed!BC5/$S$2</f>
        <v/>
      </c>
      <c r="G5" s="21">
        <f>lc_detailed!BD5/$S$2</f>
        <v/>
      </c>
      <c r="H5" s="21">
        <f>lc_detailed!BE5/$S$2</f>
        <v/>
      </c>
      <c r="I5" s="21">
        <f>lc_detailed!BF5/$S$2</f>
        <v/>
      </c>
      <c r="J5" s="21">
        <f>lc_detailed!BG5/$S$2</f>
        <v/>
      </c>
      <c r="K5" s="21">
        <f>lc_detailed!BI5/$S$2</f>
        <v/>
      </c>
      <c r="L5" s="21">
        <f>lc_detailed!BJ5/$S$2</f>
        <v/>
      </c>
      <c r="M5" s="21">
        <f>lc_detailed!BH5</f>
        <v/>
      </c>
      <c r="N5" s="21">
        <f>lc_detailed!AS5</f>
        <v/>
      </c>
      <c r="O5" s="21">
        <f>N5/$S$2</f>
        <v/>
      </c>
      <c r="P5" s="21">
        <f>SUM(B5:L5)</f>
        <v/>
      </c>
    </row>
    <row r="6">
      <c r="A6">
        <f>lc_detailed!AQ6</f>
        <v/>
      </c>
      <c r="B6" s="21">
        <f>lc_detailed!AY6/$S$2</f>
        <v/>
      </c>
      <c r="C6" s="21">
        <f>lc_detailed!AZ6/$S$2</f>
        <v/>
      </c>
      <c r="D6" s="21">
        <f>lc_detailed!BA6/$S$2</f>
        <v/>
      </c>
      <c r="E6" s="21">
        <f>lc_detailed!BB6/$S$2</f>
        <v/>
      </c>
      <c r="F6" s="21">
        <f>lc_detailed!BC6/$S$2</f>
        <v/>
      </c>
      <c r="G6" s="21">
        <f>lc_detailed!BD6/$S$2</f>
        <v/>
      </c>
      <c r="H6" s="21">
        <f>lc_detailed!BE6/$S$2</f>
        <v/>
      </c>
      <c r="I6" s="21">
        <f>lc_detailed!BF6/$S$2</f>
        <v/>
      </c>
      <c r="J6" s="21">
        <f>lc_detailed!BG6/$S$2</f>
        <v/>
      </c>
      <c r="K6" s="21">
        <f>lc_detailed!BI6/$S$2</f>
        <v/>
      </c>
      <c r="L6" s="21">
        <f>lc_detailed!BJ6/$S$2</f>
        <v/>
      </c>
      <c r="M6" s="21">
        <f>lc_detailed!BH6</f>
        <v/>
      </c>
      <c r="N6" s="21">
        <f>lc_detailed!AS6</f>
        <v/>
      </c>
      <c r="O6" s="21">
        <f>N6/$S$2</f>
        <v/>
      </c>
      <c r="P6" s="21">
        <f>SUM(B6:L6)</f>
        <v/>
      </c>
    </row>
    <row r="7">
      <c r="A7">
        <f>lc_detailed!AQ7</f>
        <v/>
      </c>
      <c r="B7" s="21">
        <f>lc_detailed!AY7/$S$2</f>
        <v/>
      </c>
      <c r="C7" s="21">
        <f>lc_detailed!AZ7/$S$2</f>
        <v/>
      </c>
      <c r="D7" s="21">
        <f>lc_detailed!BA7/$S$2</f>
        <v/>
      </c>
      <c r="E7" s="21">
        <f>lc_detailed!BB7/$S$2</f>
        <v/>
      </c>
      <c r="F7" s="21">
        <f>lc_detailed!BC7/$S$2</f>
        <v/>
      </c>
      <c r="G7" s="21">
        <f>lc_detailed!BD7/$S$2</f>
        <v/>
      </c>
      <c r="H7" s="21">
        <f>lc_detailed!BE7/$S$2</f>
        <v/>
      </c>
      <c r="I7" s="21">
        <f>lc_detailed!BF7/$S$2</f>
        <v/>
      </c>
      <c r="J7" s="21">
        <f>lc_detailed!BG7/$S$2</f>
        <v/>
      </c>
      <c r="K7" s="21">
        <f>lc_detailed!BI7/$S$2</f>
        <v/>
      </c>
      <c r="L7" s="21">
        <f>lc_detailed!BJ7/$S$2</f>
        <v/>
      </c>
      <c r="M7" s="21">
        <f>lc_detailed!BH7</f>
        <v/>
      </c>
      <c r="N7" s="21">
        <f>lc_detailed!AS7</f>
        <v/>
      </c>
      <c r="O7" s="21">
        <f>N7/$S$2</f>
        <v/>
      </c>
      <c r="P7" s="21">
        <f>SUM(B7:L7)</f>
        <v/>
      </c>
    </row>
    <row r="8">
      <c r="A8">
        <f>lc_detailed!AQ8</f>
        <v/>
      </c>
      <c r="B8" s="21">
        <f>lc_detailed!AY8/$S$2</f>
        <v/>
      </c>
      <c r="C8" s="21">
        <f>lc_detailed!AZ8/$S$2</f>
        <v/>
      </c>
      <c r="D8" s="21">
        <f>lc_detailed!BA8/$S$2</f>
        <v/>
      </c>
      <c r="E8" s="21">
        <f>lc_detailed!BB8/$S$2</f>
        <v/>
      </c>
      <c r="F8" s="21">
        <f>lc_detailed!BC8/$S$2</f>
        <v/>
      </c>
      <c r="G8" s="21">
        <f>lc_detailed!BD8/$S$2</f>
        <v/>
      </c>
      <c r="H8" s="21">
        <f>lc_detailed!BE8/$S$2</f>
        <v/>
      </c>
      <c r="I8" s="21">
        <f>lc_detailed!BF8/$S$2</f>
        <v/>
      </c>
      <c r="J8" s="21">
        <f>lc_detailed!BG8/$S$2</f>
        <v/>
      </c>
      <c r="K8" s="21">
        <f>lc_detailed!BI8/$S$2</f>
        <v/>
      </c>
      <c r="L8" s="21">
        <f>lc_detailed!BJ8/$S$2</f>
        <v/>
      </c>
      <c r="M8" s="21">
        <f>lc_detailed!BH8</f>
        <v/>
      </c>
      <c r="N8" s="21">
        <f>lc_detailed!AS8</f>
        <v/>
      </c>
      <c r="O8" s="21">
        <f>N8/$S$2</f>
        <v/>
      </c>
      <c r="P8" s="21">
        <f>SUM(B8:L8)</f>
        <v/>
      </c>
    </row>
    <row r="9">
      <c r="A9">
        <f>lc_detailed!AQ9</f>
        <v/>
      </c>
      <c r="B9" s="21">
        <f>lc_detailed!AY9/$S$2</f>
        <v/>
      </c>
      <c r="C9" s="21">
        <f>lc_detailed!AZ9/$S$2</f>
        <v/>
      </c>
      <c r="D9" s="21">
        <f>lc_detailed!BA9/$S$2</f>
        <v/>
      </c>
      <c r="E9" s="21">
        <f>lc_detailed!BB9/$S$2</f>
        <v/>
      </c>
      <c r="F9" s="21">
        <f>lc_detailed!BC9/$S$2</f>
        <v/>
      </c>
      <c r="G9" s="21">
        <f>lc_detailed!BD9/$S$2</f>
        <v/>
      </c>
      <c r="H9" s="21">
        <f>lc_detailed!BE9/$S$2</f>
        <v/>
      </c>
      <c r="I9" s="21">
        <f>lc_detailed!BF9/$S$2</f>
        <v/>
      </c>
      <c r="J9" s="21">
        <f>lc_detailed!BG9/$S$2</f>
        <v/>
      </c>
      <c r="K9" s="21">
        <f>lc_detailed!BI9/$S$2</f>
        <v/>
      </c>
      <c r="L9" s="21">
        <f>lc_detailed!BJ9/$S$2</f>
        <v/>
      </c>
      <c r="M9" s="21">
        <f>lc_detailed!BH9</f>
        <v/>
      </c>
      <c r="N9" s="21">
        <f>lc_detailed!AS9</f>
        <v/>
      </c>
      <c r="O9" s="21">
        <f>N9/$S$2</f>
        <v/>
      </c>
      <c r="P9" s="21">
        <f>SUM(B9:L9)</f>
        <v/>
      </c>
    </row>
    <row r="10">
      <c r="A10">
        <f>lc_detailed!AQ10</f>
        <v/>
      </c>
      <c r="B10" s="21">
        <f>lc_detailed!AY10/$S$2</f>
        <v/>
      </c>
      <c r="C10" s="21">
        <f>lc_detailed!AZ10/$S$2</f>
        <v/>
      </c>
      <c r="D10" s="21">
        <f>lc_detailed!BA10/$S$2</f>
        <v/>
      </c>
      <c r="E10" s="21">
        <f>lc_detailed!BB10/$S$2</f>
        <v/>
      </c>
      <c r="F10" s="21">
        <f>lc_detailed!BC10/$S$2</f>
        <v/>
      </c>
      <c r="G10" s="21">
        <f>lc_detailed!BD10/$S$2</f>
        <v/>
      </c>
      <c r="H10" s="21">
        <f>lc_detailed!BE10/$S$2</f>
        <v/>
      </c>
      <c r="I10" s="21">
        <f>lc_detailed!BF10/$S$2</f>
        <v/>
      </c>
      <c r="J10" s="21">
        <f>lc_detailed!BG10/$S$2</f>
        <v/>
      </c>
      <c r="K10" s="21">
        <f>lc_detailed!BI10/$S$2</f>
        <v/>
      </c>
      <c r="L10" s="21">
        <f>lc_detailed!BJ10/$S$2</f>
        <v/>
      </c>
      <c r="M10" s="21">
        <f>lc_detailed!BH10</f>
        <v/>
      </c>
      <c r="N10" s="21">
        <f>lc_detailed!AS10</f>
        <v/>
      </c>
      <c r="O10" s="21">
        <f>N10/$S$2</f>
        <v/>
      </c>
      <c r="P10" s="21">
        <f>SUM(B10:L10)</f>
        <v/>
      </c>
    </row>
    <row r="11">
      <c r="A11">
        <f>lc_detailed!AQ11</f>
        <v/>
      </c>
      <c r="B11" s="21">
        <f>lc_detailed!AY11/$S$2</f>
        <v/>
      </c>
      <c r="C11" s="21">
        <f>lc_detailed!AZ11/$S$2</f>
        <v/>
      </c>
      <c r="D11" s="21">
        <f>lc_detailed!BA11/$S$2</f>
        <v/>
      </c>
      <c r="E11" s="21">
        <f>lc_detailed!BB11/$S$2</f>
        <v/>
      </c>
      <c r="F11" s="21">
        <f>lc_detailed!BC11/$S$2</f>
        <v/>
      </c>
      <c r="G11" s="21">
        <f>lc_detailed!BD11/$S$2</f>
        <v/>
      </c>
      <c r="H11" s="21">
        <f>lc_detailed!BE11/$S$2</f>
        <v/>
      </c>
      <c r="I11" s="21">
        <f>lc_detailed!BF11/$S$2</f>
        <v/>
      </c>
      <c r="J11" s="21">
        <f>lc_detailed!BG11/$S$2</f>
        <v/>
      </c>
      <c r="K11" s="21">
        <f>lc_detailed!BI11/$S$2</f>
        <v/>
      </c>
      <c r="L11" s="21">
        <f>lc_detailed!BJ11/$S$2</f>
        <v/>
      </c>
      <c r="M11" s="21">
        <f>lc_detailed!BH11</f>
        <v/>
      </c>
      <c r="N11" s="21">
        <f>lc_detailed!AS11</f>
        <v/>
      </c>
      <c r="O11" s="21">
        <f>N11/$S$2</f>
        <v/>
      </c>
      <c r="P11" s="21">
        <f>SUM(B11:L11)</f>
        <v/>
      </c>
    </row>
    <row r="12">
      <c r="A12">
        <f>lc_detailed!AQ12</f>
        <v/>
      </c>
      <c r="B12" s="21">
        <f>lc_detailed!AY12/$S$2</f>
        <v/>
      </c>
      <c r="C12" s="21">
        <f>lc_detailed!AZ12/$S$2</f>
        <v/>
      </c>
      <c r="D12" s="21">
        <f>lc_detailed!BA12/$S$2</f>
        <v/>
      </c>
      <c r="E12" s="21">
        <f>lc_detailed!BB12/$S$2</f>
        <v/>
      </c>
      <c r="F12" s="21">
        <f>lc_detailed!BC12/$S$2</f>
        <v/>
      </c>
      <c r="G12" s="21">
        <f>lc_detailed!BD12/$S$2</f>
        <v/>
      </c>
      <c r="H12" s="21">
        <f>lc_detailed!BE12/$S$2</f>
        <v/>
      </c>
      <c r="I12" s="21">
        <f>lc_detailed!BF12/$S$2</f>
        <v/>
      </c>
      <c r="J12" s="21">
        <f>lc_detailed!BG12/$S$2</f>
        <v/>
      </c>
      <c r="K12" s="21">
        <f>lc_detailed!BI12/$S$2</f>
        <v/>
      </c>
      <c r="L12" s="21">
        <f>lc_detailed!BJ12/$S$2</f>
        <v/>
      </c>
      <c r="M12" s="21">
        <f>lc_detailed!BH12</f>
        <v/>
      </c>
      <c r="N12" s="21">
        <f>lc_detailed!AS12</f>
        <v/>
      </c>
      <c r="O12" s="21">
        <f>N12/$S$2</f>
        <v/>
      </c>
      <c r="P12" s="21">
        <f>SUM(B12:L12)</f>
        <v/>
      </c>
    </row>
    <row r="13">
      <c r="A13">
        <f>lc_detailed!AQ13</f>
        <v/>
      </c>
      <c r="B13" s="21">
        <f>lc_detailed!AY13/$S$2</f>
        <v/>
      </c>
      <c r="C13" s="21">
        <f>lc_detailed!AZ13/$S$2</f>
        <v/>
      </c>
      <c r="D13" s="21">
        <f>lc_detailed!BA13/$S$2</f>
        <v/>
      </c>
      <c r="E13" s="21">
        <f>lc_detailed!BB13/$S$2</f>
        <v/>
      </c>
      <c r="F13" s="21">
        <f>lc_detailed!BC13/$S$2</f>
        <v/>
      </c>
      <c r="G13" s="21">
        <f>lc_detailed!BD13/$S$2</f>
        <v/>
      </c>
      <c r="H13" s="21">
        <f>lc_detailed!BE13/$S$2</f>
        <v/>
      </c>
      <c r="I13" s="21">
        <f>lc_detailed!BF13/$S$2</f>
        <v/>
      </c>
      <c r="J13" s="21">
        <f>lc_detailed!BG13/$S$2</f>
        <v/>
      </c>
      <c r="K13" s="21">
        <f>lc_detailed!BI13/$S$2</f>
        <v/>
      </c>
      <c r="L13" s="21">
        <f>lc_detailed!BJ13/$S$2</f>
        <v/>
      </c>
      <c r="M13" s="21">
        <f>lc_detailed!BH13</f>
        <v/>
      </c>
      <c r="N13" s="21">
        <f>lc_detailed!AS13</f>
        <v/>
      </c>
      <c r="O13" s="21">
        <f>N13/$S$2</f>
        <v/>
      </c>
      <c r="P13" s="21">
        <f>SUM(B13:L13)</f>
        <v/>
      </c>
    </row>
    <row r="14">
      <c r="A14">
        <f>lc_detailed!AQ14</f>
        <v/>
      </c>
      <c r="B14" s="21">
        <f>lc_detailed!AY14/$S$2</f>
        <v/>
      </c>
      <c r="C14" s="21">
        <f>lc_detailed!AZ14/$S$2</f>
        <v/>
      </c>
      <c r="D14" s="21">
        <f>lc_detailed!BA14/$S$2</f>
        <v/>
      </c>
      <c r="E14" s="21">
        <f>lc_detailed!BB14/$S$2</f>
        <v/>
      </c>
      <c r="F14" s="21">
        <f>lc_detailed!BC14/$S$2</f>
        <v/>
      </c>
      <c r="G14" s="21">
        <f>lc_detailed!BD14/$S$2</f>
        <v/>
      </c>
      <c r="H14" s="21">
        <f>lc_detailed!BE14/$S$2</f>
        <v/>
      </c>
      <c r="I14" s="21">
        <f>lc_detailed!BF14/$S$2</f>
        <v/>
      </c>
      <c r="J14" s="21">
        <f>lc_detailed!BG14/$S$2</f>
        <v/>
      </c>
      <c r="K14" s="21">
        <f>lc_detailed!BI14/$S$2</f>
        <v/>
      </c>
      <c r="L14" s="21">
        <f>lc_detailed!BJ14/$S$2</f>
        <v/>
      </c>
      <c r="M14" s="21">
        <f>lc_detailed!BH14</f>
        <v/>
      </c>
      <c r="N14" s="21">
        <f>lc_detailed!AS14</f>
        <v/>
      </c>
      <c r="O14" s="21">
        <f>N14/$S$2</f>
        <v/>
      </c>
      <c r="P14" s="21">
        <f>SUM(B14:L14)</f>
        <v/>
      </c>
    </row>
    <row r="15">
      <c r="A15">
        <f>lc_detailed!AQ15</f>
        <v/>
      </c>
      <c r="B15" s="21">
        <f>lc_detailed!AY15/$S$2</f>
        <v/>
      </c>
      <c r="C15" s="21">
        <f>lc_detailed!AZ15/$S$2</f>
        <v/>
      </c>
      <c r="D15" s="21">
        <f>lc_detailed!BA15/$S$2</f>
        <v/>
      </c>
      <c r="E15" s="21">
        <f>lc_detailed!BB15/$S$2</f>
        <v/>
      </c>
      <c r="F15" s="21">
        <f>lc_detailed!BC15/$S$2</f>
        <v/>
      </c>
      <c r="G15" s="21">
        <f>lc_detailed!BD15/$S$2</f>
        <v/>
      </c>
      <c r="H15" s="21">
        <f>lc_detailed!BE15/$S$2</f>
        <v/>
      </c>
      <c r="I15" s="21">
        <f>lc_detailed!BF15/$S$2</f>
        <v/>
      </c>
      <c r="J15" s="21">
        <f>lc_detailed!BG15/$S$2</f>
        <v/>
      </c>
      <c r="K15" s="21">
        <f>lc_detailed!BI15/$S$2</f>
        <v/>
      </c>
      <c r="L15" s="21">
        <f>lc_detailed!BJ15/$S$2</f>
        <v/>
      </c>
      <c r="M15" s="21">
        <f>lc_detailed!BH15</f>
        <v/>
      </c>
      <c r="N15" s="21">
        <f>lc_detailed!AS15</f>
        <v/>
      </c>
      <c r="O15" s="21">
        <f>N15/$S$2</f>
        <v/>
      </c>
      <c r="P15" s="21">
        <f>SUM(B15:L15)</f>
        <v/>
      </c>
    </row>
    <row r="16">
      <c r="A16">
        <f>lc_detailed!AQ16</f>
        <v/>
      </c>
      <c r="B16" s="21">
        <f>lc_detailed!AY16/$S$2</f>
        <v/>
      </c>
      <c r="C16" s="21">
        <f>lc_detailed!AZ16/$S$2</f>
        <v/>
      </c>
      <c r="D16" s="21">
        <f>lc_detailed!BA16/$S$2</f>
        <v/>
      </c>
      <c r="E16" s="21">
        <f>lc_detailed!BB16/$S$2</f>
        <v/>
      </c>
      <c r="F16" s="21">
        <f>lc_detailed!BC16/$S$2</f>
        <v/>
      </c>
      <c r="G16" s="21">
        <f>lc_detailed!BD16/$S$2</f>
        <v/>
      </c>
      <c r="H16" s="21">
        <f>lc_detailed!BE16/$S$2</f>
        <v/>
      </c>
      <c r="I16" s="21">
        <f>lc_detailed!BF16/$S$2</f>
        <v/>
      </c>
      <c r="J16" s="21">
        <f>lc_detailed!BG16/$S$2</f>
        <v/>
      </c>
      <c r="K16" s="21">
        <f>lc_detailed!BI16/$S$2</f>
        <v/>
      </c>
      <c r="L16" s="21">
        <f>lc_detailed!BJ16/$S$2</f>
        <v/>
      </c>
      <c r="M16" s="21">
        <f>lc_detailed!BH16</f>
        <v/>
      </c>
      <c r="N16" s="21">
        <f>lc_detailed!AS16</f>
        <v/>
      </c>
      <c r="O16" s="21">
        <f>N16/$S$2</f>
        <v/>
      </c>
      <c r="P16" s="21">
        <f>SUM(B16:L16)</f>
        <v/>
      </c>
    </row>
    <row r="17">
      <c r="A17">
        <f>lc_detailed!AQ17</f>
        <v/>
      </c>
      <c r="B17" s="21">
        <f>lc_detailed!AY17/$S$2</f>
        <v/>
      </c>
      <c r="C17" s="21">
        <f>lc_detailed!AZ17/$S$2</f>
        <v/>
      </c>
      <c r="D17" s="21">
        <f>lc_detailed!BA17/$S$2</f>
        <v/>
      </c>
      <c r="E17" s="21">
        <f>lc_detailed!BB17/$S$2</f>
        <v/>
      </c>
      <c r="F17" s="21">
        <f>lc_detailed!BC17/$S$2</f>
        <v/>
      </c>
      <c r="G17" s="21">
        <f>lc_detailed!BD17/$S$2</f>
        <v/>
      </c>
      <c r="H17" s="21">
        <f>lc_detailed!BE17/$S$2</f>
        <v/>
      </c>
      <c r="I17" s="21">
        <f>lc_detailed!BF17/$S$2</f>
        <v/>
      </c>
      <c r="J17" s="21">
        <f>lc_detailed!BG17/$S$2</f>
        <v/>
      </c>
      <c r="K17" s="21">
        <f>lc_detailed!BI17/$S$2</f>
        <v/>
      </c>
      <c r="L17" s="21">
        <f>lc_detailed!BJ17/$S$2</f>
        <v/>
      </c>
      <c r="M17" s="21">
        <f>lc_detailed!BH17</f>
        <v/>
      </c>
      <c r="N17" s="21">
        <f>lc_detailed!AS17</f>
        <v/>
      </c>
      <c r="O17" s="21">
        <f>N17/$S$2</f>
        <v/>
      </c>
      <c r="P17" s="21">
        <f>SUM(B17:L17)</f>
        <v/>
      </c>
    </row>
    <row r="18">
      <c r="A18">
        <f>lc_detailed!AQ18</f>
        <v/>
      </c>
      <c r="B18" s="21">
        <f>lc_detailed!AY18/$S$2</f>
        <v/>
      </c>
      <c r="C18" s="21">
        <f>lc_detailed!AZ18/$S$2</f>
        <v/>
      </c>
      <c r="D18" s="21">
        <f>lc_detailed!BA18/$S$2</f>
        <v/>
      </c>
      <c r="E18" s="21">
        <f>lc_detailed!BB18/$S$2</f>
        <v/>
      </c>
      <c r="F18" s="21">
        <f>lc_detailed!BC18/$S$2</f>
        <v/>
      </c>
      <c r="G18" s="21">
        <f>lc_detailed!BD18/$S$2</f>
        <v/>
      </c>
      <c r="H18" s="21">
        <f>lc_detailed!BE18/$S$2</f>
        <v/>
      </c>
      <c r="I18" s="21">
        <f>lc_detailed!BF18/$S$2</f>
        <v/>
      </c>
      <c r="J18" s="21">
        <f>lc_detailed!BG18/$S$2</f>
        <v/>
      </c>
      <c r="K18" s="21">
        <f>lc_detailed!BI18/$S$2</f>
        <v/>
      </c>
      <c r="L18" s="21">
        <f>lc_detailed!BJ18/$S$2</f>
        <v/>
      </c>
      <c r="M18" s="21">
        <f>lc_detailed!BH18</f>
        <v/>
      </c>
      <c r="N18" s="21">
        <f>lc_detailed!AS18</f>
        <v/>
      </c>
      <c r="O18" s="21">
        <f>N18/$S$2</f>
        <v/>
      </c>
      <c r="P18" s="21">
        <f>SUM(B18:L18)</f>
        <v/>
      </c>
    </row>
    <row r="19">
      <c r="A19">
        <f>lc_detailed!AQ19</f>
        <v/>
      </c>
      <c r="B19" s="21">
        <f>lc_detailed!AY19/$S$2</f>
        <v/>
      </c>
      <c r="C19" s="21">
        <f>lc_detailed!AZ19/$S$2</f>
        <v/>
      </c>
      <c r="D19" s="21">
        <f>lc_detailed!BA19/$S$2</f>
        <v/>
      </c>
      <c r="E19" s="21">
        <f>lc_detailed!BB19/$S$2</f>
        <v/>
      </c>
      <c r="F19" s="21">
        <f>lc_detailed!BC19/$S$2</f>
        <v/>
      </c>
      <c r="G19" s="21">
        <f>lc_detailed!BD19/$S$2</f>
        <v/>
      </c>
      <c r="H19" s="21">
        <f>lc_detailed!BE19/$S$2</f>
        <v/>
      </c>
      <c r="I19" s="21">
        <f>lc_detailed!BF19/$S$2</f>
        <v/>
      </c>
      <c r="J19" s="21">
        <f>lc_detailed!BG19/$S$2</f>
        <v/>
      </c>
      <c r="K19" s="21">
        <f>lc_detailed!BI19/$S$2</f>
        <v/>
      </c>
      <c r="L19" s="21">
        <f>lc_detailed!BJ19/$S$2</f>
        <v/>
      </c>
      <c r="M19" s="21">
        <f>lc_detailed!BH19</f>
        <v/>
      </c>
      <c r="N19" s="21">
        <f>lc_detailed!AS19</f>
        <v/>
      </c>
      <c r="O19" s="21">
        <f>N19/$S$2</f>
        <v/>
      </c>
      <c r="P19" s="21">
        <f>SUM(B19:L19)</f>
        <v/>
      </c>
    </row>
    <row r="20">
      <c r="A20">
        <f>lc_detailed!AQ20</f>
        <v/>
      </c>
      <c r="B20" s="21">
        <f>lc_detailed!AY20/$S$2</f>
        <v/>
      </c>
      <c r="C20" s="21">
        <f>lc_detailed!AZ20/$S$2</f>
        <v/>
      </c>
      <c r="D20" s="21">
        <f>lc_detailed!BA20/$S$2</f>
        <v/>
      </c>
      <c r="E20" s="21">
        <f>lc_detailed!BB20/$S$2</f>
        <v/>
      </c>
      <c r="F20" s="21">
        <f>lc_detailed!BC20/$S$2</f>
        <v/>
      </c>
      <c r="G20" s="21">
        <f>lc_detailed!BD20/$S$2</f>
        <v/>
      </c>
      <c r="H20" s="21">
        <f>lc_detailed!BE20/$S$2</f>
        <v/>
      </c>
      <c r="I20" s="21">
        <f>lc_detailed!BF20/$S$2</f>
        <v/>
      </c>
      <c r="J20" s="21">
        <f>lc_detailed!BG20/$S$2</f>
        <v/>
      </c>
      <c r="K20" s="21">
        <f>lc_detailed!BI20/$S$2</f>
        <v/>
      </c>
      <c r="L20" s="21">
        <f>lc_detailed!BJ20/$S$2</f>
        <v/>
      </c>
      <c r="M20" s="21">
        <f>lc_detailed!BH20</f>
        <v/>
      </c>
      <c r="N20" s="21">
        <f>lc_detailed!AS20</f>
        <v/>
      </c>
      <c r="O20" s="21">
        <f>N20/$S$2</f>
        <v/>
      </c>
      <c r="P20" s="21">
        <f>SUM(B20:L20)</f>
        <v/>
      </c>
    </row>
    <row r="21">
      <c r="A21">
        <f>lc_detailed!AQ21</f>
        <v/>
      </c>
      <c r="B21" s="21">
        <f>lc_detailed!AY21/$S$2</f>
        <v/>
      </c>
      <c r="C21" s="21">
        <f>lc_detailed!AZ21/$S$2</f>
        <v/>
      </c>
      <c r="D21" s="21">
        <f>lc_detailed!BA21/$S$2</f>
        <v/>
      </c>
      <c r="E21" s="21">
        <f>lc_detailed!BB21/$S$2</f>
        <v/>
      </c>
      <c r="F21" s="21">
        <f>lc_detailed!BC21/$S$2</f>
        <v/>
      </c>
      <c r="G21" s="21">
        <f>lc_detailed!BD21/$S$2</f>
        <v/>
      </c>
      <c r="H21" s="21">
        <f>lc_detailed!BE21/$S$2</f>
        <v/>
      </c>
      <c r="I21" s="21">
        <f>lc_detailed!BF21/$S$2</f>
        <v/>
      </c>
      <c r="J21" s="21">
        <f>lc_detailed!BG21/$S$2</f>
        <v/>
      </c>
      <c r="K21" s="21">
        <f>lc_detailed!BI21/$S$2</f>
        <v/>
      </c>
      <c r="L21" s="21">
        <f>lc_detailed!BJ21/$S$2</f>
        <v/>
      </c>
      <c r="M21" s="21">
        <f>lc_detailed!BH21</f>
        <v/>
      </c>
      <c r="N21" s="21">
        <f>lc_detailed!AS21</f>
        <v/>
      </c>
      <c r="O21" s="21">
        <f>N21/$S$2</f>
        <v/>
      </c>
      <c r="P21" s="21">
        <f>SUM(B21:L21)</f>
        <v/>
      </c>
    </row>
    <row r="22">
      <c r="A22">
        <f>lc_detailed!AQ22</f>
        <v/>
      </c>
      <c r="B22" s="21">
        <f>lc_detailed!AY22/$S$2</f>
        <v/>
      </c>
      <c r="C22" s="21">
        <f>lc_detailed!AZ22/$S$2</f>
        <v/>
      </c>
      <c r="D22" s="21">
        <f>lc_detailed!BA22/$S$2</f>
        <v/>
      </c>
      <c r="E22" s="21">
        <f>lc_detailed!BB22/$S$2</f>
        <v/>
      </c>
      <c r="F22" s="21">
        <f>lc_detailed!BC22/$S$2</f>
        <v/>
      </c>
      <c r="G22" s="21">
        <f>lc_detailed!BD22/$S$2</f>
        <v/>
      </c>
      <c r="H22" s="21">
        <f>lc_detailed!BE22/$S$2</f>
        <v/>
      </c>
      <c r="I22" s="21">
        <f>lc_detailed!BF22/$S$2</f>
        <v/>
      </c>
      <c r="J22" s="21">
        <f>lc_detailed!BG22/$S$2</f>
        <v/>
      </c>
      <c r="K22" s="21">
        <f>lc_detailed!BI22/$S$2</f>
        <v/>
      </c>
      <c r="L22" s="21">
        <f>lc_detailed!BJ22/$S$2</f>
        <v/>
      </c>
      <c r="M22" s="21">
        <f>lc_detailed!BH22</f>
        <v/>
      </c>
      <c r="N22" s="21">
        <f>lc_detailed!AS22</f>
        <v/>
      </c>
      <c r="O22" s="21">
        <f>N22/$S$2</f>
        <v/>
      </c>
      <c r="P22" s="21">
        <f>SUM(B22:L22)</f>
        <v/>
      </c>
    </row>
    <row r="23">
      <c r="A23">
        <f>lc_detailed!AQ23</f>
        <v/>
      </c>
      <c r="B23" s="21">
        <f>lc_detailed!AY23/$S$2</f>
        <v/>
      </c>
      <c r="C23" s="21">
        <f>lc_detailed!AZ23/$S$2</f>
        <v/>
      </c>
      <c r="D23" s="21">
        <f>lc_detailed!BA23/$S$2</f>
        <v/>
      </c>
      <c r="E23" s="21">
        <f>lc_detailed!BB23/$S$2</f>
        <v/>
      </c>
      <c r="F23" s="21">
        <f>lc_detailed!BC23/$S$2</f>
        <v/>
      </c>
      <c r="G23" s="21">
        <f>lc_detailed!BD23/$S$2</f>
        <v/>
      </c>
      <c r="H23" s="21">
        <f>lc_detailed!BE23/$S$2</f>
        <v/>
      </c>
      <c r="I23" s="21">
        <f>lc_detailed!BF23/$S$2</f>
        <v/>
      </c>
      <c r="J23" s="21">
        <f>lc_detailed!BG23/$S$2</f>
        <v/>
      </c>
      <c r="K23" s="21">
        <f>lc_detailed!BI23/$S$2</f>
        <v/>
      </c>
      <c r="L23" s="21">
        <f>lc_detailed!BJ23/$S$2</f>
        <v/>
      </c>
      <c r="M23" s="21">
        <f>lc_detailed!BH23</f>
        <v/>
      </c>
      <c r="N23" s="21">
        <f>lc_detailed!AS23</f>
        <v/>
      </c>
      <c r="O23" s="21">
        <f>N23/$S$2</f>
        <v/>
      </c>
      <c r="P23" s="21">
        <f>SUM(B23:L23)</f>
        <v/>
      </c>
    </row>
    <row r="24">
      <c r="A24">
        <f>lc_detailed!AQ24</f>
        <v/>
      </c>
      <c r="B24" s="21">
        <f>lc_detailed!AY24/$S$2</f>
        <v/>
      </c>
      <c r="C24" s="21">
        <f>lc_detailed!AZ24/$S$2</f>
        <v/>
      </c>
      <c r="D24" s="21">
        <f>lc_detailed!BA24/$S$2</f>
        <v/>
      </c>
      <c r="E24" s="21">
        <f>lc_detailed!BB24/$S$2</f>
        <v/>
      </c>
      <c r="F24" s="21">
        <f>lc_detailed!BC24/$S$2</f>
        <v/>
      </c>
      <c r="G24" s="21">
        <f>lc_detailed!BD24/$S$2</f>
        <v/>
      </c>
      <c r="H24" s="21">
        <f>lc_detailed!BE24/$S$2</f>
        <v/>
      </c>
      <c r="I24" s="21">
        <f>lc_detailed!BF24/$S$2</f>
        <v/>
      </c>
      <c r="J24" s="21">
        <f>lc_detailed!BG24/$S$2</f>
        <v/>
      </c>
      <c r="K24" s="21">
        <f>lc_detailed!BI24/$S$2</f>
        <v/>
      </c>
      <c r="L24" s="21">
        <f>lc_detailed!BJ24/$S$2</f>
        <v/>
      </c>
      <c r="M24" s="21">
        <f>lc_detailed!BH24</f>
        <v/>
      </c>
      <c r="N24" s="21">
        <f>lc_detailed!AS24</f>
        <v/>
      </c>
      <c r="O24" s="21">
        <f>N24/$S$2</f>
        <v/>
      </c>
      <c r="P24" s="21">
        <f>SUM(B24:L24)</f>
        <v/>
      </c>
    </row>
    <row r="25">
      <c r="A25">
        <f>lc_detailed!AQ25</f>
        <v/>
      </c>
      <c r="B25" s="21">
        <f>lc_detailed!AY25/$S$2</f>
        <v/>
      </c>
      <c r="C25" s="21">
        <f>lc_detailed!AZ25/$S$2</f>
        <v/>
      </c>
      <c r="D25" s="21">
        <f>lc_detailed!BA25/$S$2</f>
        <v/>
      </c>
      <c r="E25" s="21">
        <f>lc_detailed!BB25/$S$2</f>
        <v/>
      </c>
      <c r="F25" s="21">
        <f>lc_detailed!BC25/$S$2</f>
        <v/>
      </c>
      <c r="G25" s="21">
        <f>lc_detailed!BD25/$S$2</f>
        <v/>
      </c>
      <c r="H25" s="21">
        <f>lc_detailed!BE25/$S$2</f>
        <v/>
      </c>
      <c r="I25" s="21">
        <f>lc_detailed!BF25/$S$2</f>
        <v/>
      </c>
      <c r="J25" s="21">
        <f>lc_detailed!BG25/$S$2</f>
        <v/>
      </c>
      <c r="K25" s="21">
        <f>lc_detailed!BI25/$S$2</f>
        <v/>
      </c>
      <c r="L25" s="21">
        <f>lc_detailed!BJ25/$S$2</f>
        <v/>
      </c>
      <c r="M25" s="21">
        <f>lc_detailed!BH25</f>
        <v/>
      </c>
      <c r="N25" s="21">
        <f>lc_detailed!AS25</f>
        <v/>
      </c>
      <c r="O25" s="21">
        <f>N25/$S$2</f>
        <v/>
      </c>
      <c r="P25" s="21">
        <f>SUM(B25:L25)</f>
        <v/>
      </c>
    </row>
    <row r="26">
      <c r="A26">
        <f>lc_detailed!AQ26</f>
        <v/>
      </c>
      <c r="B26" s="21">
        <f>lc_detailed!AY26/$S$2</f>
        <v/>
      </c>
      <c r="C26" s="21">
        <f>lc_detailed!AZ26/$S$2</f>
        <v/>
      </c>
      <c r="D26" s="21">
        <f>lc_detailed!BA26/$S$2</f>
        <v/>
      </c>
      <c r="E26" s="21">
        <f>lc_detailed!BB26/$S$2</f>
        <v/>
      </c>
      <c r="F26" s="21">
        <f>lc_detailed!BC26/$S$2</f>
        <v/>
      </c>
      <c r="G26" s="21">
        <f>lc_detailed!BD26/$S$2</f>
        <v/>
      </c>
      <c r="H26" s="21">
        <f>lc_detailed!BE26/$S$2</f>
        <v/>
      </c>
      <c r="I26" s="21">
        <f>lc_detailed!BF26/$S$2</f>
        <v/>
      </c>
      <c r="J26" s="21">
        <f>lc_detailed!BG26/$S$2</f>
        <v/>
      </c>
      <c r="K26" s="21">
        <f>lc_detailed!BI26/$S$2</f>
        <v/>
      </c>
      <c r="L26" s="21">
        <f>lc_detailed!BJ26/$S$2</f>
        <v/>
      </c>
      <c r="M26" s="21">
        <f>lc_detailed!BH26</f>
        <v/>
      </c>
      <c r="N26" s="21">
        <f>lc_detailed!AS26</f>
        <v/>
      </c>
      <c r="O26" s="21">
        <f>N26/$S$2</f>
        <v/>
      </c>
      <c r="P26" s="21">
        <f>SUM(B26:L26)</f>
        <v/>
      </c>
    </row>
    <row r="27">
      <c r="A27">
        <f>lc_detailed!AQ27</f>
        <v/>
      </c>
      <c r="B27" s="21">
        <f>lc_detailed!AY27/$S$2</f>
        <v/>
      </c>
      <c r="C27" s="21">
        <f>lc_detailed!AZ27/$S$2</f>
        <v/>
      </c>
      <c r="D27" s="21">
        <f>lc_detailed!BA27/$S$2</f>
        <v/>
      </c>
      <c r="E27" s="21">
        <f>lc_detailed!BB27/$S$2</f>
        <v/>
      </c>
      <c r="F27" s="21">
        <f>lc_detailed!BC27/$S$2</f>
        <v/>
      </c>
      <c r="G27" s="21">
        <f>lc_detailed!BD27/$S$2</f>
        <v/>
      </c>
      <c r="H27" s="21">
        <f>lc_detailed!BE27/$S$2</f>
        <v/>
      </c>
      <c r="I27" s="21">
        <f>lc_detailed!BF27/$S$2</f>
        <v/>
      </c>
      <c r="J27" s="21">
        <f>lc_detailed!BG27/$S$2</f>
        <v/>
      </c>
      <c r="K27" s="21">
        <f>lc_detailed!BI27/$S$2</f>
        <v/>
      </c>
      <c r="L27" s="21">
        <f>lc_detailed!BJ27/$S$2</f>
        <v/>
      </c>
      <c r="M27" s="21">
        <f>lc_detailed!BH27</f>
        <v/>
      </c>
      <c r="N27" s="21">
        <f>lc_detailed!AS27</f>
        <v/>
      </c>
      <c r="O27" s="21">
        <f>N27/$S$2</f>
        <v/>
      </c>
      <c r="P27" s="21">
        <f>SUM(B27:L27)</f>
        <v/>
      </c>
    </row>
    <row r="28">
      <c r="A28">
        <f>lc_detailed!AQ28</f>
        <v/>
      </c>
      <c r="B28" s="21">
        <f>lc_detailed!AY28/$S$2</f>
        <v/>
      </c>
      <c r="C28" s="21">
        <f>lc_detailed!AZ28/$S$2</f>
        <v/>
      </c>
      <c r="D28" s="21">
        <f>lc_detailed!BA28/$S$2</f>
        <v/>
      </c>
      <c r="E28" s="21">
        <f>lc_detailed!BB28/$S$2</f>
        <v/>
      </c>
      <c r="F28" s="21">
        <f>lc_detailed!BC28/$S$2</f>
        <v/>
      </c>
      <c r="G28" s="21">
        <f>lc_detailed!BD28/$S$2</f>
        <v/>
      </c>
      <c r="H28" s="21">
        <f>lc_detailed!BE28/$S$2</f>
        <v/>
      </c>
      <c r="I28" s="21">
        <f>lc_detailed!BF28/$S$2</f>
        <v/>
      </c>
      <c r="J28" s="21">
        <f>lc_detailed!BG28/$S$2</f>
        <v/>
      </c>
      <c r="K28" s="21">
        <f>lc_detailed!BI28/$S$2</f>
        <v/>
      </c>
      <c r="L28" s="21">
        <f>lc_detailed!BJ28/$S$2</f>
        <v/>
      </c>
      <c r="M28" s="21">
        <f>lc_detailed!BH28</f>
        <v/>
      </c>
      <c r="N28" s="21">
        <f>lc_detailed!AS28</f>
        <v/>
      </c>
      <c r="O28" s="21">
        <f>N28/$S$2</f>
        <v/>
      </c>
      <c r="P28" s="21">
        <f>SUM(B28:L28)</f>
        <v/>
      </c>
    </row>
    <row r="29">
      <c r="A29">
        <f>lc_detailed!AQ29</f>
        <v/>
      </c>
      <c r="B29" s="21">
        <f>lc_detailed!AY29/$S$2</f>
        <v/>
      </c>
      <c r="C29" s="21">
        <f>lc_detailed!AZ29/$S$2</f>
        <v/>
      </c>
      <c r="D29" s="21">
        <f>lc_detailed!BA29/$S$2</f>
        <v/>
      </c>
      <c r="E29" s="21">
        <f>lc_detailed!BB29/$S$2</f>
        <v/>
      </c>
      <c r="F29" s="21">
        <f>lc_detailed!BC29/$S$2</f>
        <v/>
      </c>
      <c r="G29" s="21">
        <f>lc_detailed!BD29/$S$2</f>
        <v/>
      </c>
      <c r="H29" s="21">
        <f>lc_detailed!BE29/$S$2</f>
        <v/>
      </c>
      <c r="I29" s="21">
        <f>lc_detailed!BF29/$S$2</f>
        <v/>
      </c>
      <c r="J29" s="21">
        <f>lc_detailed!BG29/$S$2</f>
        <v/>
      </c>
      <c r="K29" s="21">
        <f>lc_detailed!BI29/$S$2</f>
        <v/>
      </c>
      <c r="L29" s="21">
        <f>lc_detailed!BJ29/$S$2</f>
        <v/>
      </c>
      <c r="M29" s="21">
        <f>lc_detailed!BH29</f>
        <v/>
      </c>
      <c r="N29" s="21">
        <f>lc_detailed!AS29</f>
        <v/>
      </c>
      <c r="O29" s="21">
        <f>N29/$S$2</f>
        <v/>
      </c>
      <c r="P29" s="21">
        <f>SUM(B29:L29)</f>
        <v/>
      </c>
    </row>
    <row r="30">
      <c r="A30">
        <f>lc_detailed!AQ30</f>
        <v/>
      </c>
      <c r="B30" s="21">
        <f>lc_detailed!AY30/$S$2</f>
        <v/>
      </c>
      <c r="C30" s="21">
        <f>lc_detailed!AZ30/$S$2</f>
        <v/>
      </c>
      <c r="D30" s="21">
        <f>lc_detailed!BA30/$S$2</f>
        <v/>
      </c>
      <c r="E30" s="21">
        <f>lc_detailed!BB30/$S$2</f>
        <v/>
      </c>
      <c r="F30" s="21">
        <f>lc_detailed!BC30/$S$2</f>
        <v/>
      </c>
      <c r="G30" s="21">
        <f>lc_detailed!BD30/$S$2</f>
        <v/>
      </c>
      <c r="H30" s="21">
        <f>lc_detailed!BE30/$S$2</f>
        <v/>
      </c>
      <c r="I30" s="21">
        <f>lc_detailed!BF30/$S$2</f>
        <v/>
      </c>
      <c r="J30" s="21">
        <f>lc_detailed!BG30/$S$2</f>
        <v/>
      </c>
      <c r="K30" s="21">
        <f>lc_detailed!BI30/$S$2</f>
        <v/>
      </c>
      <c r="L30" s="21">
        <f>lc_detailed!BJ30/$S$2</f>
        <v/>
      </c>
      <c r="M30" s="21">
        <f>lc_detailed!BH30</f>
        <v/>
      </c>
      <c r="N30" s="21">
        <f>lc_detailed!AS30</f>
        <v/>
      </c>
      <c r="O30" s="21">
        <f>N30/$S$2</f>
        <v/>
      </c>
      <c r="P30" s="21">
        <f>SUM(B30:L30)</f>
        <v/>
      </c>
    </row>
    <row r="31">
      <c r="A31">
        <f>lc_detailed!AQ31</f>
        <v/>
      </c>
      <c r="B31" s="21">
        <f>lc_detailed!AY31/$S$2</f>
        <v/>
      </c>
      <c r="C31" s="21">
        <f>lc_detailed!AZ31/$S$2</f>
        <v/>
      </c>
      <c r="D31" s="21">
        <f>lc_detailed!BA31/$S$2</f>
        <v/>
      </c>
      <c r="E31" s="21">
        <f>lc_detailed!BB31/$S$2</f>
        <v/>
      </c>
      <c r="F31" s="21">
        <f>lc_detailed!BC31/$S$2</f>
        <v/>
      </c>
      <c r="G31" s="21">
        <f>lc_detailed!BD31/$S$2</f>
        <v/>
      </c>
      <c r="H31" s="21">
        <f>lc_detailed!BE31/$S$2</f>
        <v/>
      </c>
      <c r="I31" s="21">
        <f>lc_detailed!BF31/$S$2</f>
        <v/>
      </c>
      <c r="J31" s="21">
        <f>lc_detailed!BG31/$S$2</f>
        <v/>
      </c>
      <c r="K31" s="21">
        <f>lc_detailed!BI31/$S$2</f>
        <v/>
      </c>
      <c r="L31" s="21">
        <f>lc_detailed!BJ31/$S$2</f>
        <v/>
      </c>
      <c r="M31" s="21">
        <f>lc_detailed!BH31</f>
        <v/>
      </c>
      <c r="N31" s="21">
        <f>lc_detailed!AS31</f>
        <v/>
      </c>
      <c r="O31" s="21">
        <f>N31/$S$2</f>
        <v/>
      </c>
      <c r="P31" s="21">
        <f>SUM(B31:L31)</f>
        <v/>
      </c>
    </row>
    <row r="32">
      <c r="A32">
        <f>lc_detailed!AQ32</f>
        <v/>
      </c>
      <c r="B32" s="21">
        <f>lc_detailed!AY32/$S$2</f>
        <v/>
      </c>
      <c r="C32" s="21">
        <f>lc_detailed!AZ32/$S$2</f>
        <v/>
      </c>
      <c r="D32" s="21">
        <f>lc_detailed!BA32/$S$2</f>
        <v/>
      </c>
      <c r="E32" s="21">
        <f>lc_detailed!BB32/$S$2</f>
        <v/>
      </c>
      <c r="F32" s="21">
        <f>lc_detailed!BC32/$S$2</f>
        <v/>
      </c>
      <c r="G32" s="21">
        <f>lc_detailed!BD32/$S$2</f>
        <v/>
      </c>
      <c r="H32" s="21">
        <f>lc_detailed!BE32/$S$2</f>
        <v/>
      </c>
      <c r="I32" s="21">
        <f>lc_detailed!BF32/$S$2</f>
        <v/>
      </c>
      <c r="J32" s="21">
        <f>lc_detailed!BG32/$S$2</f>
        <v/>
      </c>
      <c r="K32" s="21">
        <f>lc_detailed!BI32/$S$2</f>
        <v/>
      </c>
      <c r="L32" s="21">
        <f>lc_detailed!BJ32/$S$2</f>
        <v/>
      </c>
      <c r="M32" s="21">
        <f>lc_detailed!BH32</f>
        <v/>
      </c>
      <c r="N32" s="21">
        <f>lc_detailed!AS32</f>
        <v/>
      </c>
      <c r="O32" s="21">
        <f>N32/$S$2</f>
        <v/>
      </c>
      <c r="P32" s="21">
        <f>SUM(B32:L32)</f>
        <v/>
      </c>
    </row>
    <row r="33">
      <c r="A33">
        <f>lc_detailed!AQ33</f>
        <v/>
      </c>
      <c r="B33" s="21">
        <f>lc_detailed!AY33/$S$2</f>
        <v/>
      </c>
      <c r="C33" s="21">
        <f>lc_detailed!AZ33/$S$2</f>
        <v/>
      </c>
      <c r="D33" s="21">
        <f>lc_detailed!BA33/$S$2</f>
        <v/>
      </c>
      <c r="E33" s="21">
        <f>lc_detailed!BB33/$S$2</f>
        <v/>
      </c>
      <c r="F33" s="21">
        <f>lc_detailed!BC33/$S$2</f>
        <v/>
      </c>
      <c r="G33" s="21">
        <f>lc_detailed!BD33/$S$2</f>
        <v/>
      </c>
      <c r="H33" s="21">
        <f>lc_detailed!BE33/$S$2</f>
        <v/>
      </c>
      <c r="I33" s="21">
        <f>lc_detailed!BF33/$S$2</f>
        <v/>
      </c>
      <c r="J33" s="21">
        <f>lc_detailed!BG33/$S$2</f>
        <v/>
      </c>
      <c r="K33" s="21">
        <f>lc_detailed!BI33/$S$2</f>
        <v/>
      </c>
      <c r="L33" s="21">
        <f>lc_detailed!BJ33/$S$2</f>
        <v/>
      </c>
      <c r="M33" s="21">
        <f>lc_detailed!BH33</f>
        <v/>
      </c>
      <c r="N33" s="21">
        <f>lc_detailed!AS33</f>
        <v/>
      </c>
      <c r="O33" s="21">
        <f>N33/$S$2</f>
        <v/>
      </c>
      <c r="P33" s="21">
        <f>SUM(B33:L33)</f>
        <v/>
      </c>
    </row>
    <row r="34">
      <c r="A34">
        <f>lc_detailed!AQ34</f>
        <v/>
      </c>
      <c r="B34" s="21">
        <f>lc_detailed!AY34/$S$2</f>
        <v/>
      </c>
      <c r="C34" s="21">
        <f>lc_detailed!AZ34/$S$2</f>
        <v/>
      </c>
      <c r="D34" s="21">
        <f>lc_detailed!BA34/$S$2</f>
        <v/>
      </c>
      <c r="E34" s="21">
        <f>lc_detailed!BB34/$S$2</f>
        <v/>
      </c>
      <c r="F34" s="21">
        <f>lc_detailed!BC34/$S$2</f>
        <v/>
      </c>
      <c r="G34" s="21">
        <f>lc_detailed!BD34/$S$2</f>
        <v/>
      </c>
      <c r="H34" s="21">
        <f>lc_detailed!BE34/$S$2</f>
        <v/>
      </c>
      <c r="I34" s="21">
        <f>lc_detailed!BF34/$S$2</f>
        <v/>
      </c>
      <c r="J34" s="21">
        <f>lc_detailed!BG34/$S$2</f>
        <v/>
      </c>
      <c r="K34" s="21">
        <f>lc_detailed!BI34/$S$2</f>
        <v/>
      </c>
      <c r="L34" s="21">
        <f>lc_detailed!BJ34/$S$2</f>
        <v/>
      </c>
      <c r="M34" s="21">
        <f>lc_detailed!BH34</f>
        <v/>
      </c>
      <c r="N34" s="21">
        <f>lc_detailed!AS34</f>
        <v/>
      </c>
      <c r="O34" s="21">
        <f>N34/$S$2</f>
        <v/>
      </c>
      <c r="P34" s="21">
        <f>SUM(B34:L34)</f>
        <v/>
      </c>
    </row>
    <row r="35">
      <c r="A35">
        <f>lc_detailed!AQ35</f>
        <v/>
      </c>
      <c r="B35" s="21">
        <f>lc_detailed!AY35/$S$2</f>
        <v/>
      </c>
      <c r="C35" s="21">
        <f>lc_detailed!AZ35/$S$2</f>
        <v/>
      </c>
      <c r="D35" s="21">
        <f>lc_detailed!BA35/$S$2</f>
        <v/>
      </c>
      <c r="E35" s="21">
        <f>lc_detailed!BB35/$S$2</f>
        <v/>
      </c>
      <c r="F35" s="21">
        <f>lc_detailed!BC35/$S$2</f>
        <v/>
      </c>
      <c r="G35" s="21">
        <f>lc_detailed!BD35/$S$2</f>
        <v/>
      </c>
      <c r="H35" s="21">
        <f>lc_detailed!BE35/$S$2</f>
        <v/>
      </c>
      <c r="I35" s="21">
        <f>lc_detailed!BF35/$S$2</f>
        <v/>
      </c>
      <c r="J35" s="21">
        <f>lc_detailed!BG35/$S$2</f>
        <v/>
      </c>
      <c r="K35" s="21">
        <f>lc_detailed!BI35/$S$2</f>
        <v/>
      </c>
      <c r="L35" s="21">
        <f>lc_detailed!BJ35/$S$2</f>
        <v/>
      </c>
      <c r="M35" s="21">
        <f>lc_detailed!BH35</f>
        <v/>
      </c>
      <c r="N35" s="21">
        <f>lc_detailed!AS35</f>
        <v/>
      </c>
      <c r="O35" s="21">
        <f>N35/$S$2</f>
        <v/>
      </c>
      <c r="P35" s="21">
        <f>SUM(B35:L35)</f>
        <v/>
      </c>
    </row>
    <row r="36">
      <c r="A36">
        <f>lc_detailed!AQ36</f>
        <v/>
      </c>
      <c r="B36" s="21">
        <f>lc_detailed!AY36/$S$2</f>
        <v/>
      </c>
      <c r="C36" s="21">
        <f>lc_detailed!AZ36/$S$2</f>
        <v/>
      </c>
      <c r="D36" s="21">
        <f>lc_detailed!BA36/$S$2</f>
        <v/>
      </c>
      <c r="E36" s="21">
        <f>lc_detailed!BB36/$S$2</f>
        <v/>
      </c>
      <c r="F36" s="21">
        <f>lc_detailed!BC36/$S$2</f>
        <v/>
      </c>
      <c r="G36" s="21">
        <f>lc_detailed!BD36/$S$2</f>
        <v/>
      </c>
      <c r="H36" s="21">
        <f>lc_detailed!BE36/$S$2</f>
        <v/>
      </c>
      <c r="I36" s="21">
        <f>lc_detailed!BF36/$S$2</f>
        <v/>
      </c>
      <c r="J36" s="21">
        <f>lc_detailed!BG36/$S$2</f>
        <v/>
      </c>
      <c r="K36" s="21">
        <f>lc_detailed!BI36/$S$2</f>
        <v/>
      </c>
      <c r="L36" s="21">
        <f>lc_detailed!BJ36/$S$2</f>
        <v/>
      </c>
      <c r="M36" s="21">
        <f>lc_detailed!BH36</f>
        <v/>
      </c>
      <c r="N36" s="21">
        <f>lc_detailed!AS36</f>
        <v/>
      </c>
      <c r="O36" s="21">
        <f>N36/$S$2</f>
        <v/>
      </c>
      <c r="P36" s="21">
        <f>SUM(B36:L36)</f>
        <v/>
      </c>
    </row>
    <row r="37">
      <c r="A37">
        <f>lc_detailed!AQ37</f>
        <v/>
      </c>
      <c r="B37" s="21">
        <f>lc_detailed!AY37/$S$2</f>
        <v/>
      </c>
      <c r="C37" s="21">
        <f>lc_detailed!AZ37/$S$2</f>
        <v/>
      </c>
      <c r="D37" s="21">
        <f>lc_detailed!BA37/$S$2</f>
        <v/>
      </c>
      <c r="E37" s="21">
        <f>lc_detailed!BB37/$S$2</f>
        <v/>
      </c>
      <c r="F37" s="21">
        <f>lc_detailed!BC37/$S$2</f>
        <v/>
      </c>
      <c r="G37" s="21">
        <f>lc_detailed!BD37/$S$2</f>
        <v/>
      </c>
      <c r="H37" s="21">
        <f>lc_detailed!BE37/$S$2</f>
        <v/>
      </c>
      <c r="I37" s="21">
        <f>lc_detailed!BF37/$S$2</f>
        <v/>
      </c>
      <c r="J37" s="21">
        <f>lc_detailed!BG37/$S$2</f>
        <v/>
      </c>
      <c r="K37" s="21">
        <f>lc_detailed!BI37/$S$2</f>
        <v/>
      </c>
      <c r="L37" s="21">
        <f>lc_detailed!BJ37/$S$2</f>
        <v/>
      </c>
      <c r="M37" s="21">
        <f>lc_detailed!BH37</f>
        <v/>
      </c>
      <c r="N37" s="21">
        <f>lc_detailed!AS37</f>
        <v/>
      </c>
      <c r="O37" s="21">
        <f>N37/$S$2</f>
        <v/>
      </c>
      <c r="P37" s="21">
        <f>SUM(B37:L37)</f>
        <v/>
      </c>
    </row>
    <row r="38">
      <c r="A38">
        <f>lc_detailed!AQ38</f>
        <v/>
      </c>
      <c r="B38" s="21">
        <f>lc_detailed!AY38/$S$2</f>
        <v/>
      </c>
      <c r="C38" s="21">
        <f>lc_detailed!AZ38/$S$2</f>
        <v/>
      </c>
      <c r="D38" s="21">
        <f>lc_detailed!BA38/$S$2</f>
        <v/>
      </c>
      <c r="E38" s="21">
        <f>lc_detailed!BB38/$S$2</f>
        <v/>
      </c>
      <c r="F38" s="21">
        <f>lc_detailed!BC38/$S$2</f>
        <v/>
      </c>
      <c r="G38" s="21">
        <f>lc_detailed!BD38/$S$2</f>
        <v/>
      </c>
      <c r="H38" s="21">
        <f>lc_detailed!BE38/$S$2</f>
        <v/>
      </c>
      <c r="I38" s="21">
        <f>lc_detailed!BF38/$S$2</f>
        <v/>
      </c>
      <c r="J38" s="21">
        <f>lc_detailed!BG38/$S$2</f>
        <v/>
      </c>
      <c r="K38" s="21">
        <f>lc_detailed!BI38/$S$2</f>
        <v/>
      </c>
      <c r="L38" s="21">
        <f>lc_detailed!BJ38/$S$2</f>
        <v/>
      </c>
      <c r="M38" s="21">
        <f>lc_detailed!BH38</f>
        <v/>
      </c>
      <c r="N38" s="21">
        <f>lc_detailed!AS38</f>
        <v/>
      </c>
      <c r="O38" s="21">
        <f>N38/$S$2</f>
        <v/>
      </c>
      <c r="P38" s="21">
        <f>SUM(B38:L38)</f>
        <v/>
      </c>
    </row>
    <row r="39">
      <c r="A39">
        <f>lc_detailed!AQ39</f>
        <v/>
      </c>
      <c r="B39" s="21">
        <f>lc_detailed!AY39/$S$2</f>
        <v/>
      </c>
      <c r="C39" s="21">
        <f>lc_detailed!AZ39/$S$2</f>
        <v/>
      </c>
      <c r="D39" s="21">
        <f>lc_detailed!BA39/$S$2</f>
        <v/>
      </c>
      <c r="E39" s="21">
        <f>lc_detailed!BB39/$S$2</f>
        <v/>
      </c>
      <c r="F39" s="21">
        <f>lc_detailed!BC39/$S$2</f>
        <v/>
      </c>
      <c r="G39" s="21">
        <f>lc_detailed!BD39/$S$2</f>
        <v/>
      </c>
      <c r="H39" s="21">
        <f>lc_detailed!BE39/$S$2</f>
        <v/>
      </c>
      <c r="I39" s="21">
        <f>lc_detailed!BF39/$S$2</f>
        <v/>
      </c>
      <c r="J39" s="21">
        <f>lc_detailed!BG39/$S$2</f>
        <v/>
      </c>
      <c r="K39" s="21">
        <f>lc_detailed!BI39/$S$2</f>
        <v/>
      </c>
      <c r="L39" s="21">
        <f>lc_detailed!BJ39/$S$2</f>
        <v/>
      </c>
      <c r="M39" s="21">
        <f>lc_detailed!BH39</f>
        <v/>
      </c>
      <c r="N39" s="21">
        <f>lc_detailed!AS39</f>
        <v/>
      </c>
      <c r="O39" s="21">
        <f>N39/$S$2</f>
        <v/>
      </c>
      <c r="P39" s="21">
        <f>SUM(B39:L39)</f>
        <v/>
      </c>
    </row>
    <row r="40">
      <c r="A40">
        <f>lc_detailed!AQ40</f>
        <v/>
      </c>
      <c r="B40" s="21">
        <f>lc_detailed!AY40/$S$2</f>
        <v/>
      </c>
      <c r="C40" s="21">
        <f>lc_detailed!AZ40/$S$2</f>
        <v/>
      </c>
      <c r="D40" s="21">
        <f>lc_detailed!BA40/$S$2</f>
        <v/>
      </c>
      <c r="E40" s="21">
        <f>lc_detailed!BB40/$S$2</f>
        <v/>
      </c>
      <c r="F40" s="21">
        <f>lc_detailed!BC40/$S$2</f>
        <v/>
      </c>
      <c r="G40" s="21">
        <f>lc_detailed!BD40/$S$2</f>
        <v/>
      </c>
      <c r="H40" s="21">
        <f>lc_detailed!BE40/$S$2</f>
        <v/>
      </c>
      <c r="I40" s="21">
        <f>lc_detailed!BF40/$S$2</f>
        <v/>
      </c>
      <c r="J40" s="21">
        <f>lc_detailed!BG40/$S$2</f>
        <v/>
      </c>
      <c r="K40" s="21">
        <f>lc_detailed!BI40/$S$2</f>
        <v/>
      </c>
      <c r="L40" s="21">
        <f>lc_detailed!BJ40/$S$2</f>
        <v/>
      </c>
      <c r="M40" s="21">
        <f>lc_detailed!BH40</f>
        <v/>
      </c>
      <c r="N40" s="21">
        <f>lc_detailed!AS40</f>
        <v/>
      </c>
      <c r="O40" s="21">
        <f>N40/$S$2</f>
        <v/>
      </c>
      <c r="P40" s="21">
        <f>SUM(B40:L40)</f>
        <v/>
      </c>
    </row>
    <row r="41">
      <c r="A41">
        <f>lc_detailed!AQ41</f>
        <v/>
      </c>
      <c r="B41" s="21">
        <f>lc_detailed!AY41/$S$2</f>
        <v/>
      </c>
      <c r="C41" s="21">
        <f>lc_detailed!AZ41/$S$2</f>
        <v/>
      </c>
      <c r="D41" s="21">
        <f>lc_detailed!BA41/$S$2</f>
        <v/>
      </c>
      <c r="E41" s="21">
        <f>lc_detailed!BB41/$S$2</f>
        <v/>
      </c>
      <c r="F41" s="21">
        <f>lc_detailed!BC41/$S$2</f>
        <v/>
      </c>
      <c r="G41" s="21">
        <f>lc_detailed!BD41/$S$2</f>
        <v/>
      </c>
      <c r="H41" s="21">
        <f>lc_detailed!BE41/$S$2</f>
        <v/>
      </c>
      <c r="I41" s="21">
        <f>lc_detailed!BF41/$S$2</f>
        <v/>
      </c>
      <c r="J41" s="21">
        <f>lc_detailed!BG41/$S$2</f>
        <v/>
      </c>
      <c r="K41" s="21">
        <f>lc_detailed!BI41/$S$2</f>
        <v/>
      </c>
      <c r="L41" s="21">
        <f>lc_detailed!BJ41/$S$2</f>
        <v/>
      </c>
      <c r="M41" s="21">
        <f>lc_detailed!BH41</f>
        <v/>
      </c>
      <c r="N41" s="21">
        <f>lc_detailed!AS41</f>
        <v/>
      </c>
      <c r="O41" s="21">
        <f>N41/$S$2</f>
        <v/>
      </c>
      <c r="P41" s="21">
        <f>SUM(B41:L41)</f>
        <v/>
      </c>
    </row>
    <row r="42">
      <c r="A42">
        <f>lc_detailed!AQ42</f>
        <v/>
      </c>
      <c r="B42" s="21">
        <f>lc_detailed!AY42/$S$2</f>
        <v/>
      </c>
      <c r="C42" s="21">
        <f>lc_detailed!AZ42/$S$2</f>
        <v/>
      </c>
      <c r="D42" s="21">
        <f>lc_detailed!BA42/$S$2</f>
        <v/>
      </c>
      <c r="E42" s="21">
        <f>lc_detailed!BB42/$S$2</f>
        <v/>
      </c>
      <c r="F42" s="21">
        <f>lc_detailed!BC42/$S$2</f>
        <v/>
      </c>
      <c r="G42" s="21">
        <f>lc_detailed!BD42/$S$2</f>
        <v/>
      </c>
      <c r="H42" s="21">
        <f>lc_detailed!BE42/$S$2</f>
        <v/>
      </c>
      <c r="I42" s="21">
        <f>lc_detailed!BF42/$S$2</f>
        <v/>
      </c>
      <c r="J42" s="21">
        <f>lc_detailed!BG42/$S$2</f>
        <v/>
      </c>
      <c r="K42" s="21">
        <f>lc_detailed!BI42/$S$2</f>
        <v/>
      </c>
      <c r="L42" s="21">
        <f>lc_detailed!BJ42/$S$2</f>
        <v/>
      </c>
      <c r="M42" s="21">
        <f>lc_detailed!BH42</f>
        <v/>
      </c>
      <c r="N42" s="21">
        <f>lc_detailed!AS42</f>
        <v/>
      </c>
      <c r="O42" s="21">
        <f>N42/$S$2</f>
        <v/>
      </c>
      <c r="P42" s="21">
        <f>SUM(B42:L42)</f>
        <v/>
      </c>
    </row>
    <row r="43">
      <c r="A43">
        <f>lc_detailed!AQ43</f>
        <v/>
      </c>
      <c r="B43" s="21">
        <f>lc_detailed!AY43/$S$2</f>
        <v/>
      </c>
      <c r="C43" s="21">
        <f>lc_detailed!AZ43/$S$2</f>
        <v/>
      </c>
      <c r="D43" s="21">
        <f>lc_detailed!BA43/$S$2</f>
        <v/>
      </c>
      <c r="E43" s="21">
        <f>lc_detailed!BB43/$S$2</f>
        <v/>
      </c>
      <c r="F43" s="21">
        <f>lc_detailed!BC43/$S$2</f>
        <v/>
      </c>
      <c r="G43" s="21">
        <f>lc_detailed!BD43/$S$2</f>
        <v/>
      </c>
      <c r="H43" s="21">
        <f>lc_detailed!BE43/$S$2</f>
        <v/>
      </c>
      <c r="I43" s="21">
        <f>lc_detailed!BF43/$S$2</f>
        <v/>
      </c>
      <c r="J43" s="21">
        <f>lc_detailed!BG43/$S$2</f>
        <v/>
      </c>
      <c r="K43" s="21">
        <f>lc_detailed!BI43/$S$2</f>
        <v/>
      </c>
      <c r="L43" s="21">
        <f>lc_detailed!BJ43/$S$2</f>
        <v/>
      </c>
      <c r="M43" s="21">
        <f>lc_detailed!BH43</f>
        <v/>
      </c>
      <c r="N43" s="21">
        <f>lc_detailed!AS43</f>
        <v/>
      </c>
      <c r="O43" s="21">
        <f>N43/$S$2</f>
        <v/>
      </c>
      <c r="P43" s="21">
        <f>SUM(B43:L43)</f>
        <v/>
      </c>
    </row>
    <row r="44">
      <c r="A44">
        <f>lc_detailed!AQ44</f>
        <v/>
      </c>
      <c r="B44" s="21">
        <f>lc_detailed!AY44/$S$2</f>
        <v/>
      </c>
      <c r="C44" s="21">
        <f>lc_detailed!AZ44/$S$2</f>
        <v/>
      </c>
      <c r="D44" s="21">
        <f>lc_detailed!BA44/$S$2</f>
        <v/>
      </c>
      <c r="E44" s="21">
        <f>lc_detailed!BB44/$S$2</f>
        <v/>
      </c>
      <c r="F44" s="21">
        <f>lc_detailed!BC44/$S$2</f>
        <v/>
      </c>
      <c r="G44" s="21">
        <f>lc_detailed!BD44/$S$2</f>
        <v/>
      </c>
      <c r="H44" s="21">
        <f>lc_detailed!BE44/$S$2</f>
        <v/>
      </c>
      <c r="I44" s="21">
        <f>lc_detailed!BF44/$S$2</f>
        <v/>
      </c>
      <c r="J44" s="21">
        <f>lc_detailed!BG44/$S$2</f>
        <v/>
      </c>
      <c r="K44" s="21">
        <f>lc_detailed!BI44/$S$2</f>
        <v/>
      </c>
      <c r="L44" s="21">
        <f>lc_detailed!BJ44/$S$2</f>
        <v/>
      </c>
      <c r="M44" s="21">
        <f>lc_detailed!BH44</f>
        <v/>
      </c>
      <c r="N44" s="21">
        <f>lc_detailed!AS44</f>
        <v/>
      </c>
      <c r="O44" s="21">
        <f>N44/$S$2</f>
        <v/>
      </c>
      <c r="P44" s="21">
        <f>SUM(B44:L44)</f>
        <v/>
      </c>
    </row>
    <row r="45">
      <c r="A45">
        <f>lc_detailed!AQ45</f>
        <v/>
      </c>
      <c r="B45" s="21">
        <f>lc_detailed!AY45/$S$2</f>
        <v/>
      </c>
      <c r="C45" s="21">
        <f>lc_detailed!AZ45/$S$2</f>
        <v/>
      </c>
      <c r="D45" s="21">
        <f>lc_detailed!BA45/$S$2</f>
        <v/>
      </c>
      <c r="E45" s="21">
        <f>lc_detailed!BB45/$S$2</f>
        <v/>
      </c>
      <c r="F45" s="21">
        <f>lc_detailed!BC45/$S$2</f>
        <v/>
      </c>
      <c r="G45" s="21">
        <f>lc_detailed!BD45/$S$2</f>
        <v/>
      </c>
      <c r="H45" s="21">
        <f>lc_detailed!BE45/$S$2</f>
        <v/>
      </c>
      <c r="I45" s="21">
        <f>lc_detailed!BF45/$S$2</f>
        <v/>
      </c>
      <c r="J45" s="21">
        <f>lc_detailed!BG45/$S$2</f>
        <v/>
      </c>
      <c r="K45" s="21">
        <f>lc_detailed!BI45/$S$2</f>
        <v/>
      </c>
      <c r="L45" s="21">
        <f>lc_detailed!BJ45/$S$2</f>
        <v/>
      </c>
      <c r="M45" s="21">
        <f>lc_detailed!BH45</f>
        <v/>
      </c>
      <c r="N45" s="21">
        <f>lc_detailed!AS45</f>
        <v/>
      </c>
      <c r="O45" s="21">
        <f>N45/$S$2</f>
        <v/>
      </c>
      <c r="P45" s="21">
        <f>SUM(B45:L45)</f>
        <v/>
      </c>
    </row>
    <row r="46">
      <c r="A46">
        <f>lc_detailed!AQ46</f>
        <v/>
      </c>
      <c r="B46" s="21">
        <f>lc_detailed!AY46/$S$2</f>
        <v/>
      </c>
      <c r="C46" s="21">
        <f>lc_detailed!AZ46/$S$2</f>
        <v/>
      </c>
      <c r="D46" s="21">
        <f>lc_detailed!BA46/$S$2</f>
        <v/>
      </c>
      <c r="E46" s="21">
        <f>lc_detailed!BB46/$S$2</f>
        <v/>
      </c>
      <c r="F46" s="21">
        <f>lc_detailed!BC46/$S$2</f>
        <v/>
      </c>
      <c r="G46" s="21">
        <f>lc_detailed!BD46/$S$2</f>
        <v/>
      </c>
      <c r="H46" s="21">
        <f>lc_detailed!BE46/$S$2</f>
        <v/>
      </c>
      <c r="I46" s="21">
        <f>lc_detailed!BF46/$S$2</f>
        <v/>
      </c>
      <c r="J46" s="21">
        <f>lc_detailed!BG46/$S$2</f>
        <v/>
      </c>
      <c r="K46" s="21">
        <f>lc_detailed!BI46/$S$2</f>
        <v/>
      </c>
      <c r="L46" s="21">
        <f>lc_detailed!BJ46/$S$2</f>
        <v/>
      </c>
      <c r="M46" s="21">
        <f>lc_detailed!BH46</f>
        <v/>
      </c>
      <c r="N46" s="21">
        <f>lc_detailed!AS46</f>
        <v/>
      </c>
      <c r="O46" s="21">
        <f>N46/$S$2</f>
        <v/>
      </c>
      <c r="P46" s="21">
        <f>SUM(B46:L46)</f>
        <v/>
      </c>
    </row>
    <row r="47">
      <c r="A47">
        <f>lc_detailed!AQ47</f>
        <v/>
      </c>
      <c r="B47" s="21">
        <f>lc_detailed!AY47/$S$2</f>
        <v/>
      </c>
      <c r="C47" s="21">
        <f>lc_detailed!AZ47/$S$2</f>
        <v/>
      </c>
      <c r="D47" s="21">
        <f>lc_detailed!BA47/$S$2</f>
        <v/>
      </c>
      <c r="E47" s="21">
        <f>lc_detailed!BB47/$S$2</f>
        <v/>
      </c>
      <c r="F47" s="21">
        <f>lc_detailed!BC47/$S$2</f>
        <v/>
      </c>
      <c r="G47" s="21">
        <f>lc_detailed!BD47/$S$2</f>
        <v/>
      </c>
      <c r="H47" s="21">
        <f>lc_detailed!BE47/$S$2</f>
        <v/>
      </c>
      <c r="I47" s="21">
        <f>lc_detailed!BF47/$S$2</f>
        <v/>
      </c>
      <c r="J47" s="21">
        <f>lc_detailed!BG47/$S$2</f>
        <v/>
      </c>
      <c r="K47" s="21">
        <f>lc_detailed!BI47/$S$2</f>
        <v/>
      </c>
      <c r="L47" s="21">
        <f>lc_detailed!BJ47/$S$2</f>
        <v/>
      </c>
      <c r="M47" s="21">
        <f>lc_detailed!BH47</f>
        <v/>
      </c>
      <c r="N47" s="21">
        <f>lc_detailed!AS47</f>
        <v/>
      </c>
      <c r="O47" s="21">
        <f>N47/$S$2</f>
        <v/>
      </c>
      <c r="P47" s="21">
        <f>SUM(B47:L47)</f>
        <v/>
      </c>
    </row>
    <row r="48">
      <c r="A48">
        <f>lc_detailed!AQ48</f>
        <v/>
      </c>
      <c r="B48" s="21">
        <f>lc_detailed!AY48/$S$2</f>
        <v/>
      </c>
      <c r="C48" s="21">
        <f>lc_detailed!AZ48/$S$2</f>
        <v/>
      </c>
      <c r="D48" s="21">
        <f>lc_detailed!BA48/$S$2</f>
        <v/>
      </c>
      <c r="E48" s="21">
        <f>lc_detailed!BB48/$S$2</f>
        <v/>
      </c>
      <c r="F48" s="21">
        <f>lc_detailed!BC48/$S$2</f>
        <v/>
      </c>
      <c r="G48" s="21">
        <f>lc_detailed!BD48/$S$2</f>
        <v/>
      </c>
      <c r="H48" s="21">
        <f>lc_detailed!BE48/$S$2</f>
        <v/>
      </c>
      <c r="I48" s="21">
        <f>lc_detailed!BF48/$S$2</f>
        <v/>
      </c>
      <c r="J48" s="21">
        <f>lc_detailed!BG48/$S$2</f>
        <v/>
      </c>
      <c r="K48" s="21">
        <f>lc_detailed!BI48/$S$2</f>
        <v/>
      </c>
      <c r="L48" s="21">
        <f>lc_detailed!BJ48/$S$2</f>
        <v/>
      </c>
      <c r="M48" s="21">
        <f>lc_detailed!BH48</f>
        <v/>
      </c>
      <c r="N48" s="21">
        <f>lc_detailed!AS48</f>
        <v/>
      </c>
      <c r="O48" s="21">
        <f>N48/$S$2</f>
        <v/>
      </c>
      <c r="P48" s="21">
        <f>SUM(B48:L48)</f>
        <v/>
      </c>
    </row>
    <row r="49">
      <c r="A49">
        <f>lc_detailed!AQ49</f>
        <v/>
      </c>
      <c r="B49" s="21">
        <f>lc_detailed!AY49/$S$2</f>
        <v/>
      </c>
      <c r="C49" s="21">
        <f>lc_detailed!AZ49/$S$2</f>
        <v/>
      </c>
      <c r="D49" s="21">
        <f>lc_detailed!BA49/$S$2</f>
        <v/>
      </c>
      <c r="E49" s="21">
        <f>lc_detailed!BB49/$S$2</f>
        <v/>
      </c>
      <c r="F49" s="21">
        <f>lc_detailed!BC49/$S$2</f>
        <v/>
      </c>
      <c r="G49" s="21">
        <f>lc_detailed!BD49/$S$2</f>
        <v/>
      </c>
      <c r="H49" s="21">
        <f>lc_detailed!BE49/$S$2</f>
        <v/>
      </c>
      <c r="I49" s="21">
        <f>lc_detailed!BF49/$S$2</f>
        <v/>
      </c>
      <c r="J49" s="21">
        <f>lc_detailed!BG49/$S$2</f>
        <v/>
      </c>
      <c r="K49" s="21">
        <f>lc_detailed!BI49/$S$2</f>
        <v/>
      </c>
      <c r="L49" s="21">
        <f>lc_detailed!BJ49/$S$2</f>
        <v/>
      </c>
      <c r="M49" s="21">
        <f>lc_detailed!BH49</f>
        <v/>
      </c>
      <c r="N49" s="21">
        <f>lc_detailed!AS49</f>
        <v/>
      </c>
      <c r="O49" s="21">
        <f>N49/$S$2</f>
        <v/>
      </c>
      <c r="P49" s="21">
        <f>SUM(B49:L49)</f>
        <v/>
      </c>
    </row>
    <row r="50">
      <c r="A50">
        <f>lc_detailed!AQ50</f>
        <v/>
      </c>
      <c r="B50" s="21">
        <f>lc_detailed!AY50/$S$2</f>
        <v/>
      </c>
      <c r="C50" s="21">
        <f>lc_detailed!AZ50/$S$2</f>
        <v/>
      </c>
      <c r="D50" s="21">
        <f>lc_detailed!BA50/$S$2</f>
        <v/>
      </c>
      <c r="E50" s="21">
        <f>lc_detailed!BB50/$S$2</f>
        <v/>
      </c>
      <c r="F50" s="21">
        <f>lc_detailed!BC50/$S$2</f>
        <v/>
      </c>
      <c r="G50" s="21">
        <f>lc_detailed!BD50/$S$2</f>
        <v/>
      </c>
      <c r="H50" s="21">
        <f>lc_detailed!BE50/$S$2</f>
        <v/>
      </c>
      <c r="I50" s="21">
        <f>lc_detailed!BF50/$S$2</f>
        <v/>
      </c>
      <c r="J50" s="21">
        <f>lc_detailed!BG50/$S$2</f>
        <v/>
      </c>
      <c r="K50" s="21">
        <f>lc_detailed!BI50/$S$2</f>
        <v/>
      </c>
      <c r="L50" s="21">
        <f>lc_detailed!BJ50/$S$2</f>
        <v/>
      </c>
      <c r="M50" s="21">
        <f>lc_detailed!BH50</f>
        <v/>
      </c>
      <c r="N50" s="21">
        <f>lc_detailed!AS50</f>
        <v/>
      </c>
      <c r="O50" s="21">
        <f>N50/$S$2</f>
        <v/>
      </c>
      <c r="P50" s="21">
        <f>SUM(B50:L50)</f>
        <v/>
      </c>
    </row>
    <row r="51">
      <c r="A51">
        <f>lc_detailed!AQ51</f>
        <v/>
      </c>
      <c r="B51" s="21">
        <f>lc_detailed!AY51/$S$2</f>
        <v/>
      </c>
      <c r="C51" s="21">
        <f>lc_detailed!AZ51/$S$2</f>
        <v/>
      </c>
      <c r="D51" s="21">
        <f>lc_detailed!BA51/$S$2</f>
        <v/>
      </c>
      <c r="E51" s="21">
        <f>lc_detailed!BB51/$S$2</f>
        <v/>
      </c>
      <c r="F51" s="21">
        <f>lc_detailed!BC51/$S$2</f>
        <v/>
      </c>
      <c r="G51" s="21">
        <f>lc_detailed!BD51/$S$2</f>
        <v/>
      </c>
      <c r="H51" s="21">
        <f>lc_detailed!BE51/$S$2</f>
        <v/>
      </c>
      <c r="I51" s="21">
        <f>lc_detailed!BF51/$S$2</f>
        <v/>
      </c>
      <c r="J51" s="21">
        <f>lc_detailed!BG51/$S$2</f>
        <v/>
      </c>
      <c r="K51" s="21">
        <f>lc_detailed!BI51/$S$2</f>
        <v/>
      </c>
      <c r="L51" s="21">
        <f>lc_detailed!BJ51/$S$2</f>
        <v/>
      </c>
      <c r="M51" s="21">
        <f>lc_detailed!BH51</f>
        <v/>
      </c>
      <c r="N51" s="21">
        <f>lc_detailed!AS51</f>
        <v/>
      </c>
      <c r="O51" s="21">
        <f>N51/$S$2</f>
        <v/>
      </c>
      <c r="P51" s="21">
        <f>SUM(B51:L51)</f>
        <v/>
      </c>
    </row>
    <row r="52">
      <c r="A52">
        <f>lc_detailed!AQ52</f>
        <v/>
      </c>
      <c r="B52" s="21">
        <f>lc_detailed!AY52/$S$2</f>
        <v/>
      </c>
      <c r="C52" s="21">
        <f>lc_detailed!AZ52/$S$2</f>
        <v/>
      </c>
      <c r="D52" s="21">
        <f>lc_detailed!BA52/$S$2</f>
        <v/>
      </c>
      <c r="E52" s="21">
        <f>lc_detailed!BB52/$S$2</f>
        <v/>
      </c>
      <c r="F52" s="21">
        <f>lc_detailed!BC52/$S$2</f>
        <v/>
      </c>
      <c r="G52" s="21">
        <f>lc_detailed!BD52/$S$2</f>
        <v/>
      </c>
      <c r="H52" s="21">
        <f>lc_detailed!BE52/$S$2</f>
        <v/>
      </c>
      <c r="I52" s="21">
        <f>lc_detailed!BF52/$S$2</f>
        <v/>
      </c>
      <c r="J52" s="21">
        <f>lc_detailed!BG52/$S$2</f>
        <v/>
      </c>
      <c r="K52" s="21">
        <f>lc_detailed!BI52/$S$2</f>
        <v/>
      </c>
      <c r="L52" s="21">
        <f>lc_detailed!BJ52/$S$2</f>
        <v/>
      </c>
      <c r="M52" s="21">
        <f>lc_detailed!BH52</f>
        <v/>
      </c>
      <c r="N52" s="21">
        <f>lc_detailed!AS52</f>
        <v/>
      </c>
      <c r="O52" s="21">
        <f>N52/$S$2</f>
        <v/>
      </c>
      <c r="P52" s="21">
        <f>SUM(B52:L52)</f>
        <v/>
      </c>
    </row>
    <row r="53">
      <c r="A53">
        <f>lc_detailed!AQ53</f>
        <v/>
      </c>
      <c r="B53" s="21">
        <f>lc_detailed!AY53/$S$2</f>
        <v/>
      </c>
      <c r="C53" s="21">
        <f>lc_detailed!AZ53/$S$2</f>
        <v/>
      </c>
      <c r="D53" s="21">
        <f>lc_detailed!BA53/$S$2</f>
        <v/>
      </c>
      <c r="E53" s="21">
        <f>lc_detailed!BB53/$S$2</f>
        <v/>
      </c>
      <c r="F53" s="21">
        <f>lc_detailed!BC53/$S$2</f>
        <v/>
      </c>
      <c r="G53" s="21">
        <f>lc_detailed!BD53/$S$2</f>
        <v/>
      </c>
      <c r="H53" s="21">
        <f>lc_detailed!BE53/$S$2</f>
        <v/>
      </c>
      <c r="I53" s="21">
        <f>lc_detailed!BF53/$S$2</f>
        <v/>
      </c>
      <c r="J53" s="21">
        <f>lc_detailed!BG53/$S$2</f>
        <v/>
      </c>
      <c r="K53" s="21">
        <f>lc_detailed!BI53/$S$2</f>
        <v/>
      </c>
      <c r="L53" s="21">
        <f>lc_detailed!BJ53/$S$2</f>
        <v/>
      </c>
      <c r="M53" s="21">
        <f>lc_detailed!BH53</f>
        <v/>
      </c>
      <c r="N53" s="21">
        <f>lc_detailed!AS53</f>
        <v/>
      </c>
      <c r="O53" s="21">
        <f>N53/$S$2</f>
        <v/>
      </c>
      <c r="P53" s="21">
        <f>SUM(B53:L53)</f>
        <v/>
      </c>
    </row>
    <row r="54">
      <c r="A54">
        <f>lc_detailed!AQ54</f>
        <v/>
      </c>
      <c r="B54" s="21">
        <f>lc_detailed!AY54/$S$2</f>
        <v/>
      </c>
      <c r="C54" s="21">
        <f>lc_detailed!AZ54/$S$2</f>
        <v/>
      </c>
      <c r="D54" s="21">
        <f>lc_detailed!BA54/$S$2</f>
        <v/>
      </c>
      <c r="E54" s="21">
        <f>lc_detailed!BB54/$S$2</f>
        <v/>
      </c>
      <c r="F54" s="21">
        <f>lc_detailed!BC54/$S$2</f>
        <v/>
      </c>
      <c r="G54" s="21">
        <f>lc_detailed!BD54/$S$2</f>
        <v/>
      </c>
      <c r="H54" s="21">
        <f>lc_detailed!BE54/$S$2</f>
        <v/>
      </c>
      <c r="I54" s="21">
        <f>lc_detailed!BF54/$S$2</f>
        <v/>
      </c>
      <c r="J54" s="21">
        <f>lc_detailed!BG54/$S$2</f>
        <v/>
      </c>
      <c r="K54" s="21">
        <f>lc_detailed!BI54/$S$2</f>
        <v/>
      </c>
      <c r="L54" s="21">
        <f>lc_detailed!BJ54/$S$2</f>
        <v/>
      </c>
      <c r="M54" s="21">
        <f>lc_detailed!BH54</f>
        <v/>
      </c>
      <c r="N54" s="21">
        <f>lc_detailed!AS54</f>
        <v/>
      </c>
      <c r="O54" s="21">
        <f>N54/$S$2</f>
        <v/>
      </c>
      <c r="P54" s="21">
        <f>SUM(B54:L54)</f>
        <v/>
      </c>
    </row>
    <row r="55">
      <c r="A55">
        <f>lc_detailed!AQ55</f>
        <v/>
      </c>
      <c r="B55" s="21">
        <f>lc_detailed!AY55/$S$2</f>
        <v/>
      </c>
      <c r="C55" s="21">
        <f>lc_detailed!AZ55/$S$2</f>
        <v/>
      </c>
      <c r="D55" s="21">
        <f>lc_detailed!BA55/$S$2</f>
        <v/>
      </c>
      <c r="E55" s="21">
        <f>lc_detailed!BB55/$S$2</f>
        <v/>
      </c>
      <c r="F55" s="21">
        <f>lc_detailed!BC55/$S$2</f>
        <v/>
      </c>
      <c r="G55" s="21">
        <f>lc_detailed!BD55/$S$2</f>
        <v/>
      </c>
      <c r="H55" s="21">
        <f>lc_detailed!BE55/$S$2</f>
        <v/>
      </c>
      <c r="I55" s="21">
        <f>lc_detailed!BF55/$S$2</f>
        <v/>
      </c>
      <c r="J55" s="21">
        <f>lc_detailed!BG55/$S$2</f>
        <v/>
      </c>
      <c r="K55" s="21">
        <f>lc_detailed!BI55/$S$2</f>
        <v/>
      </c>
      <c r="L55" s="21">
        <f>lc_detailed!BJ55/$S$2</f>
        <v/>
      </c>
      <c r="M55" s="21">
        <f>lc_detailed!BH55</f>
        <v/>
      </c>
      <c r="N55" s="21">
        <f>lc_detailed!AS55</f>
        <v/>
      </c>
      <c r="O55" s="21">
        <f>N55/$S$2</f>
        <v/>
      </c>
      <c r="P55" s="21">
        <f>SUM(B55:L55)</f>
        <v/>
      </c>
    </row>
    <row r="56">
      <c r="A56">
        <f>lc_detailed!AQ56</f>
        <v/>
      </c>
      <c r="B56" s="21">
        <f>lc_detailed!AY56/$S$2</f>
        <v/>
      </c>
      <c r="C56" s="21">
        <f>lc_detailed!AZ56/$S$2</f>
        <v/>
      </c>
      <c r="D56" s="21">
        <f>lc_detailed!BA56/$S$2</f>
        <v/>
      </c>
      <c r="E56" s="21">
        <f>lc_detailed!BB56/$S$2</f>
        <v/>
      </c>
      <c r="F56" s="21">
        <f>lc_detailed!BC56/$S$2</f>
        <v/>
      </c>
      <c r="G56" s="21">
        <f>lc_detailed!BD56/$S$2</f>
        <v/>
      </c>
      <c r="H56" s="21">
        <f>lc_detailed!BE56/$S$2</f>
        <v/>
      </c>
      <c r="I56" s="21">
        <f>lc_detailed!BF56/$S$2</f>
        <v/>
      </c>
      <c r="J56" s="21">
        <f>lc_detailed!BG56/$S$2</f>
        <v/>
      </c>
      <c r="K56" s="21">
        <f>lc_detailed!BI56/$S$2</f>
        <v/>
      </c>
      <c r="L56" s="21">
        <f>lc_detailed!BJ56/$S$2</f>
        <v/>
      </c>
      <c r="M56" s="21">
        <f>lc_detailed!BH56</f>
        <v/>
      </c>
      <c r="N56" s="21">
        <f>lc_detailed!AS56</f>
        <v/>
      </c>
      <c r="O56" s="21">
        <f>N56/$S$2</f>
        <v/>
      </c>
      <c r="P56" s="21">
        <f>SUM(B56:L56)</f>
        <v/>
      </c>
    </row>
    <row r="57">
      <c r="A57">
        <f>lc_detailed!AQ57</f>
        <v/>
      </c>
      <c r="B57" s="21">
        <f>lc_detailed!AY57/$S$2</f>
        <v/>
      </c>
      <c r="C57" s="21">
        <f>lc_detailed!AZ57/$S$2</f>
        <v/>
      </c>
      <c r="D57" s="21">
        <f>lc_detailed!BA57/$S$2</f>
        <v/>
      </c>
      <c r="E57" s="21">
        <f>lc_detailed!BB57/$S$2</f>
        <v/>
      </c>
      <c r="F57" s="21">
        <f>lc_detailed!BC57/$S$2</f>
        <v/>
      </c>
      <c r="G57" s="21">
        <f>lc_detailed!BD57/$S$2</f>
        <v/>
      </c>
      <c r="H57" s="21">
        <f>lc_detailed!BE57/$S$2</f>
        <v/>
      </c>
      <c r="I57" s="21">
        <f>lc_detailed!BF57/$S$2</f>
        <v/>
      </c>
      <c r="J57" s="21">
        <f>lc_detailed!BG57/$S$2</f>
        <v/>
      </c>
      <c r="K57" s="21">
        <f>lc_detailed!BI57/$S$2</f>
        <v/>
      </c>
      <c r="L57" s="21">
        <f>lc_detailed!BJ57/$S$2</f>
        <v/>
      </c>
      <c r="M57" s="21">
        <f>lc_detailed!BH57</f>
        <v/>
      </c>
      <c r="N57" s="21">
        <f>lc_detailed!AS57</f>
        <v/>
      </c>
      <c r="O57" s="21">
        <f>N57/$S$2</f>
        <v/>
      </c>
      <c r="P57" s="21">
        <f>SUM(B57:L57)</f>
        <v/>
      </c>
    </row>
    <row r="58">
      <c r="A58">
        <f>lc_detailed!AQ58</f>
        <v/>
      </c>
      <c r="B58" s="21">
        <f>lc_detailed!AY58/$S$2</f>
        <v/>
      </c>
      <c r="C58" s="21">
        <f>lc_detailed!AZ58/$S$2</f>
        <v/>
      </c>
      <c r="D58" s="21">
        <f>lc_detailed!BA58/$S$2</f>
        <v/>
      </c>
      <c r="E58" s="21">
        <f>lc_detailed!BB58/$S$2</f>
        <v/>
      </c>
      <c r="F58" s="21">
        <f>lc_detailed!BC58/$S$2</f>
        <v/>
      </c>
      <c r="G58" s="21">
        <f>lc_detailed!BD58/$S$2</f>
        <v/>
      </c>
      <c r="H58" s="21">
        <f>lc_detailed!BE58/$S$2</f>
        <v/>
      </c>
      <c r="I58" s="21">
        <f>lc_detailed!BF58/$S$2</f>
        <v/>
      </c>
      <c r="J58" s="21">
        <f>lc_detailed!BG58/$S$2</f>
        <v/>
      </c>
      <c r="K58" s="21">
        <f>lc_detailed!BI58/$S$2</f>
        <v/>
      </c>
      <c r="L58" s="21">
        <f>lc_detailed!BJ58/$S$2</f>
        <v/>
      </c>
      <c r="M58" s="21">
        <f>lc_detailed!BH58</f>
        <v/>
      </c>
      <c r="N58" s="21">
        <f>lc_detailed!AS58</f>
        <v/>
      </c>
      <c r="O58" s="21">
        <f>N58/$S$2</f>
        <v/>
      </c>
      <c r="P58" s="21">
        <f>SUM(B58:L58)</f>
        <v/>
      </c>
    </row>
    <row r="59">
      <c r="A59">
        <f>lc_detailed!AQ59</f>
        <v/>
      </c>
      <c r="B59" s="21">
        <f>lc_detailed!AY59/$S$2</f>
        <v/>
      </c>
      <c r="C59" s="21">
        <f>lc_detailed!AZ59/$S$2</f>
        <v/>
      </c>
      <c r="D59" s="21">
        <f>lc_detailed!BA59/$S$2</f>
        <v/>
      </c>
      <c r="E59" s="21">
        <f>lc_detailed!BB59/$S$2</f>
        <v/>
      </c>
      <c r="F59" s="21">
        <f>lc_detailed!BC59/$S$2</f>
        <v/>
      </c>
      <c r="G59" s="21">
        <f>lc_detailed!BD59/$S$2</f>
        <v/>
      </c>
      <c r="H59" s="21">
        <f>lc_detailed!BE59/$S$2</f>
        <v/>
      </c>
      <c r="I59" s="21">
        <f>lc_detailed!BF59/$S$2</f>
        <v/>
      </c>
      <c r="J59" s="21">
        <f>lc_detailed!BG59/$S$2</f>
        <v/>
      </c>
      <c r="K59" s="21">
        <f>lc_detailed!BI59/$S$2</f>
        <v/>
      </c>
      <c r="L59" s="21">
        <f>lc_detailed!BJ59/$S$2</f>
        <v/>
      </c>
      <c r="M59" s="21">
        <f>lc_detailed!BH59</f>
        <v/>
      </c>
      <c r="N59" s="21">
        <f>lc_detailed!AS59</f>
        <v/>
      </c>
      <c r="O59" s="21">
        <f>N59/$S$2</f>
        <v/>
      </c>
      <c r="P59" s="21">
        <f>SUM(B59:L59)</f>
        <v/>
      </c>
    </row>
    <row r="60">
      <c r="A60">
        <f>lc_detailed!AQ60</f>
        <v/>
      </c>
      <c r="B60" s="21">
        <f>lc_detailed!AY60/$S$2</f>
        <v/>
      </c>
      <c r="C60" s="21">
        <f>lc_detailed!AZ60/$S$2</f>
        <v/>
      </c>
      <c r="D60" s="21">
        <f>lc_detailed!BA60/$S$2</f>
        <v/>
      </c>
      <c r="E60" s="21">
        <f>lc_detailed!BB60/$S$2</f>
        <v/>
      </c>
      <c r="F60" s="21">
        <f>lc_detailed!BC60/$S$2</f>
        <v/>
      </c>
      <c r="G60" s="21">
        <f>lc_detailed!BD60/$S$2</f>
        <v/>
      </c>
      <c r="H60" s="21">
        <f>lc_detailed!BE60/$S$2</f>
        <v/>
      </c>
      <c r="I60" s="21">
        <f>lc_detailed!BF60/$S$2</f>
        <v/>
      </c>
      <c r="J60" s="21">
        <f>lc_detailed!BG60/$S$2</f>
        <v/>
      </c>
      <c r="K60" s="21">
        <f>lc_detailed!BI60/$S$2</f>
        <v/>
      </c>
      <c r="L60" s="21">
        <f>lc_detailed!BJ60/$S$2</f>
        <v/>
      </c>
      <c r="M60" s="21">
        <f>lc_detailed!BH60</f>
        <v/>
      </c>
      <c r="N60" s="21">
        <f>lc_detailed!AS60</f>
        <v/>
      </c>
      <c r="O60" s="21">
        <f>N60/$S$2</f>
        <v/>
      </c>
      <c r="P60" s="21">
        <f>SUM(B60:L60)</f>
        <v/>
      </c>
    </row>
    <row r="61">
      <c r="A61">
        <f>lc_detailed!AQ61</f>
        <v/>
      </c>
      <c r="B61" s="21">
        <f>lc_detailed!AY61/$S$2</f>
        <v/>
      </c>
      <c r="C61" s="21">
        <f>lc_detailed!AZ61/$S$2</f>
        <v/>
      </c>
      <c r="D61" s="21">
        <f>lc_detailed!BA61/$S$2</f>
        <v/>
      </c>
      <c r="E61" s="21">
        <f>lc_detailed!BB61/$S$2</f>
        <v/>
      </c>
      <c r="F61" s="21">
        <f>lc_detailed!BC61/$S$2</f>
        <v/>
      </c>
      <c r="G61" s="21">
        <f>lc_detailed!BD61/$S$2</f>
        <v/>
      </c>
      <c r="H61" s="21">
        <f>lc_detailed!BE61/$S$2</f>
        <v/>
      </c>
      <c r="I61" s="21">
        <f>lc_detailed!BF61/$S$2</f>
        <v/>
      </c>
      <c r="J61" s="21">
        <f>lc_detailed!BG61/$S$2</f>
        <v/>
      </c>
      <c r="K61" s="21">
        <f>lc_detailed!BI61/$S$2</f>
        <v/>
      </c>
      <c r="L61" s="21">
        <f>lc_detailed!BJ61/$S$2</f>
        <v/>
      </c>
      <c r="M61" s="21">
        <f>lc_detailed!BH61</f>
        <v/>
      </c>
      <c r="N61" s="21">
        <f>lc_detailed!AS61</f>
        <v/>
      </c>
      <c r="O61" s="21">
        <f>N61/$S$2</f>
        <v/>
      </c>
      <c r="P61" s="21">
        <f>SUM(B61:L61)</f>
        <v/>
      </c>
    </row>
    <row r="62">
      <c r="A62">
        <f>lc_detailed!AQ62</f>
        <v/>
      </c>
      <c r="B62" s="21">
        <f>lc_detailed!AY62/$S$2</f>
        <v/>
      </c>
      <c r="C62" s="21">
        <f>lc_detailed!AZ62/$S$2</f>
        <v/>
      </c>
      <c r="D62" s="21">
        <f>lc_detailed!BA62/$S$2</f>
        <v/>
      </c>
      <c r="E62" s="21">
        <f>lc_detailed!BB62/$S$2</f>
        <v/>
      </c>
      <c r="F62" s="21">
        <f>lc_detailed!BC62/$S$2</f>
        <v/>
      </c>
      <c r="G62" s="21">
        <f>lc_detailed!BD62/$S$2</f>
        <v/>
      </c>
      <c r="H62" s="21">
        <f>lc_detailed!BE62/$S$2</f>
        <v/>
      </c>
      <c r="I62" s="21">
        <f>lc_detailed!BF62/$S$2</f>
        <v/>
      </c>
      <c r="J62" s="21">
        <f>lc_detailed!BG62/$S$2</f>
        <v/>
      </c>
      <c r="K62" s="21">
        <f>lc_detailed!BI62/$S$2</f>
        <v/>
      </c>
      <c r="L62" s="21">
        <f>lc_detailed!BJ62/$S$2</f>
        <v/>
      </c>
      <c r="M62" s="21">
        <f>lc_detailed!BH62</f>
        <v/>
      </c>
      <c r="N62" s="21">
        <f>lc_detailed!AS62</f>
        <v/>
      </c>
      <c r="O62" s="21">
        <f>N62/$S$2</f>
        <v/>
      </c>
      <c r="P62" s="21">
        <f>SUM(B62:L62)</f>
        <v/>
      </c>
    </row>
    <row r="63">
      <c r="A63">
        <f>lc_detailed!AQ63</f>
        <v/>
      </c>
      <c r="B63" s="21">
        <f>lc_detailed!AY63/$S$2</f>
        <v/>
      </c>
      <c r="C63" s="21">
        <f>lc_detailed!AZ63/$S$2</f>
        <v/>
      </c>
      <c r="D63" s="21">
        <f>lc_detailed!BA63/$S$2</f>
        <v/>
      </c>
      <c r="E63" s="21">
        <f>lc_detailed!BB63/$S$2</f>
        <v/>
      </c>
      <c r="F63" s="21">
        <f>lc_detailed!BC63/$S$2</f>
        <v/>
      </c>
      <c r="G63" s="21">
        <f>lc_detailed!BD63/$S$2</f>
        <v/>
      </c>
      <c r="H63" s="21">
        <f>lc_detailed!BE63/$S$2</f>
        <v/>
      </c>
      <c r="I63" s="21">
        <f>lc_detailed!BF63/$S$2</f>
        <v/>
      </c>
      <c r="J63" s="21">
        <f>lc_detailed!BG63/$S$2</f>
        <v/>
      </c>
      <c r="K63" s="21">
        <f>lc_detailed!BI63/$S$2</f>
        <v/>
      </c>
      <c r="L63" s="21">
        <f>lc_detailed!BJ63/$S$2</f>
        <v/>
      </c>
      <c r="M63" s="21">
        <f>lc_detailed!BH63</f>
        <v/>
      </c>
      <c r="N63" s="21">
        <f>lc_detailed!AS63</f>
        <v/>
      </c>
      <c r="O63" s="21">
        <f>N63/$S$2</f>
        <v/>
      </c>
      <c r="P63" s="21">
        <f>SUM(B63:L63)</f>
        <v/>
      </c>
    </row>
    <row r="64">
      <c r="A64">
        <f>lc_detailed!AQ64</f>
        <v/>
      </c>
      <c r="B64" s="21">
        <f>lc_detailed!AY64/$S$2</f>
        <v/>
      </c>
      <c r="C64" s="21">
        <f>lc_detailed!AZ64/$S$2</f>
        <v/>
      </c>
      <c r="D64" s="21">
        <f>lc_detailed!BA64/$S$2</f>
        <v/>
      </c>
      <c r="E64" s="21">
        <f>lc_detailed!BB64/$S$2</f>
        <v/>
      </c>
      <c r="F64" s="21">
        <f>lc_detailed!BC64/$S$2</f>
        <v/>
      </c>
      <c r="G64" s="21">
        <f>lc_detailed!BD64/$S$2</f>
        <v/>
      </c>
      <c r="H64" s="21">
        <f>lc_detailed!BE64/$S$2</f>
        <v/>
      </c>
      <c r="I64" s="21">
        <f>lc_detailed!BF64/$S$2</f>
        <v/>
      </c>
      <c r="J64" s="21">
        <f>lc_detailed!BG64/$S$2</f>
        <v/>
      </c>
      <c r="K64" s="21">
        <f>lc_detailed!BI64/$S$2</f>
        <v/>
      </c>
      <c r="L64" s="21">
        <f>lc_detailed!BJ64/$S$2</f>
        <v/>
      </c>
      <c r="M64" s="21">
        <f>lc_detailed!BH64</f>
        <v/>
      </c>
      <c r="N64" s="21">
        <f>lc_detailed!AS64</f>
        <v/>
      </c>
      <c r="O64" s="21">
        <f>N64/$S$2</f>
        <v/>
      </c>
      <c r="P64" s="21">
        <f>SUM(B64:L64)</f>
        <v/>
      </c>
    </row>
    <row r="65">
      <c r="A65">
        <f>lc_detailed!AQ65</f>
        <v/>
      </c>
      <c r="B65" s="21">
        <f>lc_detailed!AY65/$S$2</f>
        <v/>
      </c>
      <c r="C65" s="21">
        <f>lc_detailed!AZ65/$S$2</f>
        <v/>
      </c>
      <c r="D65" s="21">
        <f>lc_detailed!BA65/$S$2</f>
        <v/>
      </c>
      <c r="E65" s="21">
        <f>lc_detailed!BB65/$S$2</f>
        <v/>
      </c>
      <c r="F65" s="21">
        <f>lc_detailed!BC65/$S$2</f>
        <v/>
      </c>
      <c r="G65" s="21">
        <f>lc_detailed!BD65/$S$2</f>
        <v/>
      </c>
      <c r="H65" s="21">
        <f>lc_detailed!BE65/$S$2</f>
        <v/>
      </c>
      <c r="I65" s="21">
        <f>lc_detailed!BF65/$S$2</f>
        <v/>
      </c>
      <c r="J65" s="21">
        <f>lc_detailed!BG65/$S$2</f>
        <v/>
      </c>
      <c r="K65" s="21">
        <f>lc_detailed!BI65/$S$2</f>
        <v/>
      </c>
      <c r="L65" s="21">
        <f>lc_detailed!BJ65/$S$2</f>
        <v/>
      </c>
      <c r="M65" s="21">
        <f>lc_detailed!BH65</f>
        <v/>
      </c>
      <c r="N65" s="21">
        <f>lc_detailed!AS65</f>
        <v/>
      </c>
      <c r="O65" s="21">
        <f>N65/$S$2</f>
        <v/>
      </c>
      <c r="P65" s="21">
        <f>SUM(B65:L65)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5"/>
  <sheetViews>
    <sheetView topLeftCell="D1" zoomScale="75" workbookViewId="0">
      <selection activeCell="G13" sqref="G13"/>
    </sheetView>
  </sheetViews>
  <sheetFormatPr baseColWidth="10" defaultRowHeight="16"/>
  <cols>
    <col width="14.1640625" bestFit="1" customWidth="1" min="2" max="2"/>
    <col width="12.6640625" bestFit="1" customWidth="1" min="3" max="3"/>
    <col width="15.1640625" bestFit="1" customWidth="1" min="4" max="4"/>
    <col width="17.5" bestFit="1" customWidth="1" min="5" max="5"/>
    <col width="17.1640625" bestFit="1" customWidth="1" min="6" max="6"/>
    <col width="15.5" bestFit="1" customWidth="1" min="7" max="7"/>
    <col width="13.6640625" bestFit="1" customWidth="1" min="8" max="8"/>
    <col width="12.1640625" bestFit="1" customWidth="1" min="9" max="9"/>
    <col width="14.5" bestFit="1" customWidth="1" min="10" max="10"/>
    <col width="17.83203125" bestFit="1" customWidth="1" min="11" max="11"/>
    <col width="19.33203125" bestFit="1" customWidth="1" min="12" max="12"/>
    <col width="5.1640625" bestFit="1" customWidth="1" min="13" max="13"/>
    <col width="15.1640625" bestFit="1" customWidth="1" min="16" max="16"/>
    <col width="3.6640625" customWidth="1" min="17" max="17"/>
    <col width="11.83203125" bestFit="1" customWidth="1" min="18" max="18"/>
    <col width="5.5" bestFit="1" customWidth="1" min="19" max="19"/>
    <col width="12.33203125" bestFit="1" customWidth="1" min="20" max="20"/>
  </cols>
  <sheetData>
    <row r="1">
      <c r="A1" s="18" t="inlineStr">
        <is>
          <t>LCOE for steam/electric cracker ($/GJ-ethylene) - NO CHEMICALS SEQUESTRATION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  <c r="L1" s="19" t="n"/>
      <c r="M1" s="19" t="n"/>
      <c r="N1" s="19" t="n"/>
      <c r="O1" s="19" t="n"/>
      <c r="P1" s="19" t="n"/>
      <c r="R1" s="19" t="inlineStr">
        <is>
          <t>Assumptions</t>
        </is>
      </c>
    </row>
    <row r="2" ht="32" customHeight="1">
      <c r="A2" s="4" t="inlineStr">
        <is>
          <t>id_LC</t>
        </is>
      </c>
      <c r="B2" s="4" t="inlineStr">
        <is>
          <t>h2_consumption</t>
        </is>
      </c>
      <c r="C2" s="4" t="inlineStr">
        <is>
          <t>h2_production</t>
        </is>
      </c>
      <c r="D2" s="4" t="inlineStr">
        <is>
          <t>elec_consumption</t>
        </is>
      </c>
      <c r="E2" s="4" t="inlineStr">
        <is>
          <t>ethane_consumption</t>
        </is>
      </c>
      <c r="F2" s="4" t="inlineStr">
        <is>
          <t>natgas_consumption</t>
        </is>
      </c>
      <c r="G2" s="4" t="inlineStr">
        <is>
          <t>natgas_production</t>
        </is>
      </c>
      <c r="H2" s="4" t="inlineStr">
        <is>
          <t>investment_cost</t>
        </is>
      </c>
      <c r="I2" s="4" t="inlineStr">
        <is>
          <t>fixed_om_cost</t>
        </is>
      </c>
      <c r="J2" s="4" t="inlineStr">
        <is>
          <t>variable_om_cost</t>
        </is>
      </c>
      <c r="K2" s="3" t="inlineStr">
        <is>
          <t>modified capture cost</t>
        </is>
      </c>
      <c r="L2" s="3" t="inlineStr">
        <is>
          <t>modified emissions cost</t>
        </is>
      </c>
      <c r="M2" s="3" t="inlineStr">
        <is>
          <t>CI</t>
        </is>
      </c>
      <c r="N2" s="20" t="inlineStr">
        <is>
          <t>LCOE ($/t-ethylene)</t>
        </is>
      </c>
      <c r="O2" s="20" t="inlineStr">
        <is>
          <t>LCOE ($/GJ-ethylene)</t>
        </is>
      </c>
      <c r="P2" s="20" t="inlineStr">
        <is>
          <t>CHECK LCOE ($/GJ-ethylene)</t>
        </is>
      </c>
      <c r="R2" t="inlineStr">
        <is>
          <t>Ethylene LHV</t>
        </is>
      </c>
      <c r="S2" t="n">
        <v>45.6</v>
      </c>
      <c r="T2" t="inlineStr">
        <is>
          <t>GJ/t-ethylene</t>
        </is>
      </c>
    </row>
    <row r="3">
      <c r="A3">
        <f>lc_detailed!AQ3</f>
        <v/>
      </c>
      <c r="B3" s="21">
        <f>lc_detailed!AY3/$S$2</f>
        <v/>
      </c>
      <c r="C3" s="21">
        <f>lc_detailed!AZ3/$S$2</f>
        <v/>
      </c>
      <c r="D3" s="21">
        <f>lc_detailed!BA3/$S$2</f>
        <v/>
      </c>
      <c r="E3" s="21">
        <f>lc_detailed!BB3/$S$2</f>
        <v/>
      </c>
      <c r="F3" s="21">
        <f>lc_detailed!BC3/$S$2</f>
        <v/>
      </c>
      <c r="G3" s="21">
        <f>lc_detailed!BD3/$S$2</f>
        <v/>
      </c>
      <c r="H3" s="21">
        <f>lc_detailed!BE3/$S$2</f>
        <v/>
      </c>
      <c r="I3" s="21">
        <f>lc_detailed!BF3/$S$2</f>
        <v/>
      </c>
      <c r="J3" s="21">
        <f>lc_detailed!BG3/$S$2</f>
        <v/>
      </c>
      <c r="K3" s="21">
        <f>lc_detailed!BO3/$S$2</f>
        <v/>
      </c>
      <c r="L3" s="21">
        <f>lc_detailed!BP3/$S$2</f>
        <v/>
      </c>
      <c r="M3" s="21">
        <f>lc_detailed!BN3</f>
        <v/>
      </c>
      <c r="N3" s="21">
        <f>lc_detailed!AV3</f>
        <v/>
      </c>
      <c r="O3" s="21">
        <f>N3/$S$2</f>
        <v/>
      </c>
      <c r="P3" s="21">
        <f>SUM(B3:L3)</f>
        <v/>
      </c>
    </row>
    <row r="4">
      <c r="A4">
        <f>lc_detailed!AQ4</f>
        <v/>
      </c>
      <c r="B4" s="21">
        <f>lc_detailed!AY4/$S$2</f>
        <v/>
      </c>
      <c r="C4" s="21">
        <f>lc_detailed!AZ4/$S$2</f>
        <v/>
      </c>
      <c r="D4" s="21">
        <f>lc_detailed!BA4/$S$2</f>
        <v/>
      </c>
      <c r="E4" s="21">
        <f>lc_detailed!BB4/$S$2</f>
        <v/>
      </c>
      <c r="F4" s="21">
        <f>lc_detailed!BC4/$S$2</f>
        <v/>
      </c>
      <c r="G4" s="21">
        <f>lc_detailed!BD4/$S$2</f>
        <v/>
      </c>
      <c r="H4" s="21">
        <f>lc_detailed!BE4/$S$2</f>
        <v/>
      </c>
      <c r="I4" s="21">
        <f>lc_detailed!BF4/$S$2</f>
        <v/>
      </c>
      <c r="J4" s="21">
        <f>lc_detailed!BG4/$S$2</f>
        <v/>
      </c>
      <c r="K4" s="21">
        <f>lc_detailed!BO4/$S$2</f>
        <v/>
      </c>
      <c r="L4" s="21">
        <f>lc_detailed!BP4/$S$2</f>
        <v/>
      </c>
      <c r="M4" s="21">
        <f>lc_detailed!BN4</f>
        <v/>
      </c>
      <c r="N4" s="21">
        <f>lc_detailed!AV4</f>
        <v/>
      </c>
      <c r="O4" s="21">
        <f>N4/$S$2</f>
        <v/>
      </c>
      <c r="P4" s="21">
        <f>SUM(B4:L4)</f>
        <v/>
      </c>
    </row>
    <row r="5">
      <c r="A5">
        <f>lc_detailed!AQ5</f>
        <v/>
      </c>
      <c r="B5" s="21">
        <f>lc_detailed!AY5/$S$2</f>
        <v/>
      </c>
      <c r="C5" s="21">
        <f>lc_detailed!AZ5/$S$2</f>
        <v/>
      </c>
      <c r="D5" s="21">
        <f>lc_detailed!BA5/$S$2</f>
        <v/>
      </c>
      <c r="E5" s="21">
        <f>lc_detailed!BB5/$S$2</f>
        <v/>
      </c>
      <c r="F5" s="21">
        <f>lc_detailed!BC5/$S$2</f>
        <v/>
      </c>
      <c r="G5" s="21">
        <f>lc_detailed!BD5/$S$2</f>
        <v/>
      </c>
      <c r="H5" s="21">
        <f>lc_detailed!BE5/$S$2</f>
        <v/>
      </c>
      <c r="I5" s="21">
        <f>lc_detailed!BF5/$S$2</f>
        <v/>
      </c>
      <c r="J5" s="21">
        <f>lc_detailed!BG5/$S$2</f>
        <v/>
      </c>
      <c r="K5" s="21">
        <f>lc_detailed!BO5/$S$2</f>
        <v/>
      </c>
      <c r="L5" s="21">
        <f>lc_detailed!BP5/$S$2</f>
        <v/>
      </c>
      <c r="M5" s="21">
        <f>lc_detailed!BN5</f>
        <v/>
      </c>
      <c r="N5" s="21">
        <f>lc_detailed!AV5</f>
        <v/>
      </c>
      <c r="O5" s="21">
        <f>N5/$S$2</f>
        <v/>
      </c>
      <c r="P5" s="21">
        <f>SUM(B5:L5)</f>
        <v/>
      </c>
    </row>
    <row r="6">
      <c r="A6">
        <f>lc_detailed!AQ6</f>
        <v/>
      </c>
      <c r="B6" s="21">
        <f>lc_detailed!AY6/$S$2</f>
        <v/>
      </c>
      <c r="C6" s="21">
        <f>lc_detailed!AZ6/$S$2</f>
        <v/>
      </c>
      <c r="D6" s="21">
        <f>lc_detailed!BA6/$S$2</f>
        <v/>
      </c>
      <c r="E6" s="21">
        <f>lc_detailed!BB6/$S$2</f>
        <v/>
      </c>
      <c r="F6" s="21">
        <f>lc_detailed!BC6/$S$2</f>
        <v/>
      </c>
      <c r="G6" s="21">
        <f>lc_detailed!BD6/$S$2</f>
        <v/>
      </c>
      <c r="H6" s="21">
        <f>lc_detailed!BE6/$S$2</f>
        <v/>
      </c>
      <c r="I6" s="21">
        <f>lc_detailed!BF6/$S$2</f>
        <v/>
      </c>
      <c r="J6" s="21">
        <f>lc_detailed!BG6/$S$2</f>
        <v/>
      </c>
      <c r="K6" s="21">
        <f>lc_detailed!BO6/$S$2</f>
        <v/>
      </c>
      <c r="L6" s="21">
        <f>lc_detailed!BP6/$S$2</f>
        <v/>
      </c>
      <c r="M6" s="21">
        <f>lc_detailed!BN6</f>
        <v/>
      </c>
      <c r="N6" s="21">
        <f>lc_detailed!AV6</f>
        <v/>
      </c>
      <c r="O6" s="21">
        <f>N6/$S$2</f>
        <v/>
      </c>
      <c r="P6" s="21">
        <f>SUM(B6:L6)</f>
        <v/>
      </c>
    </row>
    <row r="7">
      <c r="A7">
        <f>lc_detailed!AQ7</f>
        <v/>
      </c>
      <c r="B7" s="21">
        <f>lc_detailed!AY7/$S$2</f>
        <v/>
      </c>
      <c r="C7" s="21">
        <f>lc_detailed!AZ7/$S$2</f>
        <v/>
      </c>
      <c r="D7" s="21">
        <f>lc_detailed!BA7/$S$2</f>
        <v/>
      </c>
      <c r="E7" s="21">
        <f>lc_detailed!BB7/$S$2</f>
        <v/>
      </c>
      <c r="F7" s="21">
        <f>lc_detailed!BC7/$S$2</f>
        <v/>
      </c>
      <c r="G7" s="21">
        <f>lc_detailed!BD7/$S$2</f>
        <v/>
      </c>
      <c r="H7" s="21">
        <f>lc_detailed!BE7/$S$2</f>
        <v/>
      </c>
      <c r="I7" s="21">
        <f>lc_detailed!BF7/$S$2</f>
        <v/>
      </c>
      <c r="J7" s="21">
        <f>lc_detailed!BG7/$S$2</f>
        <v/>
      </c>
      <c r="K7" s="21">
        <f>lc_detailed!BO7/$S$2</f>
        <v/>
      </c>
      <c r="L7" s="21">
        <f>lc_detailed!BP7/$S$2</f>
        <v/>
      </c>
      <c r="M7" s="21">
        <f>lc_detailed!BN7</f>
        <v/>
      </c>
      <c r="N7" s="21">
        <f>lc_detailed!AV7</f>
        <v/>
      </c>
      <c r="O7" s="21">
        <f>N7/$S$2</f>
        <v/>
      </c>
      <c r="P7" s="21">
        <f>SUM(B7:L7)</f>
        <v/>
      </c>
    </row>
    <row r="8">
      <c r="A8">
        <f>lc_detailed!AQ8</f>
        <v/>
      </c>
      <c r="B8" s="21">
        <f>lc_detailed!AY8/$S$2</f>
        <v/>
      </c>
      <c r="C8" s="21">
        <f>lc_detailed!AZ8/$S$2</f>
        <v/>
      </c>
      <c r="D8" s="21">
        <f>lc_detailed!BA8/$S$2</f>
        <v/>
      </c>
      <c r="E8" s="21">
        <f>lc_detailed!BB8/$S$2</f>
        <v/>
      </c>
      <c r="F8" s="21">
        <f>lc_detailed!BC8/$S$2</f>
        <v/>
      </c>
      <c r="G8" s="21">
        <f>lc_detailed!BD8/$S$2</f>
        <v/>
      </c>
      <c r="H8" s="21">
        <f>lc_detailed!BE8/$S$2</f>
        <v/>
      </c>
      <c r="I8" s="21">
        <f>lc_detailed!BF8/$S$2</f>
        <v/>
      </c>
      <c r="J8" s="21">
        <f>lc_detailed!BG8/$S$2</f>
        <v/>
      </c>
      <c r="K8" s="21">
        <f>lc_detailed!BO8/$S$2</f>
        <v/>
      </c>
      <c r="L8" s="21">
        <f>lc_detailed!BP8/$S$2</f>
        <v/>
      </c>
      <c r="M8" s="21">
        <f>lc_detailed!BN8</f>
        <v/>
      </c>
      <c r="N8" s="21">
        <f>lc_detailed!AV8</f>
        <v/>
      </c>
      <c r="O8" s="21">
        <f>N8/$S$2</f>
        <v/>
      </c>
      <c r="P8" s="21">
        <f>SUM(B8:L8)</f>
        <v/>
      </c>
    </row>
    <row r="9">
      <c r="A9">
        <f>lc_detailed!AQ9</f>
        <v/>
      </c>
      <c r="B9" s="21">
        <f>lc_detailed!AY9/$S$2</f>
        <v/>
      </c>
      <c r="C9" s="21">
        <f>lc_detailed!AZ9/$S$2</f>
        <v/>
      </c>
      <c r="D9" s="21">
        <f>lc_detailed!BA9/$S$2</f>
        <v/>
      </c>
      <c r="E9" s="21">
        <f>lc_detailed!BB9/$S$2</f>
        <v/>
      </c>
      <c r="F9" s="21">
        <f>lc_detailed!BC9/$S$2</f>
        <v/>
      </c>
      <c r="G9" s="21">
        <f>lc_detailed!BD9/$S$2</f>
        <v/>
      </c>
      <c r="H9" s="21">
        <f>lc_detailed!BE9/$S$2</f>
        <v/>
      </c>
      <c r="I9" s="21">
        <f>lc_detailed!BF9/$S$2</f>
        <v/>
      </c>
      <c r="J9" s="21">
        <f>lc_detailed!BG9/$S$2</f>
        <v/>
      </c>
      <c r="K9" s="21">
        <f>lc_detailed!BO9/$S$2</f>
        <v/>
      </c>
      <c r="L9" s="21">
        <f>lc_detailed!BP9/$S$2</f>
        <v/>
      </c>
      <c r="M9" s="21">
        <f>lc_detailed!BN9</f>
        <v/>
      </c>
      <c r="N9" s="21">
        <f>lc_detailed!AV9</f>
        <v/>
      </c>
      <c r="O9" s="21">
        <f>N9/$S$2</f>
        <v/>
      </c>
      <c r="P9" s="21">
        <f>SUM(B9:L9)</f>
        <v/>
      </c>
    </row>
    <row r="10">
      <c r="A10">
        <f>lc_detailed!AQ10</f>
        <v/>
      </c>
      <c r="B10" s="21">
        <f>lc_detailed!AY10/$S$2</f>
        <v/>
      </c>
      <c r="C10" s="21">
        <f>lc_detailed!AZ10/$S$2</f>
        <v/>
      </c>
      <c r="D10" s="21">
        <f>lc_detailed!BA10/$S$2</f>
        <v/>
      </c>
      <c r="E10" s="21">
        <f>lc_detailed!BB10/$S$2</f>
        <v/>
      </c>
      <c r="F10" s="21">
        <f>lc_detailed!BC10/$S$2</f>
        <v/>
      </c>
      <c r="G10" s="21">
        <f>lc_detailed!BD10/$S$2</f>
        <v/>
      </c>
      <c r="H10" s="21">
        <f>lc_detailed!BE10/$S$2</f>
        <v/>
      </c>
      <c r="I10" s="21">
        <f>lc_detailed!BF10/$S$2</f>
        <v/>
      </c>
      <c r="J10" s="21">
        <f>lc_detailed!BG10/$S$2</f>
        <v/>
      </c>
      <c r="K10" s="21">
        <f>lc_detailed!BO10/$S$2</f>
        <v/>
      </c>
      <c r="L10" s="21">
        <f>lc_detailed!BP10/$S$2</f>
        <v/>
      </c>
      <c r="M10" s="21">
        <f>lc_detailed!BN10</f>
        <v/>
      </c>
      <c r="N10" s="21">
        <f>lc_detailed!AV10</f>
        <v/>
      </c>
      <c r="O10" s="21">
        <f>N10/$S$2</f>
        <v/>
      </c>
      <c r="P10" s="21">
        <f>SUM(B10:L10)</f>
        <v/>
      </c>
    </row>
    <row r="11">
      <c r="A11">
        <f>lc_detailed!AQ11</f>
        <v/>
      </c>
      <c r="B11" s="21">
        <f>lc_detailed!AY11/$S$2</f>
        <v/>
      </c>
      <c r="C11" s="21">
        <f>lc_detailed!AZ11/$S$2</f>
        <v/>
      </c>
      <c r="D11" s="21">
        <f>lc_detailed!BA11/$S$2</f>
        <v/>
      </c>
      <c r="E11" s="21">
        <f>lc_detailed!BB11/$S$2</f>
        <v/>
      </c>
      <c r="F11" s="21">
        <f>lc_detailed!BC11/$S$2</f>
        <v/>
      </c>
      <c r="G11" s="21">
        <f>lc_detailed!BD11/$S$2</f>
        <v/>
      </c>
      <c r="H11" s="21">
        <f>lc_detailed!BE11/$S$2</f>
        <v/>
      </c>
      <c r="I11" s="21">
        <f>lc_detailed!BF11/$S$2</f>
        <v/>
      </c>
      <c r="J11" s="21">
        <f>lc_detailed!BG11/$S$2</f>
        <v/>
      </c>
      <c r="K11" s="21">
        <f>lc_detailed!BO11/$S$2</f>
        <v/>
      </c>
      <c r="L11" s="21">
        <f>lc_detailed!BP11/$S$2</f>
        <v/>
      </c>
      <c r="M11" s="21">
        <f>lc_detailed!BN11</f>
        <v/>
      </c>
      <c r="N11" s="21">
        <f>lc_detailed!AV11</f>
        <v/>
      </c>
      <c r="O11" s="21">
        <f>N11/$S$2</f>
        <v/>
      </c>
      <c r="P11" s="21">
        <f>SUM(B11:L11)</f>
        <v/>
      </c>
    </row>
    <row r="12">
      <c r="A12">
        <f>lc_detailed!AQ12</f>
        <v/>
      </c>
      <c r="B12" s="21">
        <f>lc_detailed!AY12/$S$2</f>
        <v/>
      </c>
      <c r="C12" s="21">
        <f>lc_detailed!AZ12/$S$2</f>
        <v/>
      </c>
      <c r="D12" s="21">
        <f>lc_detailed!BA12/$S$2</f>
        <v/>
      </c>
      <c r="E12" s="21">
        <f>lc_detailed!BB12/$S$2</f>
        <v/>
      </c>
      <c r="F12" s="21">
        <f>lc_detailed!BC12/$S$2</f>
        <v/>
      </c>
      <c r="G12" s="21">
        <f>lc_detailed!BD12/$S$2</f>
        <v/>
      </c>
      <c r="H12" s="21">
        <f>lc_detailed!BE12/$S$2</f>
        <v/>
      </c>
      <c r="I12" s="21">
        <f>lc_detailed!BF12/$S$2</f>
        <v/>
      </c>
      <c r="J12" s="21">
        <f>lc_detailed!BG12/$S$2</f>
        <v/>
      </c>
      <c r="K12" s="21">
        <f>lc_detailed!BO12/$S$2</f>
        <v/>
      </c>
      <c r="L12" s="21">
        <f>lc_detailed!BP12/$S$2</f>
        <v/>
      </c>
      <c r="M12" s="21">
        <f>lc_detailed!BN12</f>
        <v/>
      </c>
      <c r="N12" s="21">
        <f>lc_detailed!AV12</f>
        <v/>
      </c>
      <c r="O12" s="21">
        <f>N12/$S$2</f>
        <v/>
      </c>
      <c r="P12" s="21">
        <f>SUM(B12:L12)</f>
        <v/>
      </c>
    </row>
    <row r="13">
      <c r="A13">
        <f>lc_detailed!AQ13</f>
        <v/>
      </c>
      <c r="B13" s="21">
        <f>lc_detailed!AY13/$S$2</f>
        <v/>
      </c>
      <c r="C13" s="21">
        <f>lc_detailed!AZ13/$S$2</f>
        <v/>
      </c>
      <c r="D13" s="21">
        <f>lc_detailed!BA13/$S$2</f>
        <v/>
      </c>
      <c r="E13" s="21">
        <f>lc_detailed!BB13/$S$2</f>
        <v/>
      </c>
      <c r="F13" s="21">
        <f>lc_detailed!BC13/$S$2</f>
        <v/>
      </c>
      <c r="G13" s="21">
        <f>lc_detailed!BD13/$S$2</f>
        <v/>
      </c>
      <c r="H13" s="21">
        <f>lc_detailed!BE13/$S$2</f>
        <v/>
      </c>
      <c r="I13" s="21">
        <f>lc_detailed!BF13/$S$2</f>
        <v/>
      </c>
      <c r="J13" s="21">
        <f>lc_detailed!BG13/$S$2</f>
        <v/>
      </c>
      <c r="K13" s="21">
        <f>lc_detailed!BO13/$S$2</f>
        <v/>
      </c>
      <c r="L13" s="21">
        <f>lc_detailed!BP13/$S$2</f>
        <v/>
      </c>
      <c r="M13" s="21">
        <f>lc_detailed!BN13</f>
        <v/>
      </c>
      <c r="N13" s="21">
        <f>lc_detailed!AV13</f>
        <v/>
      </c>
      <c r="O13" s="21">
        <f>N13/$S$2</f>
        <v/>
      </c>
      <c r="P13" s="21">
        <f>SUM(B13:L13)</f>
        <v/>
      </c>
    </row>
    <row r="14">
      <c r="A14">
        <f>lc_detailed!AQ14</f>
        <v/>
      </c>
      <c r="B14" s="21">
        <f>lc_detailed!AY14/$S$2</f>
        <v/>
      </c>
      <c r="C14" s="21">
        <f>lc_detailed!AZ14/$S$2</f>
        <v/>
      </c>
      <c r="D14" s="21">
        <f>lc_detailed!BA14/$S$2</f>
        <v/>
      </c>
      <c r="E14" s="21">
        <f>lc_detailed!BB14/$S$2</f>
        <v/>
      </c>
      <c r="F14" s="21">
        <f>lc_detailed!BC14/$S$2</f>
        <v/>
      </c>
      <c r="G14" s="21">
        <f>lc_detailed!BD14/$S$2</f>
        <v/>
      </c>
      <c r="H14" s="21">
        <f>lc_detailed!BE14/$S$2</f>
        <v/>
      </c>
      <c r="I14" s="21">
        <f>lc_detailed!BF14/$S$2</f>
        <v/>
      </c>
      <c r="J14" s="21">
        <f>lc_detailed!BG14/$S$2</f>
        <v/>
      </c>
      <c r="K14" s="21">
        <f>lc_detailed!BO14/$S$2</f>
        <v/>
      </c>
      <c r="L14" s="21">
        <f>lc_detailed!BP14/$S$2</f>
        <v/>
      </c>
      <c r="M14" s="21">
        <f>lc_detailed!BN14</f>
        <v/>
      </c>
      <c r="N14" s="21">
        <f>lc_detailed!AV14</f>
        <v/>
      </c>
      <c r="O14" s="21">
        <f>N14/$S$2</f>
        <v/>
      </c>
      <c r="P14" s="21">
        <f>SUM(B14:L14)</f>
        <v/>
      </c>
    </row>
    <row r="15">
      <c r="A15">
        <f>lc_detailed!AQ15</f>
        <v/>
      </c>
      <c r="B15" s="21">
        <f>lc_detailed!AY15/$S$2</f>
        <v/>
      </c>
      <c r="C15" s="21">
        <f>lc_detailed!AZ15/$S$2</f>
        <v/>
      </c>
      <c r="D15" s="21">
        <f>lc_detailed!BA15/$S$2</f>
        <v/>
      </c>
      <c r="E15" s="21">
        <f>lc_detailed!BB15/$S$2</f>
        <v/>
      </c>
      <c r="F15" s="21">
        <f>lc_detailed!BC15/$S$2</f>
        <v/>
      </c>
      <c r="G15" s="21">
        <f>lc_detailed!BD15/$S$2</f>
        <v/>
      </c>
      <c r="H15" s="21">
        <f>lc_detailed!BE15/$S$2</f>
        <v/>
      </c>
      <c r="I15" s="21">
        <f>lc_detailed!BF15/$S$2</f>
        <v/>
      </c>
      <c r="J15" s="21">
        <f>lc_detailed!BG15/$S$2</f>
        <v/>
      </c>
      <c r="K15" s="21">
        <f>lc_detailed!BO15/$S$2</f>
        <v/>
      </c>
      <c r="L15" s="21">
        <f>lc_detailed!BP15/$S$2</f>
        <v/>
      </c>
      <c r="M15" s="21">
        <f>lc_detailed!BN15</f>
        <v/>
      </c>
      <c r="N15" s="21">
        <f>lc_detailed!AV15</f>
        <v/>
      </c>
      <c r="O15" s="21">
        <f>N15/$S$2</f>
        <v/>
      </c>
      <c r="P15" s="21">
        <f>SUM(B15:L15)</f>
        <v/>
      </c>
    </row>
    <row r="16">
      <c r="A16">
        <f>lc_detailed!AQ16</f>
        <v/>
      </c>
      <c r="B16" s="21">
        <f>lc_detailed!AY16/$S$2</f>
        <v/>
      </c>
      <c r="C16" s="21">
        <f>lc_detailed!AZ16/$S$2</f>
        <v/>
      </c>
      <c r="D16" s="21">
        <f>lc_detailed!BA16/$S$2</f>
        <v/>
      </c>
      <c r="E16" s="21">
        <f>lc_detailed!BB16/$S$2</f>
        <v/>
      </c>
      <c r="F16" s="21">
        <f>lc_detailed!BC16/$S$2</f>
        <v/>
      </c>
      <c r="G16" s="21">
        <f>lc_detailed!BD16/$S$2</f>
        <v/>
      </c>
      <c r="H16" s="21">
        <f>lc_detailed!BE16/$S$2</f>
        <v/>
      </c>
      <c r="I16" s="21">
        <f>lc_detailed!BF16/$S$2</f>
        <v/>
      </c>
      <c r="J16" s="21">
        <f>lc_detailed!BG16/$S$2</f>
        <v/>
      </c>
      <c r="K16" s="21">
        <f>lc_detailed!BO16/$S$2</f>
        <v/>
      </c>
      <c r="L16" s="21">
        <f>lc_detailed!BP16/$S$2</f>
        <v/>
      </c>
      <c r="M16" s="21">
        <f>lc_detailed!BN16</f>
        <v/>
      </c>
      <c r="N16" s="21">
        <f>lc_detailed!AV16</f>
        <v/>
      </c>
      <c r="O16" s="21">
        <f>N16/$S$2</f>
        <v/>
      </c>
      <c r="P16" s="21">
        <f>SUM(B16:L16)</f>
        <v/>
      </c>
    </row>
    <row r="17">
      <c r="A17">
        <f>lc_detailed!AQ17</f>
        <v/>
      </c>
      <c r="B17" s="21">
        <f>lc_detailed!AY17/$S$2</f>
        <v/>
      </c>
      <c r="C17" s="21">
        <f>lc_detailed!AZ17/$S$2</f>
        <v/>
      </c>
      <c r="D17" s="21">
        <f>lc_detailed!BA17/$S$2</f>
        <v/>
      </c>
      <c r="E17" s="21">
        <f>lc_detailed!BB17/$S$2</f>
        <v/>
      </c>
      <c r="F17" s="21">
        <f>lc_detailed!BC17/$S$2</f>
        <v/>
      </c>
      <c r="G17" s="21">
        <f>lc_detailed!BD17/$S$2</f>
        <v/>
      </c>
      <c r="H17" s="21">
        <f>lc_detailed!BE17/$S$2</f>
        <v/>
      </c>
      <c r="I17" s="21">
        <f>lc_detailed!BF17/$S$2</f>
        <v/>
      </c>
      <c r="J17" s="21">
        <f>lc_detailed!BG17/$S$2</f>
        <v/>
      </c>
      <c r="K17" s="21">
        <f>lc_detailed!BO17/$S$2</f>
        <v/>
      </c>
      <c r="L17" s="21">
        <f>lc_detailed!BP17/$S$2</f>
        <v/>
      </c>
      <c r="M17" s="21">
        <f>lc_detailed!BN17</f>
        <v/>
      </c>
      <c r="N17" s="21">
        <f>lc_detailed!AV17</f>
        <v/>
      </c>
      <c r="O17" s="21">
        <f>N17/$S$2</f>
        <v/>
      </c>
      <c r="P17" s="21">
        <f>SUM(B17:L17)</f>
        <v/>
      </c>
    </row>
    <row r="18">
      <c r="A18">
        <f>lc_detailed!AQ18</f>
        <v/>
      </c>
      <c r="B18" s="21">
        <f>lc_detailed!AY18/$S$2</f>
        <v/>
      </c>
      <c r="C18" s="21">
        <f>lc_detailed!AZ18/$S$2</f>
        <v/>
      </c>
      <c r="D18" s="21">
        <f>lc_detailed!BA18/$S$2</f>
        <v/>
      </c>
      <c r="E18" s="21">
        <f>lc_detailed!BB18/$S$2</f>
        <v/>
      </c>
      <c r="F18" s="21">
        <f>lc_detailed!BC18/$S$2</f>
        <v/>
      </c>
      <c r="G18" s="21">
        <f>lc_detailed!BD18/$S$2</f>
        <v/>
      </c>
      <c r="H18" s="21">
        <f>lc_detailed!BE18/$S$2</f>
        <v/>
      </c>
      <c r="I18" s="21">
        <f>lc_detailed!BF18/$S$2</f>
        <v/>
      </c>
      <c r="J18" s="21">
        <f>lc_detailed!BG18/$S$2</f>
        <v/>
      </c>
      <c r="K18" s="21">
        <f>lc_detailed!BO18/$S$2</f>
        <v/>
      </c>
      <c r="L18" s="21">
        <f>lc_detailed!BP18/$S$2</f>
        <v/>
      </c>
      <c r="M18" s="21">
        <f>lc_detailed!BN18</f>
        <v/>
      </c>
      <c r="N18" s="21">
        <f>lc_detailed!AV18</f>
        <v/>
      </c>
      <c r="O18" s="21">
        <f>N18/$S$2</f>
        <v/>
      </c>
      <c r="P18" s="21">
        <f>SUM(B18:L18)</f>
        <v/>
      </c>
    </row>
    <row r="19">
      <c r="A19">
        <f>lc_detailed!AQ19</f>
        <v/>
      </c>
      <c r="B19" s="21">
        <f>lc_detailed!AY19/$S$2</f>
        <v/>
      </c>
      <c r="C19" s="21">
        <f>lc_detailed!AZ19/$S$2</f>
        <v/>
      </c>
      <c r="D19" s="21">
        <f>lc_detailed!BA19/$S$2</f>
        <v/>
      </c>
      <c r="E19" s="21">
        <f>lc_detailed!BB19/$S$2</f>
        <v/>
      </c>
      <c r="F19" s="21">
        <f>lc_detailed!BC19/$S$2</f>
        <v/>
      </c>
      <c r="G19" s="21">
        <f>lc_detailed!BD19/$S$2</f>
        <v/>
      </c>
      <c r="H19" s="21">
        <f>lc_detailed!BE19/$S$2</f>
        <v/>
      </c>
      <c r="I19" s="21">
        <f>lc_detailed!BF19/$S$2</f>
        <v/>
      </c>
      <c r="J19" s="21">
        <f>lc_detailed!BG19/$S$2</f>
        <v/>
      </c>
      <c r="K19" s="21">
        <f>lc_detailed!BO19/$S$2</f>
        <v/>
      </c>
      <c r="L19" s="21">
        <f>lc_detailed!BP19/$S$2</f>
        <v/>
      </c>
      <c r="M19" s="21">
        <f>lc_detailed!BN19</f>
        <v/>
      </c>
      <c r="N19" s="21">
        <f>lc_detailed!AV19</f>
        <v/>
      </c>
      <c r="O19" s="21">
        <f>N19/$S$2</f>
        <v/>
      </c>
      <c r="P19" s="21">
        <f>SUM(B19:L19)</f>
        <v/>
      </c>
    </row>
    <row r="20">
      <c r="A20">
        <f>lc_detailed!AQ20</f>
        <v/>
      </c>
      <c r="B20" s="21">
        <f>lc_detailed!AY20/$S$2</f>
        <v/>
      </c>
      <c r="C20" s="21">
        <f>lc_detailed!AZ20/$S$2</f>
        <v/>
      </c>
      <c r="D20" s="21">
        <f>lc_detailed!BA20/$S$2</f>
        <v/>
      </c>
      <c r="E20" s="21">
        <f>lc_detailed!BB20/$S$2</f>
        <v/>
      </c>
      <c r="F20" s="21">
        <f>lc_detailed!BC20/$S$2</f>
        <v/>
      </c>
      <c r="G20" s="21">
        <f>lc_detailed!BD20/$S$2</f>
        <v/>
      </c>
      <c r="H20" s="21">
        <f>lc_detailed!BE20/$S$2</f>
        <v/>
      </c>
      <c r="I20" s="21">
        <f>lc_detailed!BF20/$S$2</f>
        <v/>
      </c>
      <c r="J20" s="21">
        <f>lc_detailed!BG20/$S$2</f>
        <v/>
      </c>
      <c r="K20" s="21">
        <f>lc_detailed!BO20/$S$2</f>
        <v/>
      </c>
      <c r="L20" s="21">
        <f>lc_detailed!BP20/$S$2</f>
        <v/>
      </c>
      <c r="M20" s="21">
        <f>lc_detailed!BN20</f>
        <v/>
      </c>
      <c r="N20" s="21">
        <f>lc_detailed!AV20</f>
        <v/>
      </c>
      <c r="O20" s="21">
        <f>N20/$S$2</f>
        <v/>
      </c>
      <c r="P20" s="21">
        <f>SUM(B20:L20)</f>
        <v/>
      </c>
    </row>
    <row r="21">
      <c r="A21">
        <f>lc_detailed!AQ21</f>
        <v/>
      </c>
      <c r="B21" s="21">
        <f>lc_detailed!AY21/$S$2</f>
        <v/>
      </c>
      <c r="C21" s="21">
        <f>lc_detailed!AZ21/$S$2</f>
        <v/>
      </c>
      <c r="D21" s="21">
        <f>lc_detailed!BA21/$S$2</f>
        <v/>
      </c>
      <c r="E21" s="21">
        <f>lc_detailed!BB21/$S$2</f>
        <v/>
      </c>
      <c r="F21" s="21">
        <f>lc_detailed!BC21/$S$2</f>
        <v/>
      </c>
      <c r="G21" s="21">
        <f>lc_detailed!BD21/$S$2</f>
        <v/>
      </c>
      <c r="H21" s="21">
        <f>lc_detailed!BE21/$S$2</f>
        <v/>
      </c>
      <c r="I21" s="21">
        <f>lc_detailed!BF21/$S$2</f>
        <v/>
      </c>
      <c r="J21" s="21">
        <f>lc_detailed!BG21/$S$2</f>
        <v/>
      </c>
      <c r="K21" s="21">
        <f>lc_detailed!BO21/$S$2</f>
        <v/>
      </c>
      <c r="L21" s="21">
        <f>lc_detailed!BP21/$S$2</f>
        <v/>
      </c>
      <c r="M21" s="21">
        <f>lc_detailed!BN21</f>
        <v/>
      </c>
      <c r="N21" s="21">
        <f>lc_detailed!AV21</f>
        <v/>
      </c>
      <c r="O21" s="21">
        <f>N21/$S$2</f>
        <v/>
      </c>
      <c r="P21" s="21">
        <f>SUM(B21:L21)</f>
        <v/>
      </c>
    </row>
    <row r="22">
      <c r="A22">
        <f>lc_detailed!AQ22</f>
        <v/>
      </c>
      <c r="B22" s="21">
        <f>lc_detailed!AY22/$S$2</f>
        <v/>
      </c>
      <c r="C22" s="21">
        <f>lc_detailed!AZ22/$S$2</f>
        <v/>
      </c>
      <c r="D22" s="21">
        <f>lc_detailed!BA22/$S$2</f>
        <v/>
      </c>
      <c r="E22" s="21">
        <f>lc_detailed!BB22/$S$2</f>
        <v/>
      </c>
      <c r="F22" s="21">
        <f>lc_detailed!BC22/$S$2</f>
        <v/>
      </c>
      <c r="G22" s="21">
        <f>lc_detailed!BD22/$S$2</f>
        <v/>
      </c>
      <c r="H22" s="21">
        <f>lc_detailed!BE22/$S$2</f>
        <v/>
      </c>
      <c r="I22" s="21">
        <f>lc_detailed!BF22/$S$2</f>
        <v/>
      </c>
      <c r="J22" s="21">
        <f>lc_detailed!BG22/$S$2</f>
        <v/>
      </c>
      <c r="K22" s="21">
        <f>lc_detailed!BO22/$S$2</f>
        <v/>
      </c>
      <c r="L22" s="21">
        <f>lc_detailed!BP22/$S$2</f>
        <v/>
      </c>
      <c r="M22" s="21">
        <f>lc_detailed!BN22</f>
        <v/>
      </c>
      <c r="N22" s="21">
        <f>lc_detailed!AV22</f>
        <v/>
      </c>
      <c r="O22" s="21">
        <f>N22/$S$2</f>
        <v/>
      </c>
      <c r="P22" s="21">
        <f>SUM(B22:L22)</f>
        <v/>
      </c>
    </row>
    <row r="23">
      <c r="A23">
        <f>lc_detailed!AQ23</f>
        <v/>
      </c>
      <c r="B23" s="21">
        <f>lc_detailed!AY23/$S$2</f>
        <v/>
      </c>
      <c r="C23" s="21">
        <f>lc_detailed!AZ23/$S$2</f>
        <v/>
      </c>
      <c r="D23" s="21">
        <f>lc_detailed!BA23/$S$2</f>
        <v/>
      </c>
      <c r="E23" s="21">
        <f>lc_detailed!BB23/$S$2</f>
        <v/>
      </c>
      <c r="F23" s="21">
        <f>lc_detailed!BC23/$S$2</f>
        <v/>
      </c>
      <c r="G23" s="21">
        <f>lc_detailed!BD23/$S$2</f>
        <v/>
      </c>
      <c r="H23" s="21">
        <f>lc_detailed!BE23/$S$2</f>
        <v/>
      </c>
      <c r="I23" s="21">
        <f>lc_detailed!BF23/$S$2</f>
        <v/>
      </c>
      <c r="J23" s="21">
        <f>lc_detailed!BG23/$S$2</f>
        <v/>
      </c>
      <c r="K23" s="21">
        <f>lc_detailed!BO23/$S$2</f>
        <v/>
      </c>
      <c r="L23" s="21">
        <f>lc_detailed!BP23/$S$2</f>
        <v/>
      </c>
      <c r="M23" s="21">
        <f>lc_detailed!BN23</f>
        <v/>
      </c>
      <c r="N23" s="21">
        <f>lc_detailed!AV23</f>
        <v/>
      </c>
      <c r="O23" s="21">
        <f>N23/$S$2</f>
        <v/>
      </c>
      <c r="P23" s="21">
        <f>SUM(B23:L23)</f>
        <v/>
      </c>
    </row>
    <row r="24">
      <c r="A24">
        <f>lc_detailed!AQ24</f>
        <v/>
      </c>
      <c r="B24" s="21">
        <f>lc_detailed!AY24/$S$2</f>
        <v/>
      </c>
      <c r="C24" s="21">
        <f>lc_detailed!AZ24/$S$2</f>
        <v/>
      </c>
      <c r="D24" s="21">
        <f>lc_detailed!BA24/$S$2</f>
        <v/>
      </c>
      <c r="E24" s="21">
        <f>lc_detailed!BB24/$S$2</f>
        <v/>
      </c>
      <c r="F24" s="21">
        <f>lc_detailed!BC24/$S$2</f>
        <v/>
      </c>
      <c r="G24" s="21">
        <f>lc_detailed!BD24/$S$2</f>
        <v/>
      </c>
      <c r="H24" s="21">
        <f>lc_detailed!BE24/$S$2</f>
        <v/>
      </c>
      <c r="I24" s="21">
        <f>lc_detailed!BF24/$S$2</f>
        <v/>
      </c>
      <c r="J24" s="21">
        <f>lc_detailed!BG24/$S$2</f>
        <v/>
      </c>
      <c r="K24" s="21">
        <f>lc_detailed!BO24/$S$2</f>
        <v/>
      </c>
      <c r="L24" s="21">
        <f>lc_detailed!BP24/$S$2</f>
        <v/>
      </c>
      <c r="M24" s="21">
        <f>lc_detailed!BN24</f>
        <v/>
      </c>
      <c r="N24" s="21">
        <f>lc_detailed!AV24</f>
        <v/>
      </c>
      <c r="O24" s="21">
        <f>N24/$S$2</f>
        <v/>
      </c>
      <c r="P24" s="21">
        <f>SUM(B24:L24)</f>
        <v/>
      </c>
    </row>
    <row r="25">
      <c r="A25">
        <f>lc_detailed!AQ25</f>
        <v/>
      </c>
      <c r="B25" s="21">
        <f>lc_detailed!AY25/$S$2</f>
        <v/>
      </c>
      <c r="C25" s="21">
        <f>lc_detailed!AZ25/$S$2</f>
        <v/>
      </c>
      <c r="D25" s="21">
        <f>lc_detailed!BA25/$S$2</f>
        <v/>
      </c>
      <c r="E25" s="21">
        <f>lc_detailed!BB25/$S$2</f>
        <v/>
      </c>
      <c r="F25" s="21">
        <f>lc_detailed!BC25/$S$2</f>
        <v/>
      </c>
      <c r="G25" s="21">
        <f>lc_detailed!BD25/$S$2</f>
        <v/>
      </c>
      <c r="H25" s="21">
        <f>lc_detailed!BE25/$S$2</f>
        <v/>
      </c>
      <c r="I25" s="21">
        <f>lc_detailed!BF25/$S$2</f>
        <v/>
      </c>
      <c r="J25" s="21">
        <f>lc_detailed!BG25/$S$2</f>
        <v/>
      </c>
      <c r="K25" s="21">
        <f>lc_detailed!BO25/$S$2</f>
        <v/>
      </c>
      <c r="L25" s="21">
        <f>lc_detailed!BP25/$S$2</f>
        <v/>
      </c>
      <c r="M25" s="21">
        <f>lc_detailed!BN25</f>
        <v/>
      </c>
      <c r="N25" s="21">
        <f>lc_detailed!AV25</f>
        <v/>
      </c>
      <c r="O25" s="21">
        <f>N25/$S$2</f>
        <v/>
      </c>
      <c r="P25" s="21">
        <f>SUM(B25:L25)</f>
        <v/>
      </c>
    </row>
    <row r="26">
      <c r="A26">
        <f>lc_detailed!AQ26</f>
        <v/>
      </c>
      <c r="B26" s="21">
        <f>lc_detailed!AY26/$S$2</f>
        <v/>
      </c>
      <c r="C26" s="21">
        <f>lc_detailed!AZ26/$S$2</f>
        <v/>
      </c>
      <c r="D26" s="21">
        <f>lc_detailed!BA26/$S$2</f>
        <v/>
      </c>
      <c r="E26" s="21">
        <f>lc_detailed!BB26/$S$2</f>
        <v/>
      </c>
      <c r="F26" s="21">
        <f>lc_detailed!BC26/$S$2</f>
        <v/>
      </c>
      <c r="G26" s="21">
        <f>lc_detailed!BD26/$S$2</f>
        <v/>
      </c>
      <c r="H26" s="21">
        <f>lc_detailed!BE26/$S$2</f>
        <v/>
      </c>
      <c r="I26" s="21">
        <f>lc_detailed!BF26/$S$2</f>
        <v/>
      </c>
      <c r="J26" s="21">
        <f>lc_detailed!BG26/$S$2</f>
        <v/>
      </c>
      <c r="K26" s="21">
        <f>lc_detailed!BO26/$S$2</f>
        <v/>
      </c>
      <c r="L26" s="21">
        <f>lc_detailed!BP26/$S$2</f>
        <v/>
      </c>
      <c r="M26" s="21">
        <f>lc_detailed!BN26</f>
        <v/>
      </c>
      <c r="N26" s="21">
        <f>lc_detailed!AV26</f>
        <v/>
      </c>
      <c r="O26" s="21">
        <f>N26/$S$2</f>
        <v/>
      </c>
      <c r="P26" s="21">
        <f>SUM(B26:L26)</f>
        <v/>
      </c>
    </row>
    <row r="27">
      <c r="A27">
        <f>lc_detailed!AQ27</f>
        <v/>
      </c>
      <c r="B27" s="21">
        <f>lc_detailed!AY27/$S$2</f>
        <v/>
      </c>
      <c r="C27" s="21">
        <f>lc_detailed!AZ27/$S$2</f>
        <v/>
      </c>
      <c r="D27" s="21">
        <f>lc_detailed!BA27/$S$2</f>
        <v/>
      </c>
      <c r="E27" s="21">
        <f>lc_detailed!BB27/$S$2</f>
        <v/>
      </c>
      <c r="F27" s="21">
        <f>lc_detailed!BC27/$S$2</f>
        <v/>
      </c>
      <c r="G27" s="21">
        <f>lc_detailed!BD27/$S$2</f>
        <v/>
      </c>
      <c r="H27" s="21">
        <f>lc_detailed!BE27/$S$2</f>
        <v/>
      </c>
      <c r="I27" s="21">
        <f>lc_detailed!BF27/$S$2</f>
        <v/>
      </c>
      <c r="J27" s="21">
        <f>lc_detailed!BG27/$S$2</f>
        <v/>
      </c>
      <c r="K27" s="21">
        <f>lc_detailed!BO27/$S$2</f>
        <v/>
      </c>
      <c r="L27" s="21">
        <f>lc_detailed!BP27/$S$2</f>
        <v/>
      </c>
      <c r="M27" s="21">
        <f>lc_detailed!BN27</f>
        <v/>
      </c>
      <c r="N27" s="21">
        <f>lc_detailed!AV27</f>
        <v/>
      </c>
      <c r="O27" s="21">
        <f>N27/$S$2</f>
        <v/>
      </c>
      <c r="P27" s="21">
        <f>SUM(B27:L27)</f>
        <v/>
      </c>
    </row>
    <row r="28">
      <c r="A28">
        <f>lc_detailed!AQ28</f>
        <v/>
      </c>
      <c r="B28" s="21">
        <f>lc_detailed!AY28/$S$2</f>
        <v/>
      </c>
      <c r="C28" s="21">
        <f>lc_detailed!AZ28/$S$2</f>
        <v/>
      </c>
      <c r="D28" s="21">
        <f>lc_detailed!BA28/$S$2</f>
        <v/>
      </c>
      <c r="E28" s="21">
        <f>lc_detailed!BB28/$S$2</f>
        <v/>
      </c>
      <c r="F28" s="21">
        <f>lc_detailed!BC28/$S$2</f>
        <v/>
      </c>
      <c r="G28" s="21">
        <f>lc_detailed!BD28/$S$2</f>
        <v/>
      </c>
      <c r="H28" s="21">
        <f>lc_detailed!BE28/$S$2</f>
        <v/>
      </c>
      <c r="I28" s="21">
        <f>lc_detailed!BF28/$S$2</f>
        <v/>
      </c>
      <c r="J28" s="21">
        <f>lc_detailed!BG28/$S$2</f>
        <v/>
      </c>
      <c r="K28" s="21">
        <f>lc_detailed!BO28/$S$2</f>
        <v/>
      </c>
      <c r="L28" s="21">
        <f>lc_detailed!BP28/$S$2</f>
        <v/>
      </c>
      <c r="M28" s="21">
        <f>lc_detailed!BN28</f>
        <v/>
      </c>
      <c r="N28" s="21">
        <f>lc_detailed!AV28</f>
        <v/>
      </c>
      <c r="O28" s="21">
        <f>N28/$S$2</f>
        <v/>
      </c>
      <c r="P28" s="21">
        <f>SUM(B28:L28)</f>
        <v/>
      </c>
    </row>
    <row r="29">
      <c r="A29">
        <f>lc_detailed!AQ29</f>
        <v/>
      </c>
      <c r="B29" s="21">
        <f>lc_detailed!AY29/$S$2</f>
        <v/>
      </c>
      <c r="C29" s="21">
        <f>lc_detailed!AZ29/$S$2</f>
        <v/>
      </c>
      <c r="D29" s="21">
        <f>lc_detailed!BA29/$S$2</f>
        <v/>
      </c>
      <c r="E29" s="21">
        <f>lc_detailed!BB29/$S$2</f>
        <v/>
      </c>
      <c r="F29" s="21">
        <f>lc_detailed!BC29/$S$2</f>
        <v/>
      </c>
      <c r="G29" s="21">
        <f>lc_detailed!BD29/$S$2</f>
        <v/>
      </c>
      <c r="H29" s="21">
        <f>lc_detailed!BE29/$S$2</f>
        <v/>
      </c>
      <c r="I29" s="21">
        <f>lc_detailed!BF29/$S$2</f>
        <v/>
      </c>
      <c r="J29" s="21">
        <f>lc_detailed!BG29/$S$2</f>
        <v/>
      </c>
      <c r="K29" s="21">
        <f>lc_detailed!BO29/$S$2</f>
        <v/>
      </c>
      <c r="L29" s="21">
        <f>lc_detailed!BP29/$S$2</f>
        <v/>
      </c>
      <c r="M29" s="21">
        <f>lc_detailed!BN29</f>
        <v/>
      </c>
      <c r="N29" s="21">
        <f>lc_detailed!AV29</f>
        <v/>
      </c>
      <c r="O29" s="21">
        <f>N29/$S$2</f>
        <v/>
      </c>
      <c r="P29" s="21">
        <f>SUM(B29:L29)</f>
        <v/>
      </c>
    </row>
    <row r="30">
      <c r="A30">
        <f>lc_detailed!AQ30</f>
        <v/>
      </c>
      <c r="B30" s="21">
        <f>lc_detailed!AY30/$S$2</f>
        <v/>
      </c>
      <c r="C30" s="21">
        <f>lc_detailed!AZ30/$S$2</f>
        <v/>
      </c>
      <c r="D30" s="21">
        <f>lc_detailed!BA30/$S$2</f>
        <v/>
      </c>
      <c r="E30" s="21">
        <f>lc_detailed!BB30/$S$2</f>
        <v/>
      </c>
      <c r="F30" s="21">
        <f>lc_detailed!BC30/$S$2</f>
        <v/>
      </c>
      <c r="G30" s="21">
        <f>lc_detailed!BD30/$S$2</f>
        <v/>
      </c>
      <c r="H30" s="21">
        <f>lc_detailed!BE30/$S$2</f>
        <v/>
      </c>
      <c r="I30" s="21">
        <f>lc_detailed!BF30/$S$2</f>
        <v/>
      </c>
      <c r="J30" s="21">
        <f>lc_detailed!BG30/$S$2</f>
        <v/>
      </c>
      <c r="K30" s="21">
        <f>lc_detailed!BO30/$S$2</f>
        <v/>
      </c>
      <c r="L30" s="21">
        <f>lc_detailed!BP30/$S$2</f>
        <v/>
      </c>
      <c r="M30" s="21">
        <f>lc_detailed!BN30</f>
        <v/>
      </c>
      <c r="N30" s="21">
        <f>lc_detailed!AV30</f>
        <v/>
      </c>
      <c r="O30" s="21">
        <f>N30/$S$2</f>
        <v/>
      </c>
      <c r="P30" s="21">
        <f>SUM(B30:L30)</f>
        <v/>
      </c>
    </row>
    <row r="31">
      <c r="A31">
        <f>lc_detailed!AQ31</f>
        <v/>
      </c>
      <c r="B31" s="21">
        <f>lc_detailed!AY31/$S$2</f>
        <v/>
      </c>
      <c r="C31" s="21">
        <f>lc_detailed!AZ31/$S$2</f>
        <v/>
      </c>
      <c r="D31" s="21">
        <f>lc_detailed!BA31/$S$2</f>
        <v/>
      </c>
      <c r="E31" s="21">
        <f>lc_detailed!BB31/$S$2</f>
        <v/>
      </c>
      <c r="F31" s="21">
        <f>lc_detailed!BC31/$S$2</f>
        <v/>
      </c>
      <c r="G31" s="21">
        <f>lc_detailed!BD31/$S$2</f>
        <v/>
      </c>
      <c r="H31" s="21">
        <f>lc_detailed!BE31/$S$2</f>
        <v/>
      </c>
      <c r="I31" s="21">
        <f>lc_detailed!BF31/$S$2</f>
        <v/>
      </c>
      <c r="J31" s="21">
        <f>lc_detailed!BG31/$S$2</f>
        <v/>
      </c>
      <c r="K31" s="21">
        <f>lc_detailed!BO31/$S$2</f>
        <v/>
      </c>
      <c r="L31" s="21">
        <f>lc_detailed!BP31/$S$2</f>
        <v/>
      </c>
      <c r="M31" s="21">
        <f>lc_detailed!BN31</f>
        <v/>
      </c>
      <c r="N31" s="21">
        <f>lc_detailed!AV31</f>
        <v/>
      </c>
      <c r="O31" s="21">
        <f>N31/$S$2</f>
        <v/>
      </c>
      <c r="P31" s="21">
        <f>SUM(B31:L31)</f>
        <v/>
      </c>
    </row>
    <row r="32">
      <c r="A32">
        <f>lc_detailed!AQ32</f>
        <v/>
      </c>
      <c r="B32" s="21">
        <f>lc_detailed!AY32/$S$2</f>
        <v/>
      </c>
      <c r="C32" s="21">
        <f>lc_detailed!AZ32/$S$2</f>
        <v/>
      </c>
      <c r="D32" s="21">
        <f>lc_detailed!BA32/$S$2</f>
        <v/>
      </c>
      <c r="E32" s="21">
        <f>lc_detailed!BB32/$S$2</f>
        <v/>
      </c>
      <c r="F32" s="21">
        <f>lc_detailed!BC32/$S$2</f>
        <v/>
      </c>
      <c r="G32" s="21">
        <f>lc_detailed!BD32/$S$2</f>
        <v/>
      </c>
      <c r="H32" s="21">
        <f>lc_detailed!BE32/$S$2</f>
        <v/>
      </c>
      <c r="I32" s="21">
        <f>lc_detailed!BF32/$S$2</f>
        <v/>
      </c>
      <c r="J32" s="21">
        <f>lc_detailed!BG32/$S$2</f>
        <v/>
      </c>
      <c r="K32" s="21">
        <f>lc_detailed!BO32/$S$2</f>
        <v/>
      </c>
      <c r="L32" s="21">
        <f>lc_detailed!BP32/$S$2</f>
        <v/>
      </c>
      <c r="M32" s="21">
        <f>lc_detailed!BN32</f>
        <v/>
      </c>
      <c r="N32" s="21">
        <f>lc_detailed!AV32</f>
        <v/>
      </c>
      <c r="O32" s="21">
        <f>N32/$S$2</f>
        <v/>
      </c>
      <c r="P32" s="21">
        <f>SUM(B32:L32)</f>
        <v/>
      </c>
    </row>
    <row r="33">
      <c r="A33">
        <f>lc_detailed!AQ33</f>
        <v/>
      </c>
      <c r="B33" s="21">
        <f>lc_detailed!AY33/$S$2</f>
        <v/>
      </c>
      <c r="C33" s="21">
        <f>lc_detailed!AZ33/$S$2</f>
        <v/>
      </c>
      <c r="D33" s="21">
        <f>lc_detailed!BA33/$S$2</f>
        <v/>
      </c>
      <c r="E33" s="21">
        <f>lc_detailed!BB33/$S$2</f>
        <v/>
      </c>
      <c r="F33" s="21">
        <f>lc_detailed!BC33/$S$2</f>
        <v/>
      </c>
      <c r="G33" s="21">
        <f>lc_detailed!BD33/$S$2</f>
        <v/>
      </c>
      <c r="H33" s="21">
        <f>lc_detailed!BE33/$S$2</f>
        <v/>
      </c>
      <c r="I33" s="21">
        <f>lc_detailed!BF33/$S$2</f>
        <v/>
      </c>
      <c r="J33" s="21">
        <f>lc_detailed!BG33/$S$2</f>
        <v/>
      </c>
      <c r="K33" s="21">
        <f>lc_detailed!BO33/$S$2</f>
        <v/>
      </c>
      <c r="L33" s="21">
        <f>lc_detailed!BP33/$S$2</f>
        <v/>
      </c>
      <c r="M33" s="21">
        <f>lc_detailed!BN33</f>
        <v/>
      </c>
      <c r="N33" s="21">
        <f>lc_detailed!AV33</f>
        <v/>
      </c>
      <c r="O33" s="21">
        <f>N33/$S$2</f>
        <v/>
      </c>
      <c r="P33" s="21">
        <f>SUM(B33:L33)</f>
        <v/>
      </c>
    </row>
    <row r="34">
      <c r="A34">
        <f>lc_detailed!AQ34</f>
        <v/>
      </c>
      <c r="B34" s="21">
        <f>lc_detailed!AY34/$S$2</f>
        <v/>
      </c>
      <c r="C34" s="21">
        <f>lc_detailed!AZ34/$S$2</f>
        <v/>
      </c>
      <c r="D34" s="21">
        <f>lc_detailed!BA34/$S$2</f>
        <v/>
      </c>
      <c r="E34" s="21">
        <f>lc_detailed!BB34/$S$2</f>
        <v/>
      </c>
      <c r="F34" s="21">
        <f>lc_detailed!BC34/$S$2</f>
        <v/>
      </c>
      <c r="G34" s="21">
        <f>lc_detailed!BD34/$S$2</f>
        <v/>
      </c>
      <c r="H34" s="21">
        <f>lc_detailed!BE34/$S$2</f>
        <v/>
      </c>
      <c r="I34" s="21">
        <f>lc_detailed!BF34/$S$2</f>
        <v/>
      </c>
      <c r="J34" s="21">
        <f>lc_detailed!BG34/$S$2</f>
        <v/>
      </c>
      <c r="K34" s="21">
        <f>lc_detailed!BO34/$S$2</f>
        <v/>
      </c>
      <c r="L34" s="21">
        <f>lc_detailed!BP34/$S$2</f>
        <v/>
      </c>
      <c r="M34" s="21">
        <f>lc_detailed!BN34</f>
        <v/>
      </c>
      <c r="N34" s="21">
        <f>lc_detailed!AV34</f>
        <v/>
      </c>
      <c r="O34" s="21">
        <f>N34/$S$2</f>
        <v/>
      </c>
      <c r="P34" s="21">
        <f>SUM(B34:L34)</f>
        <v/>
      </c>
    </row>
    <row r="35">
      <c r="A35">
        <f>lc_detailed!AQ35</f>
        <v/>
      </c>
      <c r="B35" s="21">
        <f>lc_detailed!AY35/$S$2</f>
        <v/>
      </c>
      <c r="C35" s="21">
        <f>lc_detailed!AZ35/$S$2</f>
        <v/>
      </c>
      <c r="D35" s="21">
        <f>lc_detailed!BA35/$S$2</f>
        <v/>
      </c>
      <c r="E35" s="21">
        <f>lc_detailed!BB35/$S$2</f>
        <v/>
      </c>
      <c r="F35" s="21">
        <f>lc_detailed!BC35/$S$2</f>
        <v/>
      </c>
      <c r="G35" s="21">
        <f>lc_detailed!BD35/$S$2</f>
        <v/>
      </c>
      <c r="H35" s="21">
        <f>lc_detailed!BE35/$S$2</f>
        <v/>
      </c>
      <c r="I35" s="21">
        <f>lc_detailed!BF35/$S$2</f>
        <v/>
      </c>
      <c r="J35" s="21">
        <f>lc_detailed!BG35/$S$2</f>
        <v/>
      </c>
      <c r="K35" s="21">
        <f>lc_detailed!BO35/$S$2</f>
        <v/>
      </c>
      <c r="L35" s="21">
        <f>lc_detailed!BP35/$S$2</f>
        <v/>
      </c>
      <c r="M35" s="21">
        <f>lc_detailed!BN35</f>
        <v/>
      </c>
      <c r="N35" s="21">
        <f>lc_detailed!AV35</f>
        <v/>
      </c>
      <c r="O35" s="21">
        <f>N35/$S$2</f>
        <v/>
      </c>
      <c r="P35" s="21">
        <f>SUM(B35:L35)</f>
        <v/>
      </c>
    </row>
    <row r="36">
      <c r="A36">
        <f>lc_detailed!AQ36</f>
        <v/>
      </c>
      <c r="B36" s="21">
        <f>lc_detailed!AY36/$S$2</f>
        <v/>
      </c>
      <c r="C36" s="21">
        <f>lc_detailed!AZ36/$S$2</f>
        <v/>
      </c>
      <c r="D36" s="21">
        <f>lc_detailed!BA36/$S$2</f>
        <v/>
      </c>
      <c r="E36" s="21">
        <f>lc_detailed!BB36/$S$2</f>
        <v/>
      </c>
      <c r="F36" s="21">
        <f>lc_detailed!BC36/$S$2</f>
        <v/>
      </c>
      <c r="G36" s="21">
        <f>lc_detailed!BD36/$S$2</f>
        <v/>
      </c>
      <c r="H36" s="21">
        <f>lc_detailed!BE36/$S$2</f>
        <v/>
      </c>
      <c r="I36" s="21">
        <f>lc_detailed!BF36/$S$2</f>
        <v/>
      </c>
      <c r="J36" s="21">
        <f>lc_detailed!BG36/$S$2</f>
        <v/>
      </c>
      <c r="K36" s="21">
        <f>lc_detailed!BO36/$S$2</f>
        <v/>
      </c>
      <c r="L36" s="21">
        <f>lc_detailed!BP36/$S$2</f>
        <v/>
      </c>
      <c r="M36" s="21">
        <f>lc_detailed!BN36</f>
        <v/>
      </c>
      <c r="N36" s="21">
        <f>lc_detailed!AV36</f>
        <v/>
      </c>
      <c r="O36" s="21">
        <f>N36/$S$2</f>
        <v/>
      </c>
      <c r="P36" s="21">
        <f>SUM(B36:L36)</f>
        <v/>
      </c>
    </row>
    <row r="37">
      <c r="A37">
        <f>lc_detailed!AQ37</f>
        <v/>
      </c>
      <c r="B37" s="21">
        <f>lc_detailed!AY37/$S$2</f>
        <v/>
      </c>
      <c r="C37" s="21">
        <f>lc_detailed!AZ37/$S$2</f>
        <v/>
      </c>
      <c r="D37" s="21">
        <f>lc_detailed!BA37/$S$2</f>
        <v/>
      </c>
      <c r="E37" s="21">
        <f>lc_detailed!BB37/$S$2</f>
        <v/>
      </c>
      <c r="F37" s="21">
        <f>lc_detailed!BC37/$S$2</f>
        <v/>
      </c>
      <c r="G37" s="21">
        <f>lc_detailed!BD37/$S$2</f>
        <v/>
      </c>
      <c r="H37" s="21">
        <f>lc_detailed!BE37/$S$2</f>
        <v/>
      </c>
      <c r="I37" s="21">
        <f>lc_detailed!BF37/$S$2</f>
        <v/>
      </c>
      <c r="J37" s="21">
        <f>lc_detailed!BG37/$S$2</f>
        <v/>
      </c>
      <c r="K37" s="21">
        <f>lc_detailed!BO37/$S$2</f>
        <v/>
      </c>
      <c r="L37" s="21">
        <f>lc_detailed!BP37/$S$2</f>
        <v/>
      </c>
      <c r="M37" s="21">
        <f>lc_detailed!BN37</f>
        <v/>
      </c>
      <c r="N37" s="21">
        <f>lc_detailed!AV37</f>
        <v/>
      </c>
      <c r="O37" s="21">
        <f>N37/$S$2</f>
        <v/>
      </c>
      <c r="P37" s="21">
        <f>SUM(B37:L37)</f>
        <v/>
      </c>
    </row>
    <row r="38">
      <c r="A38">
        <f>lc_detailed!AQ38</f>
        <v/>
      </c>
      <c r="B38" s="21">
        <f>lc_detailed!AY38/$S$2</f>
        <v/>
      </c>
      <c r="C38" s="21">
        <f>lc_detailed!AZ38/$S$2</f>
        <v/>
      </c>
      <c r="D38" s="21">
        <f>lc_detailed!BA38/$S$2</f>
        <v/>
      </c>
      <c r="E38" s="21">
        <f>lc_detailed!BB38/$S$2</f>
        <v/>
      </c>
      <c r="F38" s="21">
        <f>lc_detailed!BC38/$S$2</f>
        <v/>
      </c>
      <c r="G38" s="21">
        <f>lc_detailed!BD38/$S$2</f>
        <v/>
      </c>
      <c r="H38" s="21">
        <f>lc_detailed!BE38/$S$2</f>
        <v/>
      </c>
      <c r="I38" s="21">
        <f>lc_detailed!BF38/$S$2</f>
        <v/>
      </c>
      <c r="J38" s="21">
        <f>lc_detailed!BG38/$S$2</f>
        <v/>
      </c>
      <c r="K38" s="21">
        <f>lc_detailed!BO38/$S$2</f>
        <v/>
      </c>
      <c r="L38" s="21">
        <f>lc_detailed!BP38/$S$2</f>
        <v/>
      </c>
      <c r="M38" s="21">
        <f>lc_detailed!BN38</f>
        <v/>
      </c>
      <c r="N38" s="21">
        <f>lc_detailed!AV38</f>
        <v/>
      </c>
      <c r="O38" s="21">
        <f>N38/$S$2</f>
        <v/>
      </c>
      <c r="P38" s="21">
        <f>SUM(B38:L38)</f>
        <v/>
      </c>
    </row>
    <row r="39">
      <c r="A39">
        <f>lc_detailed!AQ39</f>
        <v/>
      </c>
      <c r="B39" s="21">
        <f>lc_detailed!AY39/$S$2</f>
        <v/>
      </c>
      <c r="C39" s="21">
        <f>lc_detailed!AZ39/$S$2</f>
        <v/>
      </c>
      <c r="D39" s="21">
        <f>lc_detailed!BA39/$S$2</f>
        <v/>
      </c>
      <c r="E39" s="21">
        <f>lc_detailed!BB39/$S$2</f>
        <v/>
      </c>
      <c r="F39" s="21">
        <f>lc_detailed!BC39/$S$2</f>
        <v/>
      </c>
      <c r="G39" s="21">
        <f>lc_detailed!BD39/$S$2</f>
        <v/>
      </c>
      <c r="H39" s="21">
        <f>lc_detailed!BE39/$S$2</f>
        <v/>
      </c>
      <c r="I39" s="21">
        <f>lc_detailed!BF39/$S$2</f>
        <v/>
      </c>
      <c r="J39" s="21">
        <f>lc_detailed!BG39/$S$2</f>
        <v/>
      </c>
      <c r="K39" s="21">
        <f>lc_detailed!BO39/$S$2</f>
        <v/>
      </c>
      <c r="L39" s="21">
        <f>lc_detailed!BP39/$S$2</f>
        <v/>
      </c>
      <c r="M39" s="21">
        <f>lc_detailed!BN39</f>
        <v/>
      </c>
      <c r="N39" s="21">
        <f>lc_detailed!AV39</f>
        <v/>
      </c>
      <c r="O39" s="21">
        <f>N39/$S$2</f>
        <v/>
      </c>
      <c r="P39" s="21">
        <f>SUM(B39:L39)</f>
        <v/>
      </c>
    </row>
    <row r="40">
      <c r="A40">
        <f>lc_detailed!AQ40</f>
        <v/>
      </c>
      <c r="B40" s="21">
        <f>lc_detailed!AY40/$S$2</f>
        <v/>
      </c>
      <c r="C40" s="21">
        <f>lc_detailed!AZ40/$S$2</f>
        <v/>
      </c>
      <c r="D40" s="21">
        <f>lc_detailed!BA40/$S$2</f>
        <v/>
      </c>
      <c r="E40" s="21">
        <f>lc_detailed!BB40/$S$2</f>
        <v/>
      </c>
      <c r="F40" s="21">
        <f>lc_detailed!BC40/$S$2</f>
        <v/>
      </c>
      <c r="G40" s="21">
        <f>lc_detailed!BD40/$S$2</f>
        <v/>
      </c>
      <c r="H40" s="21">
        <f>lc_detailed!BE40/$S$2</f>
        <v/>
      </c>
      <c r="I40" s="21">
        <f>lc_detailed!BF40/$S$2</f>
        <v/>
      </c>
      <c r="J40" s="21">
        <f>lc_detailed!BG40/$S$2</f>
        <v/>
      </c>
      <c r="K40" s="21">
        <f>lc_detailed!BO40/$S$2</f>
        <v/>
      </c>
      <c r="L40" s="21">
        <f>lc_detailed!BP40/$S$2</f>
        <v/>
      </c>
      <c r="M40" s="21">
        <f>lc_detailed!BN40</f>
        <v/>
      </c>
      <c r="N40" s="21">
        <f>lc_detailed!AV40</f>
        <v/>
      </c>
      <c r="O40" s="21">
        <f>N40/$S$2</f>
        <v/>
      </c>
      <c r="P40" s="21">
        <f>SUM(B40:L40)</f>
        <v/>
      </c>
    </row>
    <row r="41">
      <c r="A41">
        <f>lc_detailed!AQ41</f>
        <v/>
      </c>
      <c r="B41" s="21">
        <f>lc_detailed!AY41/$S$2</f>
        <v/>
      </c>
      <c r="C41" s="21">
        <f>lc_detailed!AZ41/$S$2</f>
        <v/>
      </c>
      <c r="D41" s="21">
        <f>lc_detailed!BA41/$S$2</f>
        <v/>
      </c>
      <c r="E41" s="21">
        <f>lc_detailed!BB41/$S$2</f>
        <v/>
      </c>
      <c r="F41" s="21">
        <f>lc_detailed!BC41/$S$2</f>
        <v/>
      </c>
      <c r="G41" s="21">
        <f>lc_detailed!BD41/$S$2</f>
        <v/>
      </c>
      <c r="H41" s="21">
        <f>lc_detailed!BE41/$S$2</f>
        <v/>
      </c>
      <c r="I41" s="21">
        <f>lc_detailed!BF41/$S$2</f>
        <v/>
      </c>
      <c r="J41" s="21">
        <f>lc_detailed!BG41/$S$2</f>
        <v/>
      </c>
      <c r="K41" s="21">
        <f>lc_detailed!BO41/$S$2</f>
        <v/>
      </c>
      <c r="L41" s="21">
        <f>lc_detailed!BP41/$S$2</f>
        <v/>
      </c>
      <c r="M41" s="21">
        <f>lc_detailed!BN41</f>
        <v/>
      </c>
      <c r="N41" s="21">
        <f>lc_detailed!AV41</f>
        <v/>
      </c>
      <c r="O41" s="21">
        <f>N41/$S$2</f>
        <v/>
      </c>
      <c r="P41" s="21">
        <f>SUM(B41:L41)</f>
        <v/>
      </c>
    </row>
    <row r="42">
      <c r="A42">
        <f>lc_detailed!AQ42</f>
        <v/>
      </c>
      <c r="B42" s="21">
        <f>lc_detailed!AY42/$S$2</f>
        <v/>
      </c>
      <c r="C42" s="21">
        <f>lc_detailed!AZ42/$S$2</f>
        <v/>
      </c>
      <c r="D42" s="21">
        <f>lc_detailed!BA42/$S$2</f>
        <v/>
      </c>
      <c r="E42" s="21">
        <f>lc_detailed!BB42/$S$2</f>
        <v/>
      </c>
      <c r="F42" s="21">
        <f>lc_detailed!BC42/$S$2</f>
        <v/>
      </c>
      <c r="G42" s="21">
        <f>lc_detailed!BD42/$S$2</f>
        <v/>
      </c>
      <c r="H42" s="21">
        <f>lc_detailed!BE42/$S$2</f>
        <v/>
      </c>
      <c r="I42" s="21">
        <f>lc_detailed!BF42/$S$2</f>
        <v/>
      </c>
      <c r="J42" s="21">
        <f>lc_detailed!BG42/$S$2</f>
        <v/>
      </c>
      <c r="K42" s="21">
        <f>lc_detailed!BO42/$S$2</f>
        <v/>
      </c>
      <c r="L42" s="21">
        <f>lc_detailed!BP42/$S$2</f>
        <v/>
      </c>
      <c r="M42" s="21">
        <f>lc_detailed!BN42</f>
        <v/>
      </c>
      <c r="N42" s="21">
        <f>lc_detailed!AV42</f>
        <v/>
      </c>
      <c r="O42" s="21">
        <f>N42/$S$2</f>
        <v/>
      </c>
      <c r="P42" s="21">
        <f>SUM(B42:L42)</f>
        <v/>
      </c>
    </row>
    <row r="43">
      <c r="A43">
        <f>lc_detailed!AQ43</f>
        <v/>
      </c>
      <c r="B43" s="21">
        <f>lc_detailed!AY43/$S$2</f>
        <v/>
      </c>
      <c r="C43" s="21">
        <f>lc_detailed!AZ43/$S$2</f>
        <v/>
      </c>
      <c r="D43" s="21">
        <f>lc_detailed!BA43/$S$2</f>
        <v/>
      </c>
      <c r="E43" s="21">
        <f>lc_detailed!BB43/$S$2</f>
        <v/>
      </c>
      <c r="F43" s="21">
        <f>lc_detailed!BC43/$S$2</f>
        <v/>
      </c>
      <c r="G43" s="21">
        <f>lc_detailed!BD43/$S$2</f>
        <v/>
      </c>
      <c r="H43" s="21">
        <f>lc_detailed!BE43/$S$2</f>
        <v/>
      </c>
      <c r="I43" s="21">
        <f>lc_detailed!BF43/$S$2</f>
        <v/>
      </c>
      <c r="J43" s="21">
        <f>lc_detailed!BG43/$S$2</f>
        <v/>
      </c>
      <c r="K43" s="21">
        <f>lc_detailed!BO43/$S$2</f>
        <v/>
      </c>
      <c r="L43" s="21">
        <f>lc_detailed!BP43/$S$2</f>
        <v/>
      </c>
      <c r="M43" s="21">
        <f>lc_detailed!BN43</f>
        <v/>
      </c>
      <c r="N43" s="21">
        <f>lc_detailed!AV43</f>
        <v/>
      </c>
      <c r="O43" s="21">
        <f>N43/$S$2</f>
        <v/>
      </c>
      <c r="P43" s="21">
        <f>SUM(B43:L43)</f>
        <v/>
      </c>
    </row>
    <row r="44">
      <c r="A44">
        <f>lc_detailed!AQ44</f>
        <v/>
      </c>
      <c r="B44" s="21">
        <f>lc_detailed!AY44/$S$2</f>
        <v/>
      </c>
      <c r="C44" s="21">
        <f>lc_detailed!AZ44/$S$2</f>
        <v/>
      </c>
      <c r="D44" s="21">
        <f>lc_detailed!BA44/$S$2</f>
        <v/>
      </c>
      <c r="E44" s="21">
        <f>lc_detailed!BB44/$S$2</f>
        <v/>
      </c>
      <c r="F44" s="21">
        <f>lc_detailed!BC44/$S$2</f>
        <v/>
      </c>
      <c r="G44" s="21">
        <f>lc_detailed!BD44/$S$2</f>
        <v/>
      </c>
      <c r="H44" s="21">
        <f>lc_detailed!BE44/$S$2</f>
        <v/>
      </c>
      <c r="I44" s="21">
        <f>lc_detailed!BF44/$S$2</f>
        <v/>
      </c>
      <c r="J44" s="21">
        <f>lc_detailed!BG44/$S$2</f>
        <v/>
      </c>
      <c r="K44" s="21">
        <f>lc_detailed!BO44/$S$2</f>
        <v/>
      </c>
      <c r="L44" s="21">
        <f>lc_detailed!BP44/$S$2</f>
        <v/>
      </c>
      <c r="M44" s="21">
        <f>lc_detailed!BN44</f>
        <v/>
      </c>
      <c r="N44" s="21">
        <f>lc_detailed!AV44</f>
        <v/>
      </c>
      <c r="O44" s="21">
        <f>N44/$S$2</f>
        <v/>
      </c>
      <c r="P44" s="21">
        <f>SUM(B44:L44)</f>
        <v/>
      </c>
    </row>
    <row r="45">
      <c r="A45">
        <f>lc_detailed!AQ45</f>
        <v/>
      </c>
      <c r="B45" s="21">
        <f>lc_detailed!AY45/$S$2</f>
        <v/>
      </c>
      <c r="C45" s="21">
        <f>lc_detailed!AZ45/$S$2</f>
        <v/>
      </c>
      <c r="D45" s="21">
        <f>lc_detailed!BA45/$S$2</f>
        <v/>
      </c>
      <c r="E45" s="21">
        <f>lc_detailed!BB45/$S$2</f>
        <v/>
      </c>
      <c r="F45" s="21">
        <f>lc_detailed!BC45/$S$2</f>
        <v/>
      </c>
      <c r="G45" s="21">
        <f>lc_detailed!BD45/$S$2</f>
        <v/>
      </c>
      <c r="H45" s="21">
        <f>lc_detailed!BE45/$S$2</f>
        <v/>
      </c>
      <c r="I45" s="21">
        <f>lc_detailed!BF45/$S$2</f>
        <v/>
      </c>
      <c r="J45" s="21">
        <f>lc_detailed!BG45/$S$2</f>
        <v/>
      </c>
      <c r="K45" s="21">
        <f>lc_detailed!BO45/$S$2</f>
        <v/>
      </c>
      <c r="L45" s="21">
        <f>lc_detailed!BP45/$S$2</f>
        <v/>
      </c>
      <c r="M45" s="21">
        <f>lc_detailed!BN45</f>
        <v/>
      </c>
      <c r="N45" s="21">
        <f>lc_detailed!AV45</f>
        <v/>
      </c>
      <c r="O45" s="21">
        <f>N45/$S$2</f>
        <v/>
      </c>
      <c r="P45" s="21">
        <f>SUM(B45:L45)</f>
        <v/>
      </c>
    </row>
    <row r="46">
      <c r="A46">
        <f>lc_detailed!AQ46</f>
        <v/>
      </c>
      <c r="B46" s="21">
        <f>lc_detailed!AY46/$S$2</f>
        <v/>
      </c>
      <c r="C46" s="21">
        <f>lc_detailed!AZ46/$S$2</f>
        <v/>
      </c>
      <c r="D46" s="21">
        <f>lc_detailed!BA46/$S$2</f>
        <v/>
      </c>
      <c r="E46" s="21">
        <f>lc_detailed!BB46/$S$2</f>
        <v/>
      </c>
      <c r="F46" s="21">
        <f>lc_detailed!BC46/$S$2</f>
        <v/>
      </c>
      <c r="G46" s="21">
        <f>lc_detailed!BD46/$S$2</f>
        <v/>
      </c>
      <c r="H46" s="21">
        <f>lc_detailed!BE46/$S$2</f>
        <v/>
      </c>
      <c r="I46" s="21">
        <f>lc_detailed!BF46/$S$2</f>
        <v/>
      </c>
      <c r="J46" s="21">
        <f>lc_detailed!BG46/$S$2</f>
        <v/>
      </c>
      <c r="K46" s="21">
        <f>lc_detailed!BO46/$S$2</f>
        <v/>
      </c>
      <c r="L46" s="21">
        <f>lc_detailed!BP46/$S$2</f>
        <v/>
      </c>
      <c r="M46" s="21">
        <f>lc_detailed!BN46</f>
        <v/>
      </c>
      <c r="N46" s="21">
        <f>lc_detailed!AV46</f>
        <v/>
      </c>
      <c r="O46" s="21">
        <f>N46/$S$2</f>
        <v/>
      </c>
      <c r="P46" s="21">
        <f>SUM(B46:L46)</f>
        <v/>
      </c>
    </row>
    <row r="47">
      <c r="A47">
        <f>lc_detailed!AQ47</f>
        <v/>
      </c>
      <c r="B47" s="21">
        <f>lc_detailed!AY47/$S$2</f>
        <v/>
      </c>
      <c r="C47" s="21">
        <f>lc_detailed!AZ47/$S$2</f>
        <v/>
      </c>
      <c r="D47" s="21">
        <f>lc_detailed!BA47/$S$2</f>
        <v/>
      </c>
      <c r="E47" s="21">
        <f>lc_detailed!BB47/$S$2</f>
        <v/>
      </c>
      <c r="F47" s="21">
        <f>lc_detailed!BC47/$S$2</f>
        <v/>
      </c>
      <c r="G47" s="21">
        <f>lc_detailed!BD47/$S$2</f>
        <v/>
      </c>
      <c r="H47" s="21">
        <f>lc_detailed!BE47/$S$2</f>
        <v/>
      </c>
      <c r="I47" s="21">
        <f>lc_detailed!BF47/$S$2</f>
        <v/>
      </c>
      <c r="J47" s="21">
        <f>lc_detailed!BG47/$S$2</f>
        <v/>
      </c>
      <c r="K47" s="21">
        <f>lc_detailed!BO47/$S$2</f>
        <v/>
      </c>
      <c r="L47" s="21">
        <f>lc_detailed!BP47/$S$2</f>
        <v/>
      </c>
      <c r="M47" s="21">
        <f>lc_detailed!BN47</f>
        <v/>
      </c>
      <c r="N47" s="21">
        <f>lc_detailed!AV47</f>
        <v/>
      </c>
      <c r="O47" s="21">
        <f>N47/$S$2</f>
        <v/>
      </c>
      <c r="P47" s="21">
        <f>SUM(B47:L47)</f>
        <v/>
      </c>
    </row>
    <row r="48">
      <c r="A48">
        <f>lc_detailed!AQ48</f>
        <v/>
      </c>
      <c r="B48" s="21">
        <f>lc_detailed!AY48/$S$2</f>
        <v/>
      </c>
      <c r="C48" s="21">
        <f>lc_detailed!AZ48/$S$2</f>
        <v/>
      </c>
      <c r="D48" s="21">
        <f>lc_detailed!BA48/$S$2</f>
        <v/>
      </c>
      <c r="E48" s="21">
        <f>lc_detailed!BB48/$S$2</f>
        <v/>
      </c>
      <c r="F48" s="21">
        <f>lc_detailed!BC48/$S$2</f>
        <v/>
      </c>
      <c r="G48" s="21">
        <f>lc_detailed!BD48/$S$2</f>
        <v/>
      </c>
      <c r="H48" s="21">
        <f>lc_detailed!BE48/$S$2</f>
        <v/>
      </c>
      <c r="I48" s="21">
        <f>lc_detailed!BF48/$S$2</f>
        <v/>
      </c>
      <c r="J48" s="21">
        <f>lc_detailed!BG48/$S$2</f>
        <v/>
      </c>
      <c r="K48" s="21">
        <f>lc_detailed!BO48/$S$2</f>
        <v/>
      </c>
      <c r="L48" s="21">
        <f>lc_detailed!BP48/$S$2</f>
        <v/>
      </c>
      <c r="M48" s="21">
        <f>lc_detailed!BN48</f>
        <v/>
      </c>
      <c r="N48" s="21">
        <f>lc_detailed!AV48</f>
        <v/>
      </c>
      <c r="O48" s="21">
        <f>N48/$S$2</f>
        <v/>
      </c>
      <c r="P48" s="21">
        <f>SUM(B48:L48)</f>
        <v/>
      </c>
    </row>
    <row r="49">
      <c r="A49">
        <f>lc_detailed!AQ49</f>
        <v/>
      </c>
      <c r="B49" s="21">
        <f>lc_detailed!AY49/$S$2</f>
        <v/>
      </c>
      <c r="C49" s="21">
        <f>lc_detailed!AZ49/$S$2</f>
        <v/>
      </c>
      <c r="D49" s="21">
        <f>lc_detailed!BA49/$S$2</f>
        <v/>
      </c>
      <c r="E49" s="21">
        <f>lc_detailed!BB49/$S$2</f>
        <v/>
      </c>
      <c r="F49" s="21">
        <f>lc_detailed!BC49/$S$2</f>
        <v/>
      </c>
      <c r="G49" s="21">
        <f>lc_detailed!BD49/$S$2</f>
        <v/>
      </c>
      <c r="H49" s="21">
        <f>lc_detailed!BE49/$S$2</f>
        <v/>
      </c>
      <c r="I49" s="21">
        <f>lc_detailed!BF49/$S$2</f>
        <v/>
      </c>
      <c r="J49" s="21">
        <f>lc_detailed!BG49/$S$2</f>
        <v/>
      </c>
      <c r="K49" s="21">
        <f>lc_detailed!BO49/$S$2</f>
        <v/>
      </c>
      <c r="L49" s="21">
        <f>lc_detailed!BP49/$S$2</f>
        <v/>
      </c>
      <c r="M49" s="21">
        <f>lc_detailed!BN49</f>
        <v/>
      </c>
      <c r="N49" s="21">
        <f>lc_detailed!AV49</f>
        <v/>
      </c>
      <c r="O49" s="21">
        <f>N49/$S$2</f>
        <v/>
      </c>
      <c r="P49" s="21">
        <f>SUM(B49:L49)</f>
        <v/>
      </c>
    </row>
    <row r="50">
      <c r="A50">
        <f>lc_detailed!AQ50</f>
        <v/>
      </c>
      <c r="B50" s="21">
        <f>lc_detailed!AY50/$S$2</f>
        <v/>
      </c>
      <c r="C50" s="21">
        <f>lc_detailed!AZ50/$S$2</f>
        <v/>
      </c>
      <c r="D50" s="21">
        <f>lc_detailed!BA50/$S$2</f>
        <v/>
      </c>
      <c r="E50" s="21">
        <f>lc_detailed!BB50/$S$2</f>
        <v/>
      </c>
      <c r="F50" s="21">
        <f>lc_detailed!BC50/$S$2</f>
        <v/>
      </c>
      <c r="G50" s="21">
        <f>lc_detailed!BD50/$S$2</f>
        <v/>
      </c>
      <c r="H50" s="21">
        <f>lc_detailed!BE50/$S$2</f>
        <v/>
      </c>
      <c r="I50" s="21">
        <f>lc_detailed!BF50/$S$2</f>
        <v/>
      </c>
      <c r="J50" s="21">
        <f>lc_detailed!BG50/$S$2</f>
        <v/>
      </c>
      <c r="K50" s="21">
        <f>lc_detailed!BO50/$S$2</f>
        <v/>
      </c>
      <c r="L50" s="21">
        <f>lc_detailed!BP50/$S$2</f>
        <v/>
      </c>
      <c r="M50" s="21">
        <f>lc_detailed!BN50</f>
        <v/>
      </c>
      <c r="N50" s="21">
        <f>lc_detailed!AV50</f>
        <v/>
      </c>
      <c r="O50" s="21">
        <f>N50/$S$2</f>
        <v/>
      </c>
      <c r="P50" s="21">
        <f>SUM(B50:L50)</f>
        <v/>
      </c>
    </row>
    <row r="51">
      <c r="A51">
        <f>lc_detailed!AQ51</f>
        <v/>
      </c>
      <c r="B51" s="21">
        <f>lc_detailed!AY51/$S$2</f>
        <v/>
      </c>
      <c r="C51" s="21">
        <f>lc_detailed!AZ51/$S$2</f>
        <v/>
      </c>
      <c r="D51" s="21">
        <f>lc_detailed!BA51/$S$2</f>
        <v/>
      </c>
      <c r="E51" s="21">
        <f>lc_detailed!BB51/$S$2</f>
        <v/>
      </c>
      <c r="F51" s="21">
        <f>lc_detailed!BC51/$S$2</f>
        <v/>
      </c>
      <c r="G51" s="21">
        <f>lc_detailed!BD51/$S$2</f>
        <v/>
      </c>
      <c r="H51" s="21">
        <f>lc_detailed!BE51/$S$2</f>
        <v/>
      </c>
      <c r="I51" s="21">
        <f>lc_detailed!BF51/$S$2</f>
        <v/>
      </c>
      <c r="J51" s="21">
        <f>lc_detailed!BG51/$S$2</f>
        <v/>
      </c>
      <c r="K51" s="21">
        <f>lc_detailed!BO51/$S$2</f>
        <v/>
      </c>
      <c r="L51" s="21">
        <f>lc_detailed!BP51/$S$2</f>
        <v/>
      </c>
      <c r="M51" s="21">
        <f>lc_detailed!BN51</f>
        <v/>
      </c>
      <c r="N51" s="21">
        <f>lc_detailed!AV51</f>
        <v/>
      </c>
      <c r="O51" s="21">
        <f>N51/$S$2</f>
        <v/>
      </c>
      <c r="P51" s="21">
        <f>SUM(B51:L51)</f>
        <v/>
      </c>
    </row>
    <row r="52">
      <c r="A52">
        <f>lc_detailed!AQ52</f>
        <v/>
      </c>
      <c r="B52" s="21">
        <f>lc_detailed!AY52/$S$2</f>
        <v/>
      </c>
      <c r="C52" s="21">
        <f>lc_detailed!AZ52/$S$2</f>
        <v/>
      </c>
      <c r="D52" s="21">
        <f>lc_detailed!BA52/$S$2</f>
        <v/>
      </c>
      <c r="E52" s="21">
        <f>lc_detailed!BB52/$S$2</f>
        <v/>
      </c>
      <c r="F52" s="21">
        <f>lc_detailed!BC52/$S$2</f>
        <v/>
      </c>
      <c r="G52" s="21">
        <f>lc_detailed!BD52/$S$2</f>
        <v/>
      </c>
      <c r="H52" s="21">
        <f>lc_detailed!BE52/$S$2</f>
        <v/>
      </c>
      <c r="I52" s="21">
        <f>lc_detailed!BF52/$S$2</f>
        <v/>
      </c>
      <c r="J52" s="21">
        <f>lc_detailed!BG52/$S$2</f>
        <v/>
      </c>
      <c r="K52" s="21">
        <f>lc_detailed!BO52/$S$2</f>
        <v/>
      </c>
      <c r="L52" s="21">
        <f>lc_detailed!BP52/$S$2</f>
        <v/>
      </c>
      <c r="M52" s="21">
        <f>lc_detailed!BN52</f>
        <v/>
      </c>
      <c r="N52" s="21">
        <f>lc_detailed!AV52</f>
        <v/>
      </c>
      <c r="O52" s="21">
        <f>N52/$S$2</f>
        <v/>
      </c>
      <c r="P52" s="21">
        <f>SUM(B52:L52)</f>
        <v/>
      </c>
    </row>
    <row r="53">
      <c r="A53">
        <f>lc_detailed!AQ53</f>
        <v/>
      </c>
      <c r="B53" s="21">
        <f>lc_detailed!AY53/$S$2</f>
        <v/>
      </c>
      <c r="C53" s="21">
        <f>lc_detailed!AZ53/$S$2</f>
        <v/>
      </c>
      <c r="D53" s="21">
        <f>lc_detailed!BA53/$S$2</f>
        <v/>
      </c>
      <c r="E53" s="21">
        <f>lc_detailed!BB53/$S$2</f>
        <v/>
      </c>
      <c r="F53" s="21">
        <f>lc_detailed!BC53/$S$2</f>
        <v/>
      </c>
      <c r="G53" s="21">
        <f>lc_detailed!BD53/$S$2</f>
        <v/>
      </c>
      <c r="H53" s="21">
        <f>lc_detailed!BE53/$S$2</f>
        <v/>
      </c>
      <c r="I53" s="21">
        <f>lc_detailed!BF53/$S$2</f>
        <v/>
      </c>
      <c r="J53" s="21">
        <f>lc_detailed!BG53/$S$2</f>
        <v/>
      </c>
      <c r="K53" s="21">
        <f>lc_detailed!BO53/$S$2</f>
        <v/>
      </c>
      <c r="L53" s="21">
        <f>lc_detailed!BP53/$S$2</f>
        <v/>
      </c>
      <c r="M53" s="21">
        <f>lc_detailed!BN53</f>
        <v/>
      </c>
      <c r="N53" s="21">
        <f>lc_detailed!AV53</f>
        <v/>
      </c>
      <c r="O53" s="21">
        <f>N53/$S$2</f>
        <v/>
      </c>
      <c r="P53" s="21">
        <f>SUM(B53:L53)</f>
        <v/>
      </c>
    </row>
    <row r="54">
      <c r="A54">
        <f>lc_detailed!AQ54</f>
        <v/>
      </c>
      <c r="B54" s="21">
        <f>lc_detailed!AY54/$S$2</f>
        <v/>
      </c>
      <c r="C54" s="21">
        <f>lc_detailed!AZ54/$S$2</f>
        <v/>
      </c>
      <c r="D54" s="21">
        <f>lc_detailed!BA54/$S$2</f>
        <v/>
      </c>
      <c r="E54" s="21">
        <f>lc_detailed!BB54/$S$2</f>
        <v/>
      </c>
      <c r="F54" s="21">
        <f>lc_detailed!BC54/$S$2</f>
        <v/>
      </c>
      <c r="G54" s="21">
        <f>lc_detailed!BD54/$S$2</f>
        <v/>
      </c>
      <c r="H54" s="21">
        <f>lc_detailed!BE54/$S$2</f>
        <v/>
      </c>
      <c r="I54" s="21">
        <f>lc_detailed!BF54/$S$2</f>
        <v/>
      </c>
      <c r="J54" s="21">
        <f>lc_detailed!BG54/$S$2</f>
        <v/>
      </c>
      <c r="K54" s="21">
        <f>lc_detailed!BO54/$S$2</f>
        <v/>
      </c>
      <c r="L54" s="21">
        <f>lc_detailed!BP54/$S$2</f>
        <v/>
      </c>
      <c r="M54" s="21">
        <f>lc_detailed!BN54</f>
        <v/>
      </c>
      <c r="N54" s="21">
        <f>lc_detailed!AV54</f>
        <v/>
      </c>
      <c r="O54" s="21">
        <f>N54/$S$2</f>
        <v/>
      </c>
      <c r="P54" s="21">
        <f>SUM(B54:L54)</f>
        <v/>
      </c>
    </row>
    <row r="55">
      <c r="A55">
        <f>lc_detailed!AQ55</f>
        <v/>
      </c>
      <c r="B55" s="21">
        <f>lc_detailed!AY55/$S$2</f>
        <v/>
      </c>
      <c r="C55" s="21">
        <f>lc_detailed!AZ55/$S$2</f>
        <v/>
      </c>
      <c r="D55" s="21">
        <f>lc_detailed!BA55/$S$2</f>
        <v/>
      </c>
      <c r="E55" s="21">
        <f>lc_detailed!BB55/$S$2</f>
        <v/>
      </c>
      <c r="F55" s="21">
        <f>lc_detailed!BC55/$S$2</f>
        <v/>
      </c>
      <c r="G55" s="21">
        <f>lc_detailed!BD55/$S$2</f>
        <v/>
      </c>
      <c r="H55" s="21">
        <f>lc_detailed!BE55/$S$2</f>
        <v/>
      </c>
      <c r="I55" s="21">
        <f>lc_detailed!BF55/$S$2</f>
        <v/>
      </c>
      <c r="J55" s="21">
        <f>lc_detailed!BG55/$S$2</f>
        <v/>
      </c>
      <c r="K55" s="21">
        <f>lc_detailed!BO55/$S$2</f>
        <v/>
      </c>
      <c r="L55" s="21">
        <f>lc_detailed!BP55/$S$2</f>
        <v/>
      </c>
      <c r="M55" s="21">
        <f>lc_detailed!BN55</f>
        <v/>
      </c>
      <c r="N55" s="21">
        <f>lc_detailed!AV55</f>
        <v/>
      </c>
      <c r="O55" s="21">
        <f>N55/$S$2</f>
        <v/>
      </c>
      <c r="P55" s="21">
        <f>SUM(B55:L55)</f>
        <v/>
      </c>
    </row>
    <row r="56">
      <c r="A56">
        <f>lc_detailed!AQ56</f>
        <v/>
      </c>
      <c r="B56" s="21">
        <f>lc_detailed!AY56/$S$2</f>
        <v/>
      </c>
      <c r="C56" s="21">
        <f>lc_detailed!AZ56/$S$2</f>
        <v/>
      </c>
      <c r="D56" s="21">
        <f>lc_detailed!BA56/$S$2</f>
        <v/>
      </c>
      <c r="E56" s="21">
        <f>lc_detailed!BB56/$S$2</f>
        <v/>
      </c>
      <c r="F56" s="21">
        <f>lc_detailed!BC56/$S$2</f>
        <v/>
      </c>
      <c r="G56" s="21">
        <f>lc_detailed!BD56/$S$2</f>
        <v/>
      </c>
      <c r="H56" s="21">
        <f>lc_detailed!BE56/$S$2</f>
        <v/>
      </c>
      <c r="I56" s="21">
        <f>lc_detailed!BF56/$S$2</f>
        <v/>
      </c>
      <c r="J56" s="21">
        <f>lc_detailed!BG56/$S$2</f>
        <v/>
      </c>
      <c r="K56" s="21">
        <f>lc_detailed!BO56/$S$2</f>
        <v/>
      </c>
      <c r="L56" s="21">
        <f>lc_detailed!BP56/$S$2</f>
        <v/>
      </c>
      <c r="M56" s="21">
        <f>lc_detailed!BN56</f>
        <v/>
      </c>
      <c r="N56" s="21">
        <f>lc_detailed!AV56</f>
        <v/>
      </c>
      <c r="O56" s="21">
        <f>N56/$S$2</f>
        <v/>
      </c>
      <c r="P56" s="21">
        <f>SUM(B56:L56)</f>
        <v/>
      </c>
    </row>
    <row r="57">
      <c r="A57">
        <f>lc_detailed!AQ57</f>
        <v/>
      </c>
      <c r="B57" s="21">
        <f>lc_detailed!AY57/$S$2</f>
        <v/>
      </c>
      <c r="C57" s="21">
        <f>lc_detailed!AZ57/$S$2</f>
        <v/>
      </c>
      <c r="D57" s="21">
        <f>lc_detailed!BA57/$S$2</f>
        <v/>
      </c>
      <c r="E57" s="21">
        <f>lc_detailed!BB57/$S$2</f>
        <v/>
      </c>
      <c r="F57" s="21">
        <f>lc_detailed!BC57/$S$2</f>
        <v/>
      </c>
      <c r="G57" s="21">
        <f>lc_detailed!BD57/$S$2</f>
        <v/>
      </c>
      <c r="H57" s="21">
        <f>lc_detailed!BE57/$S$2</f>
        <v/>
      </c>
      <c r="I57" s="21">
        <f>lc_detailed!BF57/$S$2</f>
        <v/>
      </c>
      <c r="J57" s="21">
        <f>lc_detailed!BG57/$S$2</f>
        <v/>
      </c>
      <c r="K57" s="21">
        <f>lc_detailed!BO57/$S$2</f>
        <v/>
      </c>
      <c r="L57" s="21">
        <f>lc_detailed!BP57/$S$2</f>
        <v/>
      </c>
      <c r="M57" s="21">
        <f>lc_detailed!BN57</f>
        <v/>
      </c>
      <c r="N57" s="21">
        <f>lc_detailed!AV57</f>
        <v/>
      </c>
      <c r="O57" s="21">
        <f>N57/$S$2</f>
        <v/>
      </c>
      <c r="P57" s="21">
        <f>SUM(B57:L57)</f>
        <v/>
      </c>
    </row>
    <row r="58">
      <c r="A58">
        <f>lc_detailed!AQ58</f>
        <v/>
      </c>
      <c r="B58" s="21">
        <f>lc_detailed!AY58/$S$2</f>
        <v/>
      </c>
      <c r="C58" s="21">
        <f>lc_detailed!AZ58/$S$2</f>
        <v/>
      </c>
      <c r="D58" s="21">
        <f>lc_detailed!BA58/$S$2</f>
        <v/>
      </c>
      <c r="E58" s="21">
        <f>lc_detailed!BB58/$S$2</f>
        <v/>
      </c>
      <c r="F58" s="21">
        <f>lc_detailed!BC58/$S$2</f>
        <v/>
      </c>
      <c r="G58" s="21">
        <f>lc_detailed!BD58/$S$2</f>
        <v/>
      </c>
      <c r="H58" s="21">
        <f>lc_detailed!BE58/$S$2</f>
        <v/>
      </c>
      <c r="I58" s="21">
        <f>lc_detailed!BF58/$S$2</f>
        <v/>
      </c>
      <c r="J58" s="21">
        <f>lc_detailed!BG58/$S$2</f>
        <v/>
      </c>
      <c r="K58" s="21">
        <f>lc_detailed!BO58/$S$2</f>
        <v/>
      </c>
      <c r="L58" s="21">
        <f>lc_detailed!BP58/$S$2</f>
        <v/>
      </c>
      <c r="M58" s="21">
        <f>lc_detailed!BN58</f>
        <v/>
      </c>
      <c r="N58" s="21">
        <f>lc_detailed!AV58</f>
        <v/>
      </c>
      <c r="O58" s="21">
        <f>N58/$S$2</f>
        <v/>
      </c>
      <c r="P58" s="21">
        <f>SUM(B58:L58)</f>
        <v/>
      </c>
    </row>
    <row r="59">
      <c r="A59">
        <f>lc_detailed!AQ59</f>
        <v/>
      </c>
      <c r="B59" s="21">
        <f>lc_detailed!AY59/$S$2</f>
        <v/>
      </c>
      <c r="C59" s="21">
        <f>lc_detailed!AZ59/$S$2</f>
        <v/>
      </c>
      <c r="D59" s="21">
        <f>lc_detailed!BA59/$S$2</f>
        <v/>
      </c>
      <c r="E59" s="21">
        <f>lc_detailed!BB59/$S$2</f>
        <v/>
      </c>
      <c r="F59" s="21">
        <f>lc_detailed!BC59/$S$2</f>
        <v/>
      </c>
      <c r="G59" s="21">
        <f>lc_detailed!BD59/$S$2</f>
        <v/>
      </c>
      <c r="H59" s="21">
        <f>lc_detailed!BE59/$S$2</f>
        <v/>
      </c>
      <c r="I59" s="21">
        <f>lc_detailed!BF59/$S$2</f>
        <v/>
      </c>
      <c r="J59" s="21">
        <f>lc_detailed!BG59/$S$2</f>
        <v/>
      </c>
      <c r="K59" s="21">
        <f>lc_detailed!BO59/$S$2</f>
        <v/>
      </c>
      <c r="L59" s="21">
        <f>lc_detailed!BP59/$S$2</f>
        <v/>
      </c>
      <c r="M59" s="21">
        <f>lc_detailed!BN59</f>
        <v/>
      </c>
      <c r="N59" s="21">
        <f>lc_detailed!AV59</f>
        <v/>
      </c>
      <c r="O59" s="21">
        <f>N59/$S$2</f>
        <v/>
      </c>
      <c r="P59" s="21">
        <f>SUM(B59:L59)</f>
        <v/>
      </c>
    </row>
    <row r="60">
      <c r="A60">
        <f>lc_detailed!AQ60</f>
        <v/>
      </c>
      <c r="B60" s="21">
        <f>lc_detailed!AY60/$S$2</f>
        <v/>
      </c>
      <c r="C60" s="21">
        <f>lc_detailed!AZ60/$S$2</f>
        <v/>
      </c>
      <c r="D60" s="21">
        <f>lc_detailed!BA60/$S$2</f>
        <v/>
      </c>
      <c r="E60" s="21">
        <f>lc_detailed!BB60/$S$2</f>
        <v/>
      </c>
      <c r="F60" s="21">
        <f>lc_detailed!BC60/$S$2</f>
        <v/>
      </c>
      <c r="G60" s="21">
        <f>lc_detailed!BD60/$S$2</f>
        <v/>
      </c>
      <c r="H60" s="21">
        <f>lc_detailed!BE60/$S$2</f>
        <v/>
      </c>
      <c r="I60" s="21">
        <f>lc_detailed!BF60/$S$2</f>
        <v/>
      </c>
      <c r="J60" s="21">
        <f>lc_detailed!BG60/$S$2</f>
        <v/>
      </c>
      <c r="K60" s="21">
        <f>lc_detailed!BO60/$S$2</f>
        <v/>
      </c>
      <c r="L60" s="21">
        <f>lc_detailed!BP60/$S$2</f>
        <v/>
      </c>
      <c r="M60" s="21">
        <f>lc_detailed!BN60</f>
        <v/>
      </c>
      <c r="N60" s="21">
        <f>lc_detailed!AV60</f>
        <v/>
      </c>
      <c r="O60" s="21">
        <f>N60/$S$2</f>
        <v/>
      </c>
      <c r="P60" s="21">
        <f>SUM(B60:L60)</f>
        <v/>
      </c>
    </row>
    <row r="61">
      <c r="A61">
        <f>lc_detailed!AQ61</f>
        <v/>
      </c>
      <c r="B61" s="21">
        <f>lc_detailed!AY61/$S$2</f>
        <v/>
      </c>
      <c r="C61" s="21">
        <f>lc_detailed!AZ61/$S$2</f>
        <v/>
      </c>
      <c r="D61" s="21">
        <f>lc_detailed!BA61/$S$2</f>
        <v/>
      </c>
      <c r="E61" s="21">
        <f>lc_detailed!BB61/$S$2</f>
        <v/>
      </c>
      <c r="F61" s="21">
        <f>lc_detailed!BC61/$S$2</f>
        <v/>
      </c>
      <c r="G61" s="21">
        <f>lc_detailed!BD61/$S$2</f>
        <v/>
      </c>
      <c r="H61" s="21">
        <f>lc_detailed!BE61/$S$2</f>
        <v/>
      </c>
      <c r="I61" s="21">
        <f>lc_detailed!BF61/$S$2</f>
        <v/>
      </c>
      <c r="J61" s="21">
        <f>lc_detailed!BG61/$S$2</f>
        <v/>
      </c>
      <c r="K61" s="21">
        <f>lc_detailed!BO61/$S$2</f>
        <v/>
      </c>
      <c r="L61" s="21">
        <f>lc_detailed!BP61/$S$2</f>
        <v/>
      </c>
      <c r="M61" s="21">
        <f>lc_detailed!BN61</f>
        <v/>
      </c>
      <c r="N61" s="21">
        <f>lc_detailed!AV61</f>
        <v/>
      </c>
      <c r="O61" s="21">
        <f>N61/$S$2</f>
        <v/>
      </c>
      <c r="P61" s="21">
        <f>SUM(B61:L61)</f>
        <v/>
      </c>
    </row>
    <row r="62">
      <c r="A62">
        <f>lc_detailed!AQ62</f>
        <v/>
      </c>
      <c r="B62" s="21">
        <f>lc_detailed!AY62/$S$2</f>
        <v/>
      </c>
      <c r="C62" s="21">
        <f>lc_detailed!AZ62/$S$2</f>
        <v/>
      </c>
      <c r="D62" s="21">
        <f>lc_detailed!BA62/$S$2</f>
        <v/>
      </c>
      <c r="E62" s="21">
        <f>lc_detailed!BB62/$S$2</f>
        <v/>
      </c>
      <c r="F62" s="21">
        <f>lc_detailed!BC62/$S$2</f>
        <v/>
      </c>
      <c r="G62" s="21">
        <f>lc_detailed!BD62/$S$2</f>
        <v/>
      </c>
      <c r="H62" s="21">
        <f>lc_detailed!BE62/$S$2</f>
        <v/>
      </c>
      <c r="I62" s="21">
        <f>lc_detailed!BF62/$S$2</f>
        <v/>
      </c>
      <c r="J62" s="21">
        <f>lc_detailed!BG62/$S$2</f>
        <v/>
      </c>
      <c r="K62" s="21">
        <f>lc_detailed!BO62/$S$2</f>
        <v/>
      </c>
      <c r="L62" s="21">
        <f>lc_detailed!BP62/$S$2</f>
        <v/>
      </c>
      <c r="M62" s="21">
        <f>lc_detailed!BN62</f>
        <v/>
      </c>
      <c r="N62" s="21">
        <f>lc_detailed!AV62</f>
        <v/>
      </c>
      <c r="O62" s="21">
        <f>N62/$S$2</f>
        <v/>
      </c>
      <c r="P62" s="21">
        <f>SUM(B62:L62)</f>
        <v/>
      </c>
    </row>
    <row r="63">
      <c r="A63">
        <f>lc_detailed!AQ63</f>
        <v/>
      </c>
      <c r="B63" s="21">
        <f>lc_detailed!AY63/$S$2</f>
        <v/>
      </c>
      <c r="C63" s="21">
        <f>lc_detailed!AZ63/$S$2</f>
        <v/>
      </c>
      <c r="D63" s="21">
        <f>lc_detailed!BA63/$S$2</f>
        <v/>
      </c>
      <c r="E63" s="21">
        <f>lc_detailed!BB63/$S$2</f>
        <v/>
      </c>
      <c r="F63" s="21">
        <f>lc_detailed!BC63/$S$2</f>
        <v/>
      </c>
      <c r="G63" s="21">
        <f>lc_detailed!BD63/$S$2</f>
        <v/>
      </c>
      <c r="H63" s="21">
        <f>lc_detailed!BE63/$S$2</f>
        <v/>
      </c>
      <c r="I63" s="21">
        <f>lc_detailed!BF63/$S$2</f>
        <v/>
      </c>
      <c r="J63" s="21">
        <f>lc_detailed!BG63/$S$2</f>
        <v/>
      </c>
      <c r="K63" s="21">
        <f>lc_detailed!BO63/$S$2</f>
        <v/>
      </c>
      <c r="L63" s="21">
        <f>lc_detailed!BP63/$S$2</f>
        <v/>
      </c>
      <c r="M63" s="21">
        <f>lc_detailed!BN63</f>
        <v/>
      </c>
      <c r="N63" s="21">
        <f>lc_detailed!AV63</f>
        <v/>
      </c>
      <c r="O63" s="21">
        <f>N63/$S$2</f>
        <v/>
      </c>
      <c r="P63" s="21">
        <f>SUM(B63:L63)</f>
        <v/>
      </c>
    </row>
    <row r="64">
      <c r="A64">
        <f>lc_detailed!AQ64</f>
        <v/>
      </c>
      <c r="B64" s="21">
        <f>lc_detailed!AY64/$S$2</f>
        <v/>
      </c>
      <c r="C64" s="21">
        <f>lc_detailed!AZ64/$S$2</f>
        <v/>
      </c>
      <c r="D64" s="21">
        <f>lc_detailed!BA64/$S$2</f>
        <v/>
      </c>
      <c r="E64" s="21">
        <f>lc_detailed!BB64/$S$2</f>
        <v/>
      </c>
      <c r="F64" s="21">
        <f>lc_detailed!BC64/$S$2</f>
        <v/>
      </c>
      <c r="G64" s="21">
        <f>lc_detailed!BD64/$S$2</f>
        <v/>
      </c>
      <c r="H64" s="21">
        <f>lc_detailed!BE64/$S$2</f>
        <v/>
      </c>
      <c r="I64" s="21">
        <f>lc_detailed!BF64/$S$2</f>
        <v/>
      </c>
      <c r="J64" s="21">
        <f>lc_detailed!BG64/$S$2</f>
        <v/>
      </c>
      <c r="K64" s="21">
        <f>lc_detailed!BO64/$S$2</f>
        <v/>
      </c>
      <c r="L64" s="21">
        <f>lc_detailed!BP64/$S$2</f>
        <v/>
      </c>
      <c r="M64" s="21">
        <f>lc_detailed!BN64</f>
        <v/>
      </c>
      <c r="N64" s="21">
        <f>lc_detailed!AV64</f>
        <v/>
      </c>
      <c r="O64" s="21">
        <f>N64/$S$2</f>
        <v/>
      </c>
      <c r="P64" s="21">
        <f>SUM(B64:L64)</f>
        <v/>
      </c>
    </row>
    <row r="65">
      <c r="A65">
        <f>lc_detailed!AQ65</f>
        <v/>
      </c>
      <c r="B65" s="21">
        <f>lc_detailed!AY65/$S$2</f>
        <v/>
      </c>
      <c r="C65" s="21">
        <f>lc_detailed!AZ65/$S$2</f>
        <v/>
      </c>
      <c r="D65" s="21">
        <f>lc_detailed!BA65/$S$2</f>
        <v/>
      </c>
      <c r="E65" s="21">
        <f>lc_detailed!BB65/$S$2</f>
        <v/>
      </c>
      <c r="F65" s="21">
        <f>lc_detailed!BC65/$S$2</f>
        <v/>
      </c>
      <c r="G65" s="21">
        <f>lc_detailed!BD65/$S$2</f>
        <v/>
      </c>
      <c r="H65" s="21">
        <f>lc_detailed!BE65/$S$2</f>
        <v/>
      </c>
      <c r="I65" s="21">
        <f>lc_detailed!BF65/$S$2</f>
        <v/>
      </c>
      <c r="J65" s="21">
        <f>lc_detailed!BG65/$S$2</f>
        <v/>
      </c>
      <c r="K65" s="21">
        <f>lc_detailed!BO65/$S$2</f>
        <v/>
      </c>
      <c r="L65" s="21">
        <f>lc_detailed!BP65/$S$2</f>
        <v/>
      </c>
      <c r="M65" s="21">
        <f>lc_detailed!BN65</f>
        <v/>
      </c>
      <c r="N65" s="21">
        <f>lc_detailed!AV65</f>
        <v/>
      </c>
      <c r="O65" s="21">
        <f>N65/$S$2</f>
        <v/>
      </c>
      <c r="P65" s="21">
        <f>SUM(B65:L65)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2026-04-11T21:18:46Z</dcterms:modified>
  <cp:lastModifiedBy>Abigail Cheng</cp:lastModifiedBy>
</cp:coreProperties>
</file>