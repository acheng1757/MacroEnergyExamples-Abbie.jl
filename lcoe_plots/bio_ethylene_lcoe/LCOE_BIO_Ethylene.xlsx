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bio_ethylene_lcoe/"/>
    </mc:Choice>
  </mc:AlternateContent>
  <xr:revisionPtr revIDLastSave="0" documentId="13_ncr:1_{58AD6457-629D-D54F-A221-4F84C974FFE0}" xr6:coauthVersionLast="47" xr6:coauthVersionMax="47" xr10:uidLastSave="{00000000-0000-0000-0000-000000000000}"/>
  <bookViews>
    <workbookView xWindow="29400" yWindow="500" windowWidth="38400" windowHeight="211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2" l="1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4" i="2"/>
  <c r="AK5" i="2"/>
  <c r="AL5" i="2"/>
  <c r="AM5" i="2"/>
  <c r="AK6" i="2"/>
  <c r="AL6" i="2"/>
  <c r="AM6" i="2"/>
  <c r="AK7" i="2"/>
  <c r="AL7" i="2"/>
  <c r="AM7" i="2"/>
  <c r="AK8" i="2"/>
  <c r="AL8" i="2"/>
  <c r="AM8" i="2"/>
  <c r="AK9" i="2"/>
  <c r="AL9" i="2"/>
  <c r="AM9" i="2"/>
  <c r="AK10" i="2"/>
  <c r="AL10" i="2"/>
  <c r="AM10" i="2"/>
  <c r="AK11" i="2"/>
  <c r="AL11" i="2"/>
  <c r="AM11" i="2"/>
  <c r="AK12" i="2"/>
  <c r="AL12" i="2"/>
  <c r="AM12" i="2"/>
  <c r="AK13" i="2"/>
  <c r="AL13" i="2"/>
  <c r="AM13" i="2"/>
  <c r="AK14" i="2"/>
  <c r="AL14" i="2"/>
  <c r="AM14" i="2"/>
  <c r="AK15" i="2"/>
  <c r="AL15" i="2"/>
  <c r="AM15" i="2"/>
  <c r="AK16" i="2"/>
  <c r="AL16" i="2"/>
  <c r="AM16" i="2"/>
  <c r="AK17" i="2"/>
  <c r="AL17" i="2"/>
  <c r="AM17" i="2"/>
  <c r="AK18" i="2"/>
  <c r="AL18" i="2"/>
  <c r="AM18" i="2"/>
  <c r="AK19" i="2"/>
  <c r="AL19" i="2"/>
  <c r="AM19" i="2"/>
  <c r="AK20" i="2"/>
  <c r="AL20" i="2"/>
  <c r="AM20" i="2"/>
  <c r="AK21" i="2"/>
  <c r="AL21" i="2"/>
  <c r="AM21" i="2"/>
  <c r="AK22" i="2"/>
  <c r="AL22" i="2"/>
  <c r="AM22" i="2"/>
  <c r="AK23" i="2"/>
  <c r="AL23" i="2"/>
  <c r="AM23" i="2"/>
  <c r="AK24" i="2"/>
  <c r="AL24" i="2"/>
  <c r="AM24" i="2"/>
  <c r="AK25" i="2"/>
  <c r="AL25" i="2"/>
  <c r="AM25" i="2"/>
  <c r="AK26" i="2"/>
  <c r="AL26" i="2"/>
  <c r="AM26" i="2"/>
  <c r="AK27" i="2"/>
  <c r="AL27" i="2"/>
  <c r="AM27" i="2"/>
  <c r="AK28" i="2"/>
  <c r="AL28" i="2"/>
  <c r="AM28" i="2"/>
  <c r="AK29" i="2"/>
  <c r="AL29" i="2"/>
  <c r="AM29" i="2"/>
  <c r="AK30" i="2"/>
  <c r="AL30" i="2"/>
  <c r="AM30" i="2"/>
  <c r="AK31" i="2"/>
  <c r="AL31" i="2"/>
  <c r="AM31" i="2"/>
  <c r="AK32" i="2"/>
  <c r="AL32" i="2"/>
  <c r="AM32" i="2"/>
  <c r="AK33" i="2"/>
  <c r="AL33" i="2"/>
  <c r="AM33" i="2"/>
  <c r="AK34" i="2"/>
  <c r="AL34" i="2"/>
  <c r="AM34" i="2"/>
  <c r="AK35" i="2"/>
  <c r="AL35" i="2"/>
  <c r="AM35" i="2"/>
  <c r="AK36" i="2"/>
  <c r="AL36" i="2"/>
  <c r="AM36" i="2"/>
  <c r="AK37" i="2"/>
  <c r="AL37" i="2"/>
  <c r="AM37" i="2"/>
  <c r="AK38" i="2"/>
  <c r="AL38" i="2"/>
  <c r="AM38" i="2"/>
  <c r="AK39" i="2"/>
  <c r="AL39" i="2"/>
  <c r="AM39" i="2"/>
  <c r="AK40" i="2"/>
  <c r="AL40" i="2"/>
  <c r="AM40" i="2"/>
  <c r="AK41" i="2"/>
  <c r="AL41" i="2"/>
  <c r="AM41" i="2"/>
  <c r="AK42" i="2"/>
  <c r="AL42" i="2"/>
  <c r="AM42" i="2"/>
  <c r="AK43" i="2"/>
  <c r="AL43" i="2"/>
  <c r="AM43" i="2"/>
  <c r="AK44" i="2"/>
  <c r="AL44" i="2"/>
  <c r="AM44" i="2"/>
  <c r="AK45" i="2"/>
  <c r="AL45" i="2"/>
  <c r="AM45" i="2"/>
  <c r="AK46" i="2"/>
  <c r="AL46" i="2"/>
  <c r="AM46" i="2"/>
  <c r="AK47" i="2"/>
  <c r="AL47" i="2"/>
  <c r="AM47" i="2"/>
  <c r="AK48" i="2"/>
  <c r="AL48" i="2"/>
  <c r="AM48" i="2"/>
  <c r="AK49" i="2"/>
  <c r="AL49" i="2"/>
  <c r="AM49" i="2"/>
  <c r="AK50" i="2"/>
  <c r="AL50" i="2"/>
  <c r="AM50" i="2"/>
  <c r="AK51" i="2"/>
  <c r="AL51" i="2"/>
  <c r="AM51" i="2"/>
  <c r="AK52" i="2"/>
  <c r="AL52" i="2"/>
  <c r="AM52" i="2"/>
  <c r="AK53" i="2"/>
  <c r="AL53" i="2"/>
  <c r="AM53" i="2"/>
  <c r="AK54" i="2"/>
  <c r="AL54" i="2"/>
  <c r="AM54" i="2"/>
  <c r="AK55" i="2"/>
  <c r="AL55" i="2"/>
  <c r="AM55" i="2"/>
  <c r="AK56" i="2"/>
  <c r="AL56" i="2"/>
  <c r="AM56" i="2"/>
  <c r="AK57" i="2"/>
  <c r="AL57" i="2"/>
  <c r="AM57" i="2"/>
  <c r="AK58" i="2"/>
  <c r="AL58" i="2"/>
  <c r="AM58" i="2"/>
  <c r="AK59" i="2"/>
  <c r="AL59" i="2"/>
  <c r="AM59" i="2"/>
  <c r="AM4" i="2"/>
  <c r="AL4" i="2"/>
  <c r="AK4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Y4" i="2"/>
  <c r="Z4" i="2"/>
  <c r="AA4" i="2"/>
  <c r="AB4" i="2"/>
  <c r="AC4" i="2"/>
  <c r="AD4" i="2"/>
  <c r="AE4" i="2"/>
  <c r="AF4" i="2"/>
  <c r="AG4" i="2"/>
  <c r="AH4" i="2"/>
  <c r="AI4" i="2"/>
  <c r="AJ4" i="2"/>
  <c r="X4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R4" i="2"/>
  <c r="Q4" i="2"/>
  <c r="P4" i="2"/>
  <c r="D4" i="2"/>
  <c r="E4" i="2"/>
  <c r="F4" i="2"/>
  <c r="G4" i="2"/>
  <c r="H4" i="2"/>
  <c r="I4" i="2"/>
  <c r="J4" i="2"/>
  <c r="K4" i="2"/>
  <c r="L4" i="2"/>
  <c r="M4" i="2"/>
  <c r="N4" i="2"/>
  <c r="O4" i="2"/>
  <c r="C4" i="2"/>
  <c r="AN59" i="2"/>
  <c r="W59" i="2"/>
  <c r="S59" i="2"/>
  <c r="B59" i="2"/>
  <c r="AN58" i="2"/>
  <c r="W58" i="2"/>
  <c r="S58" i="2"/>
  <c r="B58" i="2"/>
  <c r="AN57" i="2"/>
  <c r="W57" i="2"/>
  <c r="S57" i="2"/>
  <c r="B57" i="2"/>
  <c r="AN56" i="2"/>
  <c r="W56" i="2"/>
  <c r="S56" i="2"/>
  <c r="B56" i="2"/>
  <c r="AN55" i="2"/>
  <c r="W55" i="2"/>
  <c r="S55" i="2"/>
  <c r="B55" i="2"/>
  <c r="AN54" i="2"/>
  <c r="W54" i="2"/>
  <c r="S54" i="2"/>
  <c r="B54" i="2"/>
  <c r="AN53" i="2"/>
  <c r="W53" i="2"/>
  <c r="S53" i="2"/>
  <c r="B53" i="2"/>
  <c r="AN52" i="2"/>
  <c r="W52" i="2"/>
  <c r="S52" i="2"/>
  <c r="B52" i="2"/>
  <c r="AN51" i="2"/>
  <c r="W51" i="2"/>
  <c r="S51" i="2"/>
  <c r="B51" i="2"/>
  <c r="AN50" i="2"/>
  <c r="W50" i="2"/>
  <c r="S50" i="2"/>
  <c r="B50" i="2"/>
  <c r="AN49" i="2"/>
  <c r="W49" i="2"/>
  <c r="S49" i="2"/>
  <c r="B49" i="2"/>
  <c r="AN48" i="2"/>
  <c r="W48" i="2"/>
  <c r="S48" i="2"/>
  <c r="B48" i="2"/>
  <c r="AN47" i="2"/>
  <c r="W47" i="2"/>
  <c r="S47" i="2"/>
  <c r="B47" i="2"/>
  <c r="AN46" i="2"/>
  <c r="W46" i="2"/>
  <c r="S46" i="2"/>
  <c r="B46" i="2"/>
  <c r="AN45" i="2"/>
  <c r="W45" i="2"/>
  <c r="S45" i="2"/>
  <c r="B45" i="2"/>
  <c r="AN44" i="2"/>
  <c r="W44" i="2"/>
  <c r="S44" i="2"/>
  <c r="B44" i="2"/>
  <c r="AN43" i="2"/>
  <c r="W43" i="2"/>
  <c r="S43" i="2"/>
  <c r="B43" i="2"/>
  <c r="AN42" i="2"/>
  <c r="W42" i="2"/>
  <c r="S42" i="2"/>
  <c r="B42" i="2"/>
  <c r="AN41" i="2"/>
  <c r="W41" i="2"/>
  <c r="S41" i="2"/>
  <c r="B41" i="2"/>
  <c r="AN40" i="2"/>
  <c r="W40" i="2"/>
  <c r="S40" i="2"/>
  <c r="B40" i="2"/>
  <c r="AN39" i="2"/>
  <c r="W39" i="2"/>
  <c r="S39" i="2"/>
  <c r="B39" i="2"/>
  <c r="AN38" i="2"/>
  <c r="W38" i="2"/>
  <c r="S38" i="2"/>
  <c r="B38" i="2"/>
  <c r="AN37" i="2"/>
  <c r="W37" i="2"/>
  <c r="S37" i="2"/>
  <c r="B37" i="2"/>
  <c r="AN36" i="2"/>
  <c r="W36" i="2"/>
  <c r="S36" i="2"/>
  <c r="B36" i="2"/>
  <c r="AN35" i="2"/>
  <c r="W35" i="2"/>
  <c r="S35" i="2"/>
  <c r="B35" i="2"/>
  <c r="AN34" i="2"/>
  <c r="W34" i="2"/>
  <c r="S34" i="2"/>
  <c r="B34" i="2"/>
  <c r="AN33" i="2"/>
  <c r="W33" i="2"/>
  <c r="S33" i="2"/>
  <c r="B33" i="2"/>
  <c r="AN32" i="2"/>
  <c r="W32" i="2"/>
  <c r="S32" i="2"/>
  <c r="B32" i="2"/>
  <c r="AN31" i="2"/>
  <c r="W31" i="2"/>
  <c r="S31" i="2"/>
  <c r="B31" i="2"/>
  <c r="AN30" i="2"/>
  <c r="W30" i="2"/>
  <c r="S30" i="2"/>
  <c r="B30" i="2"/>
  <c r="AN29" i="2"/>
  <c r="W29" i="2"/>
  <c r="S29" i="2"/>
  <c r="B29" i="2"/>
  <c r="AN28" i="2"/>
  <c r="W28" i="2"/>
  <c r="S28" i="2"/>
  <c r="B28" i="2"/>
  <c r="AN27" i="2"/>
  <c r="W27" i="2"/>
  <c r="S27" i="2"/>
  <c r="B27" i="2"/>
  <c r="AN26" i="2"/>
  <c r="W26" i="2"/>
  <c r="S26" i="2"/>
  <c r="B26" i="2"/>
  <c r="AN25" i="2"/>
  <c r="W25" i="2"/>
  <c r="S25" i="2"/>
  <c r="B25" i="2"/>
  <c r="AN24" i="2"/>
  <c r="W24" i="2"/>
  <c r="S24" i="2"/>
  <c r="B24" i="2"/>
  <c r="AN23" i="2"/>
  <c r="W23" i="2"/>
  <c r="S23" i="2"/>
  <c r="B23" i="2"/>
  <c r="AN22" i="2"/>
  <c r="W22" i="2"/>
  <c r="S22" i="2"/>
  <c r="B22" i="2"/>
  <c r="AN21" i="2"/>
  <c r="W21" i="2"/>
  <c r="S21" i="2"/>
  <c r="B21" i="2"/>
  <c r="AN20" i="2"/>
  <c r="W20" i="2"/>
  <c r="S20" i="2"/>
  <c r="B20" i="2"/>
  <c r="AN19" i="2"/>
  <c r="W19" i="2"/>
  <c r="S19" i="2"/>
  <c r="B19" i="2"/>
  <c r="AN18" i="2"/>
  <c r="W18" i="2"/>
  <c r="S18" i="2"/>
  <c r="B18" i="2"/>
  <c r="AN17" i="2"/>
  <c r="W17" i="2"/>
  <c r="S17" i="2"/>
  <c r="B17" i="2"/>
  <c r="AN16" i="2"/>
  <c r="W16" i="2"/>
  <c r="S16" i="2"/>
  <c r="B16" i="2"/>
  <c r="AN15" i="2"/>
  <c r="W15" i="2"/>
  <c r="S15" i="2"/>
  <c r="B15" i="2"/>
  <c r="AN14" i="2"/>
  <c r="W14" i="2"/>
  <c r="S14" i="2"/>
  <c r="B14" i="2"/>
  <c r="AN13" i="2"/>
  <c r="W13" i="2"/>
  <c r="S13" i="2"/>
  <c r="B13" i="2"/>
  <c r="AN12" i="2"/>
  <c r="W12" i="2"/>
  <c r="S12" i="2"/>
  <c r="B12" i="2"/>
  <c r="B11" i="2"/>
  <c r="B10" i="2"/>
  <c r="B6" i="2"/>
  <c r="DF11" i="1"/>
  <c r="DA11" i="1"/>
  <c r="BS11" i="1"/>
  <c r="BQ11" i="1"/>
  <c r="BO11" i="1"/>
  <c r="BM11" i="1"/>
  <c r="BI11" i="1"/>
  <c r="BH11" i="1"/>
  <c r="BA11" i="1"/>
  <c r="AZ11" i="1"/>
  <c r="W11" i="2" s="1"/>
  <c r="Q11" i="1" a="1"/>
  <c r="AA11" i="1" s="1"/>
  <c r="DF10" i="1"/>
  <c r="DA10" i="1"/>
  <c r="BS10" i="1"/>
  <c r="BQ10" i="1"/>
  <c r="BO10" i="1"/>
  <c r="BM10" i="1"/>
  <c r="BI10" i="1"/>
  <c r="BH10" i="1"/>
  <c r="BA10" i="1"/>
  <c r="AZ10" i="1"/>
  <c r="W10" i="2" s="1"/>
  <c r="Q10" i="1" a="1"/>
  <c r="Y10" i="1" s="1"/>
  <c r="DF9" i="1"/>
  <c r="DA9" i="1"/>
  <c r="BS9" i="1"/>
  <c r="BQ9" i="1"/>
  <c r="BO9" i="1"/>
  <c r="BM9" i="1"/>
  <c r="BI9" i="1"/>
  <c r="BH9" i="1"/>
  <c r="BA9" i="1"/>
  <c r="AZ9" i="1"/>
  <c r="Q9" i="1" a="1"/>
  <c r="V9" i="1" s="1"/>
  <c r="DF8" i="1"/>
  <c r="DA8" i="1"/>
  <c r="BS8" i="1"/>
  <c r="BQ8" i="1"/>
  <c r="BO8" i="1"/>
  <c r="BM8" i="1"/>
  <c r="BI8" i="1"/>
  <c r="BH8" i="1"/>
  <c r="BA8" i="1"/>
  <c r="AZ8" i="1"/>
  <c r="Q8" i="1" a="1"/>
  <c r="V8" i="1" s="1"/>
  <c r="CY8" i="1" s="1"/>
  <c r="DF7" i="1"/>
  <c r="DA7" i="1"/>
  <c r="BS7" i="1"/>
  <c r="BQ7" i="1"/>
  <c r="BO7" i="1"/>
  <c r="BM7" i="1"/>
  <c r="BI7" i="1"/>
  <c r="BH7" i="1"/>
  <c r="BA7" i="1"/>
  <c r="AZ7" i="1"/>
  <c r="W7" i="2" s="1"/>
  <c r="AB7" i="1"/>
  <c r="CQ7" i="1" s="1"/>
  <c r="BT7" i="1" s="1"/>
  <c r="AA7" i="1"/>
  <c r="Q7" i="1" a="1"/>
  <c r="U7" i="1" s="1"/>
  <c r="Q7" i="1"/>
  <c r="CH7" i="1" s="1"/>
  <c r="E7" i="1"/>
  <c r="DF6" i="1"/>
  <c r="DA6" i="1"/>
  <c r="BS6" i="1"/>
  <c r="BQ6" i="1"/>
  <c r="BO6" i="1"/>
  <c r="BM6" i="1"/>
  <c r="BI6" i="1"/>
  <c r="BH6" i="1"/>
  <c r="BA6" i="1"/>
  <c r="AZ6" i="1"/>
  <c r="W6" i="2" s="1"/>
  <c r="Z6" i="1"/>
  <c r="Y6" i="1"/>
  <c r="X6" i="1"/>
  <c r="W6" i="1"/>
  <c r="CT6" i="1" s="1"/>
  <c r="V6" i="1"/>
  <c r="Q6" i="1" a="1"/>
  <c r="Q6" i="1"/>
  <c r="CH6" i="1" s="1"/>
  <c r="E6" i="1"/>
  <c r="DF5" i="1"/>
  <c r="DA5" i="1"/>
  <c r="CT5" i="1"/>
  <c r="CX5" i="1" s="1"/>
  <c r="CH5" i="1"/>
  <c r="BS5" i="1"/>
  <c r="BQ5" i="1"/>
  <c r="BO5" i="1"/>
  <c r="BM5" i="1"/>
  <c r="BI5" i="1"/>
  <c r="BH5" i="1"/>
  <c r="BA5" i="1"/>
  <c r="AZ5" i="1"/>
  <c r="AB5" i="1"/>
  <c r="CQ5" i="1" s="1"/>
  <c r="BT5" i="1" s="1"/>
  <c r="Z5" i="1"/>
  <c r="X5" i="1"/>
  <c r="DE5" i="1" s="1"/>
  <c r="W5" i="1"/>
  <c r="V5" i="1"/>
  <c r="U5" i="1"/>
  <c r="CO5" i="1" s="1"/>
  <c r="BP5" i="1" s="1"/>
  <c r="T5" i="1"/>
  <c r="CJ5" i="1" s="1"/>
  <c r="BJ5" i="1" s="1"/>
  <c r="R5" i="1"/>
  <c r="CK5" i="1" s="1" a="1"/>
  <c r="CK5" i="1" s="1"/>
  <c r="BL5" i="1" s="1"/>
  <c r="Q5" i="1" a="1"/>
  <c r="AA5" i="1" s="1"/>
  <c r="CP5" i="1" s="1"/>
  <c r="BR5" i="1" s="1"/>
  <c r="Q5" i="1"/>
  <c r="E5" i="1"/>
  <c r="DF4" i="1"/>
  <c r="DA4" i="1"/>
  <c r="BS4" i="1"/>
  <c r="BQ4" i="1"/>
  <c r="BO4" i="1"/>
  <c r="BM4" i="1"/>
  <c r="BI4" i="1"/>
  <c r="BH4" i="1"/>
  <c r="BA4" i="1"/>
  <c r="AZ4" i="1"/>
  <c r="W4" i="2" s="1"/>
  <c r="AB4" i="1"/>
  <c r="AA4" i="1"/>
  <c r="Z4" i="1"/>
  <c r="X4" i="1"/>
  <c r="W4" i="1"/>
  <c r="CT4" i="1" s="1"/>
  <c r="V4" i="1"/>
  <c r="U4" i="1"/>
  <c r="T4" i="1"/>
  <c r="CJ4" i="1" s="1"/>
  <c r="BJ4" i="1" s="1"/>
  <c r="S4" i="1"/>
  <c r="R4" i="1"/>
  <c r="Q4" i="1" a="1"/>
  <c r="Y4" i="1" s="1"/>
  <c r="Q4" i="1"/>
  <c r="CH4" i="1" s="1"/>
  <c r="E4" i="1"/>
  <c r="T4" i="2" l="1"/>
  <c r="U4" i="2" s="1"/>
  <c r="T44" i="2"/>
  <c r="U44" i="2" s="1"/>
  <c r="T52" i="2"/>
  <c r="U52" i="2" s="1"/>
  <c r="T28" i="2"/>
  <c r="U28" i="2" s="1"/>
  <c r="T26" i="2"/>
  <c r="U26" i="2" s="1"/>
  <c r="T36" i="2"/>
  <c r="U36" i="2" s="1"/>
  <c r="T56" i="2"/>
  <c r="U56" i="2" s="1"/>
  <c r="T20" i="2"/>
  <c r="U20" i="2" s="1"/>
  <c r="T23" i="2"/>
  <c r="U23" i="2" s="1"/>
  <c r="T35" i="2"/>
  <c r="U35" i="2" s="1"/>
  <c r="T17" i="2"/>
  <c r="U17" i="2" s="1"/>
  <c r="T21" i="2"/>
  <c r="U21" i="2" s="1"/>
  <c r="T25" i="2"/>
  <c r="U25" i="2" s="1"/>
  <c r="T41" i="2"/>
  <c r="U41" i="2" s="1"/>
  <c r="T49" i="2"/>
  <c r="U49" i="2" s="1"/>
  <c r="AO21" i="2"/>
  <c r="AO29" i="2"/>
  <c r="T27" i="2"/>
  <c r="U27" i="2" s="1"/>
  <c r="T39" i="2"/>
  <c r="U39" i="2" s="1"/>
  <c r="T13" i="2"/>
  <c r="U13" i="2" s="1"/>
  <c r="T29" i="2"/>
  <c r="U29" i="2" s="1"/>
  <c r="T31" i="2"/>
  <c r="U31" i="2" s="1"/>
  <c r="T37" i="2"/>
  <c r="U37" i="2" s="1"/>
  <c r="T45" i="2"/>
  <c r="U45" i="2" s="1"/>
  <c r="T47" i="2"/>
  <c r="U47" i="2" s="1"/>
  <c r="T42" i="2"/>
  <c r="U42" i="2" s="1"/>
  <c r="AO34" i="2"/>
  <c r="T12" i="2"/>
  <c r="U12" i="2" s="1"/>
  <c r="AO16" i="2"/>
  <c r="AO18" i="2"/>
  <c r="AO24" i="2"/>
  <c r="AO26" i="2"/>
  <c r="AO32" i="2"/>
  <c r="AO40" i="2"/>
  <c r="AO42" i="2"/>
  <c r="AO48" i="2"/>
  <c r="AO50" i="2"/>
  <c r="AO56" i="2"/>
  <c r="AO58" i="2"/>
  <c r="T57" i="2"/>
  <c r="U57" i="2" s="1"/>
  <c r="T55" i="2"/>
  <c r="U55" i="2" s="1"/>
  <c r="T15" i="2"/>
  <c r="U15" i="2" s="1"/>
  <c r="T33" i="2"/>
  <c r="U33" i="2" s="1"/>
  <c r="AO13" i="2"/>
  <c r="AO17" i="2"/>
  <c r="AO19" i="2"/>
  <c r="AO31" i="2"/>
  <c r="AO35" i="2"/>
  <c r="AO37" i="2"/>
  <c r="AO41" i="2"/>
  <c r="AO45" i="2"/>
  <c r="AO49" i="2"/>
  <c r="AO53" i="2"/>
  <c r="Z9" i="1"/>
  <c r="X9" i="1"/>
  <c r="AB10" i="1"/>
  <c r="V11" i="1"/>
  <c r="W11" i="1"/>
  <c r="CT11" i="1" s="1"/>
  <c r="CL9" i="1"/>
  <c r="BN9" i="1" s="1"/>
  <c r="AA9" i="1"/>
  <c r="CP9" i="1" s="1"/>
  <c r="BR9" i="1" s="1"/>
  <c r="Q9" i="1"/>
  <c r="R10" i="1"/>
  <c r="AB9" i="1"/>
  <c r="AB11" i="1"/>
  <c r="S9" i="1"/>
  <c r="U10" i="1"/>
  <c r="CK10" i="1" s="1" a="1"/>
  <c r="CK10" i="1" s="1"/>
  <c r="BL10" i="1" s="1"/>
  <c r="T9" i="1"/>
  <c r="CJ9" i="1" s="1"/>
  <c r="BJ9" i="1" s="1"/>
  <c r="V10" i="1"/>
  <c r="CL10" i="1" s="1"/>
  <c r="BN10" i="1" s="1"/>
  <c r="Q11" i="1"/>
  <c r="X11" i="1"/>
  <c r="R9" i="1"/>
  <c r="T10" i="1"/>
  <c r="U9" i="1"/>
  <c r="CK9" i="1" s="1" a="1"/>
  <c r="CK9" i="1" s="1"/>
  <c r="BL9" i="1" s="1"/>
  <c r="W10" i="1"/>
  <c r="CT10" i="1" s="1"/>
  <c r="CX10" i="1" s="1"/>
  <c r="W9" i="1"/>
  <c r="CT9" i="1" s="1"/>
  <c r="CX9" i="1" s="1"/>
  <c r="DB9" i="1" s="1"/>
  <c r="Z10" i="1"/>
  <c r="CO10" i="1" s="1"/>
  <c r="BP10" i="1" s="1"/>
  <c r="T11" i="1"/>
  <c r="AA8" i="1"/>
  <c r="W8" i="1"/>
  <c r="CT8" i="1" s="1"/>
  <c r="X8" i="1"/>
  <c r="Y8" i="1"/>
  <c r="R8" i="1"/>
  <c r="CK8" i="1" s="1" a="1"/>
  <c r="CK8" i="1" s="1"/>
  <c r="BL8" i="1" s="1"/>
  <c r="S8" i="1"/>
  <c r="U8" i="1"/>
  <c r="CL8" i="1" s="1"/>
  <c r="BN8" i="1" s="1"/>
  <c r="Q8" i="1"/>
  <c r="CY4" i="1"/>
  <c r="CQ4" i="1"/>
  <c r="BT4" i="1" s="1"/>
  <c r="CP4" i="1"/>
  <c r="BR4" i="1" s="1"/>
  <c r="B5" i="2"/>
  <c r="W5" i="2"/>
  <c r="CO4" i="1"/>
  <c r="BP4" i="1" s="1"/>
  <c r="DD4" i="1"/>
  <c r="CV5" i="1"/>
  <c r="CZ5" i="1" s="1"/>
  <c r="CK4" i="1" a="1"/>
  <c r="CK4" i="1" s="1"/>
  <c r="BL4" i="1" s="1"/>
  <c r="BV5" i="1"/>
  <c r="CB5" i="1"/>
  <c r="BY5" i="1"/>
  <c r="CE5" i="1"/>
  <c r="L5" i="1"/>
  <c r="DG5" i="1" s="1"/>
  <c r="CY9" i="1"/>
  <c r="CY5" i="1"/>
  <c r="DB5" i="1" s="1"/>
  <c r="CL5" i="1"/>
  <c r="BN5" i="1" s="1"/>
  <c r="CI4" i="1"/>
  <c r="BK4" i="1" s="1"/>
  <c r="CL4" i="1"/>
  <c r="BN4" i="1" s="1"/>
  <c r="Y7" i="1"/>
  <c r="DD7" i="1" s="1"/>
  <c r="DD10" i="1"/>
  <c r="B4" i="2"/>
  <c r="AO15" i="2"/>
  <c r="T24" i="2"/>
  <c r="U24" i="2" s="1"/>
  <c r="T40" i="2"/>
  <c r="U40" i="2" s="1"/>
  <c r="T51" i="2"/>
  <c r="U51" i="2" s="1"/>
  <c r="T16" i="2"/>
  <c r="U16" i="2" s="1"/>
  <c r="AO33" i="2"/>
  <c r="AO47" i="2"/>
  <c r="T18" i="2"/>
  <c r="U18" i="2" s="1"/>
  <c r="T53" i="2"/>
  <c r="U53" i="2" s="1"/>
  <c r="CO9" i="1"/>
  <c r="BP9" i="1" s="1"/>
  <c r="AO23" i="2"/>
  <c r="T32" i="2"/>
  <c r="U32" i="2" s="1"/>
  <c r="T34" i="2"/>
  <c r="U34" i="2" s="1"/>
  <c r="CP7" i="1"/>
  <c r="BR7" i="1" s="1"/>
  <c r="B9" i="2"/>
  <c r="W9" i="2"/>
  <c r="DE4" i="1"/>
  <c r="B7" i="2"/>
  <c r="U6" i="1"/>
  <c r="CY6" i="1" s="1"/>
  <c r="AA6" i="1"/>
  <c r="S6" i="1"/>
  <c r="AB6" i="1"/>
  <c r="T7" i="1"/>
  <c r="CJ7" i="1" s="1"/>
  <c r="BJ7" i="1" s="1"/>
  <c r="CP8" i="1"/>
  <c r="BR8" i="1" s="1"/>
  <c r="R6" i="1"/>
  <c r="W8" i="2"/>
  <c r="B8" i="2"/>
  <c r="AO25" i="2"/>
  <c r="AO27" i="2"/>
  <c r="T43" i="2"/>
  <c r="U43" i="2" s="1"/>
  <c r="T48" i="2"/>
  <c r="U48" i="2" s="1"/>
  <c r="T50" i="2"/>
  <c r="U50" i="2" s="1"/>
  <c r="AO55" i="2"/>
  <c r="CX4" i="1"/>
  <c r="Z7" i="1"/>
  <c r="CO7" i="1" s="1"/>
  <c r="BP7" i="1" s="1"/>
  <c r="R7" i="1"/>
  <c r="CK7" i="1" s="1" a="1"/>
  <c r="CK7" i="1" s="1"/>
  <c r="BL7" i="1" s="1"/>
  <c r="X7" i="1"/>
  <c r="DE7" i="1" s="1"/>
  <c r="V7" i="1"/>
  <c r="S7" i="1"/>
  <c r="CI7" i="1" s="1"/>
  <c r="BK7" i="1" s="1"/>
  <c r="T6" i="1"/>
  <c r="W7" i="1"/>
  <c r="CT7" i="1" s="1"/>
  <c r="CX7" i="1" s="1"/>
  <c r="T19" i="2"/>
  <c r="U19" i="2" s="1"/>
  <c r="AO39" i="2"/>
  <c r="AO57" i="2"/>
  <c r="AO43" i="2"/>
  <c r="AO51" i="2"/>
  <c r="T58" i="2"/>
  <c r="U58" i="2" s="1"/>
  <c r="Y5" i="1"/>
  <c r="DD5" i="1" s="1"/>
  <c r="CH9" i="1"/>
  <c r="E9" i="1"/>
  <c r="CP11" i="1"/>
  <c r="BR11" i="1" s="1"/>
  <c r="AO12" i="2"/>
  <c r="AO20" i="2"/>
  <c r="T22" i="2"/>
  <c r="U22" i="2" s="1"/>
  <c r="AO28" i="2"/>
  <c r="AO36" i="2"/>
  <c r="T38" i="2"/>
  <c r="U38" i="2" s="1"/>
  <c r="AO44" i="2"/>
  <c r="T46" i="2"/>
  <c r="U46" i="2" s="1"/>
  <c r="AO52" i="2"/>
  <c r="T54" i="2"/>
  <c r="U54" i="2" s="1"/>
  <c r="T59" i="2"/>
  <c r="U59" i="2" s="1"/>
  <c r="T14" i="2"/>
  <c r="U14" i="2" s="1"/>
  <c r="T30" i="2"/>
  <c r="U30" i="2" s="1"/>
  <c r="S5" i="1"/>
  <c r="CI5" i="1" s="1"/>
  <c r="BK5" i="1" s="1"/>
  <c r="AB8" i="1"/>
  <c r="T8" i="1"/>
  <c r="Z8" i="1"/>
  <c r="CO8" i="1" s="1"/>
  <c r="BP8" i="1" s="1"/>
  <c r="CQ9" i="1"/>
  <c r="BT9" i="1" s="1"/>
  <c r="AO14" i="2"/>
  <c r="AO22" i="2"/>
  <c r="AO30" i="2"/>
  <c r="AO38" i="2"/>
  <c r="AO46" i="2"/>
  <c r="AO54" i="2"/>
  <c r="AO59" i="2"/>
  <c r="Y9" i="1"/>
  <c r="DD9" i="1" s="1"/>
  <c r="S10" i="1"/>
  <c r="CI10" i="1" s="1"/>
  <c r="BK10" i="1" s="1"/>
  <c r="AA10" i="1"/>
  <c r="CP10" i="1" s="1"/>
  <c r="BR10" i="1" s="1"/>
  <c r="U11" i="1"/>
  <c r="CJ11" i="1" s="1"/>
  <c r="BJ11" i="1" s="1"/>
  <c r="Y11" i="1"/>
  <c r="Q10" i="1"/>
  <c r="X10" i="1"/>
  <c r="R11" i="1"/>
  <c r="CK11" i="1" s="1" a="1"/>
  <c r="CK11" i="1" s="1"/>
  <c r="BL11" i="1" s="1"/>
  <c r="Z11" i="1"/>
  <c r="S11" i="1"/>
  <c r="CH11" i="1" l="1"/>
  <c r="E11" i="1"/>
  <c r="CV10" i="1"/>
  <c r="CZ10" i="1" s="1"/>
  <c r="L10" i="1" s="1"/>
  <c r="DG10" i="1" s="1"/>
  <c r="DH10" i="1" s="1"/>
  <c r="CV9" i="1"/>
  <c r="CZ9" i="1" s="1"/>
  <c r="L9" i="1" s="1"/>
  <c r="DG9" i="1" s="1"/>
  <c r="DH9" i="1" s="1"/>
  <c r="CA9" i="1" s="1"/>
  <c r="CJ10" i="1"/>
  <c r="BJ10" i="1" s="1"/>
  <c r="CQ10" i="1"/>
  <c r="BT10" i="1" s="1"/>
  <c r="DE10" i="1"/>
  <c r="CY10" i="1"/>
  <c r="DB10" i="1" s="1"/>
  <c r="CI9" i="1"/>
  <c r="BK9" i="1" s="1"/>
  <c r="DD11" i="1"/>
  <c r="DE9" i="1"/>
  <c r="CH8" i="1"/>
  <c r="E8" i="1"/>
  <c r="CI8" i="1"/>
  <c r="BK8" i="1" s="1"/>
  <c r="CJ8" i="1"/>
  <c r="BJ8" i="1" s="1"/>
  <c r="CQ8" i="1"/>
  <c r="BT8" i="1" s="1"/>
  <c r="DE8" i="1"/>
  <c r="DD8" i="1"/>
  <c r="CX8" i="1"/>
  <c r="CJ6" i="1"/>
  <c r="BJ6" i="1" s="1"/>
  <c r="CK6" i="1" a="1"/>
  <c r="CK6" i="1" s="1"/>
  <c r="BL6" i="1" s="1"/>
  <c r="CB4" i="1"/>
  <c r="BY4" i="1"/>
  <c r="CE4" i="1"/>
  <c r="BV4" i="1"/>
  <c r="E10" i="1"/>
  <c r="CH10" i="1"/>
  <c r="CV4" i="1"/>
  <c r="CZ4" i="1" s="1"/>
  <c r="L4" i="1" s="1"/>
  <c r="DG4" i="1" s="1"/>
  <c r="DB4" i="1"/>
  <c r="CX11" i="1"/>
  <c r="CQ11" i="1"/>
  <c r="BT11" i="1" s="1"/>
  <c r="DD6" i="1"/>
  <c r="CI11" i="1"/>
  <c r="BK11" i="1" s="1"/>
  <c r="DH5" i="1"/>
  <c r="DJ5" i="1" s="1"/>
  <c r="CQ6" i="1"/>
  <c r="BT6" i="1" s="1"/>
  <c r="DE6" i="1"/>
  <c r="CB10" i="1"/>
  <c r="BV10" i="1"/>
  <c r="BY10" i="1"/>
  <c r="CE10" i="1"/>
  <c r="DH4" i="1"/>
  <c r="CO11" i="1"/>
  <c r="BP11" i="1" s="1"/>
  <c r="CY11" i="1"/>
  <c r="CI6" i="1"/>
  <c r="BK6" i="1" s="1"/>
  <c r="DE11" i="1"/>
  <c r="CL6" i="1"/>
  <c r="BN6" i="1" s="1"/>
  <c r="CO6" i="1"/>
  <c r="BP6" i="1" s="1"/>
  <c r="CE7" i="1"/>
  <c r="BV7" i="1"/>
  <c r="CB7" i="1"/>
  <c r="BY7" i="1"/>
  <c r="CL11" i="1"/>
  <c r="BN11" i="1" s="1"/>
  <c r="CY7" i="1"/>
  <c r="CV7" i="1" s="1"/>
  <c r="CZ7" i="1" s="1"/>
  <c r="L7" i="1" s="1"/>
  <c r="DG7" i="1" s="1"/>
  <c r="DH7" i="1" s="1"/>
  <c r="CL7" i="1"/>
  <c r="BN7" i="1" s="1"/>
  <c r="CP6" i="1"/>
  <c r="BR6" i="1" s="1"/>
  <c r="CX6" i="1"/>
  <c r="DJ10" i="1" l="1"/>
  <c r="CD10" i="1"/>
  <c r="CF10" i="1" s="1"/>
  <c r="BU10" i="1"/>
  <c r="BX10" i="1"/>
  <c r="BZ10" i="1" s="1"/>
  <c r="CA10" i="1"/>
  <c r="BV9" i="1"/>
  <c r="CE9" i="1"/>
  <c r="CB9" i="1"/>
  <c r="BY9" i="1"/>
  <c r="CE8" i="1"/>
  <c r="BY8" i="1"/>
  <c r="CB8" i="1"/>
  <c r="BV8" i="1"/>
  <c r="DB8" i="1"/>
  <c r="CV8" i="1"/>
  <c r="CZ8" i="1" s="1"/>
  <c r="L8" i="1" s="1"/>
  <c r="DG8" i="1" s="1"/>
  <c r="DH8" i="1" s="1"/>
  <c r="CC9" i="1"/>
  <c r="BU9" i="1"/>
  <c r="BU5" i="1"/>
  <c r="BC4" i="1"/>
  <c r="BX5" i="1"/>
  <c r="BZ5" i="1" s="1"/>
  <c r="BC5" i="1" s="1"/>
  <c r="DB7" i="1"/>
  <c r="DJ9" i="1"/>
  <c r="CC10" i="1"/>
  <c r="CA5" i="1"/>
  <c r="BX4" i="1"/>
  <c r="BZ4" i="1" s="1"/>
  <c r="BU4" i="1"/>
  <c r="DJ4" i="1"/>
  <c r="CA4" i="1"/>
  <c r="CD4" i="1"/>
  <c r="CF4" i="1" s="1"/>
  <c r="BF4" i="1" s="1"/>
  <c r="BF10" i="1"/>
  <c r="BX9" i="1"/>
  <c r="BZ9" i="1" s="1"/>
  <c r="BC9" i="1" s="1"/>
  <c r="CD5" i="1"/>
  <c r="CF5" i="1" s="1"/>
  <c r="BF5" i="1" s="1"/>
  <c r="BV11" i="1"/>
  <c r="CB11" i="1"/>
  <c r="CE11" i="1"/>
  <c r="BY11" i="1"/>
  <c r="BV6" i="1"/>
  <c r="CE6" i="1"/>
  <c r="BY6" i="1"/>
  <c r="CB6" i="1"/>
  <c r="CD9" i="1"/>
  <c r="CF9" i="1" s="1"/>
  <c r="BF9" i="1" s="1"/>
  <c r="DB6" i="1"/>
  <c r="CV6" i="1"/>
  <c r="CZ6" i="1" s="1"/>
  <c r="L6" i="1" s="1"/>
  <c r="DG6" i="1" s="1"/>
  <c r="BC10" i="1"/>
  <c r="DH6" i="1"/>
  <c r="DB11" i="1"/>
  <c r="CV11" i="1"/>
  <c r="CZ11" i="1" s="1"/>
  <c r="L11" i="1" s="1"/>
  <c r="DG11" i="1" s="1"/>
  <c r="DH11" i="1" s="1"/>
  <c r="BW10" i="1"/>
  <c r="BB10" i="1" l="1"/>
  <c r="T10" i="2"/>
  <c r="U10" i="2" s="1"/>
  <c r="AO10" i="2"/>
  <c r="BE10" i="1"/>
  <c r="DJ8" i="1"/>
  <c r="CA8" i="1"/>
  <c r="BX8" i="1"/>
  <c r="BZ8" i="1" s="1"/>
  <c r="BC8" i="1" s="1"/>
  <c r="CD8" i="1"/>
  <c r="CF8" i="1" s="1"/>
  <c r="BF8" i="1" s="1"/>
  <c r="BU8" i="1"/>
  <c r="CC5" i="1"/>
  <c r="BU7" i="1"/>
  <c r="BX7" i="1"/>
  <c r="BZ7" i="1" s="1"/>
  <c r="BC7" i="1" s="1"/>
  <c r="DJ7" i="1"/>
  <c r="CA7" i="1"/>
  <c r="CD7" i="1"/>
  <c r="CF7" i="1" s="1"/>
  <c r="BF7" i="1" s="1"/>
  <c r="BW9" i="1"/>
  <c r="S10" i="2"/>
  <c r="BG10" i="1"/>
  <c r="DJ11" i="1"/>
  <c r="CD11" i="1"/>
  <c r="CF11" i="1" s="1"/>
  <c r="BF11" i="1" s="1"/>
  <c r="BU11" i="1"/>
  <c r="BX11" i="1"/>
  <c r="BZ11" i="1" s="1"/>
  <c r="BC11" i="1" s="1"/>
  <c r="CA11" i="1"/>
  <c r="T9" i="2"/>
  <c r="U9" i="2" s="1"/>
  <c r="BE9" i="1"/>
  <c r="BD10" i="1"/>
  <c r="AN10" i="2"/>
  <c r="CC4" i="1"/>
  <c r="BW4" i="1"/>
  <c r="BC6" i="1"/>
  <c r="BX6" i="1"/>
  <c r="BZ6" i="1" s="1"/>
  <c r="DJ6" i="1"/>
  <c r="CD6" i="1"/>
  <c r="CF6" i="1" s="1"/>
  <c r="BF6" i="1" s="1"/>
  <c r="CA6" i="1"/>
  <c r="BU6" i="1"/>
  <c r="BW5" i="1"/>
  <c r="CC8" i="1" l="1"/>
  <c r="BW8" i="1"/>
  <c r="BW7" i="1"/>
  <c r="AO5" i="2"/>
  <c r="BB5" i="1"/>
  <c r="BE4" i="1"/>
  <c r="BW6" i="1"/>
  <c r="BW11" i="1"/>
  <c r="T5" i="2"/>
  <c r="U5" i="2" s="1"/>
  <c r="BE5" i="1"/>
  <c r="CC6" i="1"/>
  <c r="AO4" i="2"/>
  <c r="BB4" i="1"/>
  <c r="AO9" i="2"/>
  <c r="BB9" i="1"/>
  <c r="S9" i="2"/>
  <c r="BG9" i="1"/>
  <c r="CC7" i="1"/>
  <c r="CC11" i="1"/>
  <c r="AO8" i="2" l="1"/>
  <c r="BB8" i="1"/>
  <c r="BE8" i="1"/>
  <c r="T8" i="2"/>
  <c r="U8" i="2" s="1"/>
  <c r="T7" i="2"/>
  <c r="U7" i="2" s="1"/>
  <c r="BE7" i="1"/>
  <c r="S4" i="2"/>
  <c r="BG4" i="1"/>
  <c r="S5" i="2"/>
  <c r="BG5" i="1"/>
  <c r="BD9" i="1"/>
  <c r="AN9" i="2"/>
  <c r="AO7" i="2"/>
  <c r="BB7" i="1"/>
  <c r="T6" i="2"/>
  <c r="U6" i="2" s="1"/>
  <c r="BE6" i="1"/>
  <c r="AN5" i="2"/>
  <c r="BD5" i="1"/>
  <c r="AO11" i="2"/>
  <c r="BB11" i="1"/>
  <c r="T11" i="2"/>
  <c r="U11" i="2" s="1"/>
  <c r="BE11" i="1"/>
  <c r="BD4" i="1"/>
  <c r="AN4" i="2"/>
  <c r="AO6" i="2"/>
  <c r="BB6" i="1"/>
  <c r="BG8" i="1" l="1"/>
  <c r="S8" i="2"/>
  <c r="BD8" i="1"/>
  <c r="AN8" i="2"/>
  <c r="AN6" i="2"/>
  <c r="BD6" i="1"/>
  <c r="S6" i="2"/>
  <c r="BG6" i="1"/>
  <c r="S11" i="2"/>
  <c r="BG11" i="1"/>
  <c r="BG7" i="1"/>
  <c r="S7" i="2"/>
  <c r="AN11" i="2"/>
  <c r="BD11" i="1"/>
  <c r="AN7" i="2"/>
  <c r="BD7" i="1"/>
</calcChain>
</file>

<file path=xl/sharedStrings.xml><?xml version="1.0" encoding="utf-8"?>
<sst xmlns="http://schemas.openxmlformats.org/spreadsheetml/2006/main" count="210" uniqueCount="131">
  <si>
    <t>Ethanol Upgrade Asset Parameters (normalized by MWh ethanol)</t>
  </si>
  <si>
    <t>Ethanol feedstock asset</t>
  </si>
  <si>
    <t>Ethanol Production Asset Parameters (normalized by commodity feedstock)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</si>
  <si>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</si>
  <si>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</si>
  <si>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</si>
  <si>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</si>
  <si>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</si>
  <si>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</si>
  <si>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</si>
  <si>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</si>
  <si>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</si>
  <si>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</si>
  <si>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</si>
  <si>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</si>
  <si>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</si>
  <si>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</si>
  <si>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</si>
  <si>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</si>
  <si>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</si>
  <si>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</si>
  <si>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</si>
  <si>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</si>
  <si>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</si>
  <si>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</si>
  <si>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</si>
  <si>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</si>
  <si>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</si>
  <si>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</si>
  <si>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capture_rate (t-CO2/MWh-ethanol)</t>
  </si>
  <si>
    <t>emission_rate (t-CO2/MWh-ethanol)</t>
  </si>
  <si>
    <t>calculated_emission_rate (t-CO2/MWh-ethanol)</t>
  </si>
  <si>
    <t>investment_cost ($/yr per MW ethanol)</t>
  </si>
  <si>
    <t>fixed_om_cost ($/yr per MW ethanol)</t>
  </si>
  <si>
    <t>variable_om_cost ($/MWh-ethanol)</t>
  </si>
  <si>
    <t>id_bioethanol</t>
  </si>
  <si>
    <t>commodity_bioethanol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</si>
  <si>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</si>
  <si>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</si>
  <si>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</si>
  <si>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</si>
  <si>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</si>
  <si>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capture_rate (t-CO2/t-bio)</t>
  </si>
  <si>
    <t>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</si>
  <si>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</si>
  <si>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</si>
  <si>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</si>
  <si>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</si>
  <si>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</si>
  <si>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</si>
  <si>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</si>
  <si>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</si>
  <si>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</si>
  <si>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</si>
  <si>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</si>
  <si>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</si>
  <si>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</si>
  <si>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</si>
  <si>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</si>
  <si>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</si>
  <si>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</si>
  <si>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</si>
  <si>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</si>
  <si>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</si>
  <si>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</si>
  <si>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</si>
  <si>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</si>
  <si>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</si>
  <si>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</si>
  <si>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</si>
  <si>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</si>
  <si>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</si>
  <si>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</si>
  <si>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</si>
  <si>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</si>
  <si>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</si>
  <si>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</si>
  <si>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</si>
  <si>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</si>
  <si>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</si>
  <si>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</si>
  <si>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</si>
  <si>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</si>
  <si>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</si>
  <si>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</si>
  <si>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CI</t>
  </si>
  <si>
    <t>modified capture cost</t>
  </si>
  <si>
    <t>modified emissions cost</t>
  </si>
  <si>
    <t>id_LC_ethanol</t>
  </si>
  <si>
    <t>elec_production</t>
  </si>
  <si>
    <t>biomass_consumption</t>
  </si>
  <si>
    <t>capture_rate</t>
  </si>
  <si>
    <t xml:space="preserve">emission_rate 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</si>
  <si>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</si>
  <si>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</si>
  <si>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</si>
  <si>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</si>
  <si>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</si>
  <si>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</si>
  <si>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</si>
  <si>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</si>
  <si>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</si>
  <si>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</si>
  <si>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</si>
  <si>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</si>
  <si>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</si>
  <si>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id_ethanol_prod_ref</t>
  </si>
  <si>
    <t>commodity_ethanol_prod_ref</t>
  </si>
  <si>
    <t>SE_Ethanol_Dehydration_NGfuel</t>
  </si>
  <si>
    <t>Ethanol</t>
  </si>
  <si>
    <t>SE_DryMill_Existing_Non_CCS</t>
  </si>
  <si>
    <t>Biomass_Corn</t>
  </si>
  <si>
    <t>SE_Ethanol_Dehydration_H2fuel</t>
  </si>
  <si>
    <t>SE_Biochemical_Non_CCS</t>
  </si>
  <si>
    <t>Biomass_Agri</t>
  </si>
  <si>
    <t>CA_Ethanol_Dehydration_NGfuel</t>
  </si>
  <si>
    <t>SE_Biochemical_CCS_20</t>
  </si>
  <si>
    <t>CA_Ethanol_Dehydration_H2fuel</t>
  </si>
  <si>
    <t>SE_Biochemical_CCS_86</t>
  </si>
  <si>
    <t>SE_Ethanol_Dehydration_NGfuel_ethanol_biochemical</t>
  </si>
  <si>
    <t>SE_DryMill_Retrofit_CCS_90</t>
  </si>
  <si>
    <t>SE_Ethanol_Dehydration_H2fuel_ethanol_biochemical</t>
  </si>
  <si>
    <t>CA_Ethanol_Dehydration_NGfuel_ethanol_biochemical</t>
  </si>
  <si>
    <t>CA_Ethanol_Dehydration_H2fuel_ethanol_biochemical</t>
  </si>
  <si>
    <t>CHECK LCOE ($/t-ethylene)</t>
  </si>
  <si>
    <t>Assumptions</t>
  </si>
  <si>
    <t>Ethylene LHV</t>
  </si>
  <si>
    <t>GJ/t-ethylene</t>
  </si>
  <si>
    <t>Levelized cost for Bioethylene Production - $/GJ-ethylene - no chemicals CO2 sequestration</t>
  </si>
  <si>
    <t>Levelized cost for Bioethylene Production - $/GJ-ethylene - chemicals CO2 sequestration</t>
  </si>
  <si>
    <t>LCOE ($/GJ-ethylene)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</si>
</sst>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rgb="FFF9FCD9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  <xf numFmtId="0" fontId="2" fillId="0" borderId="0" xfId="0" applyFont="1"/>
    <xf numFmtId="0" fontId="1" fillId="15" borderId="0" xfId="0" applyFont="1" applyFill="1"/>
    <xf numFmtId="0" fontId="0" fillId="15" borderId="0" xfId="0" applyFill="1"/>
    <xf numFmtId="0" fontId="5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1" fillId="16" borderId="0" xfId="0" applyFont="1" applyFill="1" applyAlignment="1">
      <alignment horizontal="left" wrapText="1"/>
    </xf>
    <xf numFmtId="0" fontId="0" fillId="16" borderId="0" xfId="0" applyFill="1"/>
    <xf numFmtId="0" fontId="0" fillId="17" borderId="0" xfId="0" applyFill="1"/>
    <xf numFmtId="0" fontId="1" fillId="17" borderId="0" xfId="0" applyFont="1" applyFill="1"/>
    <xf numFmtId="0" fontId="5" fillId="0" borderId="0" xfId="0" applyFont="1"/>
    <xf numFmtId="2" fontId="1" fillId="16" borderId="0" xfId="0" applyNumberFormat="1" applyFont="1" applyFill="1" applyAlignment="1">
      <alignment horizontal="left" wrapText="1"/>
    </xf>
    <xf numFmtId="2" fontId="0" fillId="16" borderId="0" xfId="0" applyNumberFormat="1" applyFill="1" applyAlignment="1">
      <alignment horizontal="left" wrapText="1"/>
    </xf>
    <xf numFmtId="2" fontId="0" fillId="1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X108"/>
  <sheetViews>
    <sheetView tabSelected="1" topLeftCell="BM1" zoomScaleNormal="157" workbookViewId="0">
      <selection activeCell="BU19" sqref="BU19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20.5" style="1" bestFit="1" customWidth="1"/>
    <col min="5" max="5" width="24" style="1" bestFit="1" customWidth="1"/>
    <col min="6" max="6" width="31.33203125" style="1" bestFit="1" customWidth="1"/>
    <col min="7" max="7" width="32.5" style="1" bestFit="1" customWidth="1"/>
    <col min="8" max="8" width="38.1640625" style="1" bestFit="1" customWidth="1"/>
    <col min="9" max="9" width="34.33203125" style="1" bestFit="1" customWidth="1"/>
    <col min="10" max="10" width="28.1640625" style="1" bestFit="1" customWidth="1"/>
    <col min="11" max="11" width="29.6640625" style="1" bestFit="1" customWidth="1"/>
    <col min="12" max="12" width="38" style="1" bestFit="1" customWidth="1"/>
    <col min="13" max="13" width="31.1640625" style="1" bestFit="1" customWidth="1"/>
    <col min="14" max="14" width="29.6640625" style="1" bestFit="1" customWidth="1"/>
    <col min="15" max="15" width="27.5" style="1" customWidth="1"/>
    <col min="16" max="16" width="2.83203125" style="1" customWidth="1"/>
    <col min="17" max="17" width="24" style="1" bestFit="1" customWidth="1"/>
    <col min="18" max="18" width="11.83203125" style="1" bestFit="1" customWidth="1"/>
    <col min="19" max="19" width="23.83203125" style="1" bestFit="1" customWidth="1"/>
    <col min="20" max="20" width="25.33203125" style="1" bestFit="1" customWidth="1"/>
    <col min="21" max="21" width="33.33203125" style="1" bestFit="1" customWidth="1"/>
    <col min="22" max="22" width="27.33203125" style="1" bestFit="1" customWidth="1"/>
    <col min="23" max="23" width="28.33203125" style="1" bestFit="1" customWidth="1"/>
    <col min="24" max="24" width="21" style="1" bestFit="1" customWidth="1"/>
    <col min="25" max="25" width="22" style="1" bestFit="1" customWidth="1"/>
    <col min="26" max="26" width="27.83203125" style="1" bestFit="1" customWidth="1"/>
    <col min="27" max="27" width="26.1640625" style="1" bestFit="1" customWidth="1"/>
    <col min="28" max="28" width="21.5" style="1" bestFit="1" customWidth="1"/>
    <col min="29" max="29" width="3" style="1" customWidth="1"/>
    <col min="30" max="30" width="12.83203125" style="1" bestFit="1" customWidth="1"/>
    <col min="31" max="31" width="11" style="1" customWidth="1"/>
    <col min="32" max="32" width="12.83203125" style="1" customWidth="1"/>
    <col min="33" max="33" width="13.83203125" style="1" customWidth="1"/>
    <col min="34" max="34" width="12" style="1" customWidth="1"/>
    <col min="35" max="35" width="16.83203125" style="1" bestFit="1" customWidth="1"/>
    <col min="36" max="36" width="13.5" style="1" customWidth="1"/>
    <col min="37" max="37" width="14.33203125" style="1" customWidth="1"/>
    <col min="38" max="38" width="11" style="1" customWidth="1"/>
    <col min="39" max="39" width="9.33203125" style="1" customWidth="1"/>
    <col min="40" max="40" width="10.33203125" style="1" customWidth="1"/>
    <col min="41" max="41" width="21.5" style="1" bestFit="1" customWidth="1"/>
    <col min="42" max="42" width="14.5" style="1" customWidth="1"/>
    <col min="43" max="44" width="12.5" style="1" customWidth="1"/>
    <col min="45" max="45" width="12.1640625" style="1" customWidth="1"/>
    <col min="46" max="46" width="13.1640625" style="1" customWidth="1"/>
    <col min="47" max="47" width="9.6640625" style="1" customWidth="1"/>
    <col min="48" max="48" width="9.83203125" style="1" customWidth="1"/>
    <col min="49" max="49" width="14.5" style="1" customWidth="1"/>
    <col min="50" max="50" width="13.83203125" style="1" customWidth="1"/>
    <col min="51" max="51" width="3.33203125" customWidth="1"/>
    <col min="52" max="52" width="44" style="1" bestFit="1" customWidth="1"/>
    <col min="53" max="53" width="19.83203125" style="1" customWidth="1"/>
    <col min="54" max="54" width="15.6640625" style="1" bestFit="1" customWidth="1"/>
    <col min="55" max="55" width="15.6640625" style="1" customWidth="1"/>
    <col min="56" max="56" width="18.33203125" style="1" bestFit="1" customWidth="1"/>
    <col min="57" max="58" width="15.6640625" style="1" customWidth="1"/>
    <col min="59" max="59" width="18.33203125" style="1" bestFit="1" customWidth="1"/>
    <col min="60" max="60" width="14.1640625" style="1" bestFit="1" customWidth="1"/>
    <col min="61" max="61" width="15.1640625" style="1" bestFit="1" customWidth="1"/>
    <col min="62" max="62" width="22.5" style="1" bestFit="1" customWidth="1"/>
    <col min="63" max="63" width="20.83203125" style="1" bestFit="1" customWidth="1"/>
    <col min="64" max="64" width="25.6640625" style="1" bestFit="1" customWidth="1"/>
    <col min="65" max="65" width="17.1640625" style="1" bestFit="1" customWidth="1"/>
    <col min="66" max="66" width="24.33203125" style="1" bestFit="1" customWidth="1"/>
    <col min="67" max="67" width="13.6640625" style="1" bestFit="1" customWidth="1"/>
    <col min="68" max="68" width="20.83203125" style="1" bestFit="1" customWidth="1"/>
    <col min="69" max="69" width="12.1640625" style="1" bestFit="1" customWidth="1"/>
    <col min="70" max="70" width="19.33203125" style="1" bestFit="1" customWidth="1"/>
    <col min="71" max="71" width="14.5" style="1" bestFit="1" customWidth="1"/>
    <col min="72" max="72" width="21.83203125" style="1" bestFit="1" customWidth="1"/>
    <col min="73" max="73" width="10.5" style="1" customWidth="1"/>
    <col min="74" max="74" width="17.83203125" style="1" bestFit="1" customWidth="1"/>
    <col min="75" max="75" width="19.6640625" style="1" bestFit="1" customWidth="1"/>
    <col min="76" max="76" width="12.1640625" style="1" customWidth="1"/>
    <col min="77" max="77" width="17.83203125" style="1" bestFit="1" customWidth="1"/>
    <col min="78" max="78" width="19.33203125" style="1" bestFit="1" customWidth="1"/>
    <col min="79" max="79" width="18" style="1" customWidth="1"/>
    <col min="80" max="80" width="17.83203125" style="1" bestFit="1" customWidth="1"/>
    <col min="81" max="81" width="19.33203125" style="1" bestFit="1" customWidth="1"/>
    <col min="82" max="82" width="9.6640625" style="1" customWidth="1"/>
    <col min="83" max="83" width="17.83203125" style="1" bestFit="1" customWidth="1"/>
    <col min="84" max="84" width="19.33203125" style="1" bestFit="1" customWidth="1"/>
    <col min="85" max="85" width="2.83203125" style="1" customWidth="1"/>
    <col min="86" max="86" width="43.5" style="1" bestFit="1" customWidth="1"/>
    <col min="87" max="87" width="13.6640625" style="1" bestFit="1" customWidth="1"/>
    <col min="88" max="88" width="15.1640625" style="1" bestFit="1" customWidth="1"/>
    <col min="89" max="89" width="16.6640625" style="1" bestFit="1" customWidth="1"/>
    <col min="90" max="90" width="17.5" style="1" bestFit="1" customWidth="1"/>
    <col min="91" max="91" width="10.83203125" style="1" bestFit="1" customWidth="1"/>
    <col min="92" max="92" width="12.1640625" style="1" bestFit="1" customWidth="1"/>
    <col min="93" max="93" width="13.83203125" style="1" bestFit="1" customWidth="1"/>
    <col min="94" max="94" width="12.33203125" style="1" bestFit="1" customWidth="1"/>
    <col min="95" max="95" width="14.5" style="1" bestFit="1" customWidth="1"/>
    <col min="96" max="96" width="2.83203125" style="1" customWidth="1"/>
    <col min="97" max="97" width="22.33203125" style="1" bestFit="1" customWidth="1"/>
    <col min="98" max="98" width="28.6640625" style="1" bestFit="1" customWidth="1"/>
    <col min="99" max="99" width="18" style="1" bestFit="1" customWidth="1"/>
    <col min="100" max="100" width="24.83203125" style="1" bestFit="1" customWidth="1"/>
    <col min="101" max="101" width="3.6640625" style="1" customWidth="1"/>
    <col min="102" max="102" width="28.83203125" style="1" bestFit="1" customWidth="1"/>
    <col min="103" max="103" width="18.83203125" style="1" bestFit="1" customWidth="1"/>
    <col min="104" max="105" width="26" style="1" bestFit="1" customWidth="1"/>
    <col min="106" max="106" width="23.83203125" style="1" bestFit="1" customWidth="1"/>
    <col min="107" max="107" width="3.33203125" style="1" customWidth="1"/>
    <col min="108" max="108" width="23.5" style="1" bestFit="1" customWidth="1"/>
    <col min="109" max="109" width="22.5" style="1" bestFit="1" customWidth="1"/>
    <col min="110" max="110" width="22" style="1" bestFit="1" customWidth="1"/>
    <col min="111" max="111" width="22.83203125" style="1" bestFit="1" customWidth="1"/>
    <col min="112" max="112" width="25.1640625" style="1" bestFit="1" customWidth="1"/>
    <col min="113" max="113" width="3.5" style="1" customWidth="1"/>
    <col min="114" max="114" width="22.83203125" style="1" customWidth="1"/>
    <col min="115" max="115" width="3.5" style="1" customWidth="1"/>
    <col min="116" max="116" width="23" style="1" customWidth="1"/>
    <col min="117" max="117" width="26" style="1" bestFit="1" customWidth="1"/>
    <col min="118" max="118" width="13" style="1" bestFit="1" customWidth="1"/>
    <col min="119" max="119" width="23.83203125" style="1" bestFit="1" customWidth="1"/>
    <col min="120" max="120" width="25.5" style="1" bestFit="1" customWidth="1"/>
    <col min="121" max="121" width="33.33203125" style="1" bestFit="1" customWidth="1"/>
    <col min="122" max="122" width="27.6640625" style="1" bestFit="1" customWidth="1"/>
    <col min="123" max="123" width="28.6640625" style="1" bestFit="1" customWidth="1"/>
    <col min="124" max="124" width="21" style="1" bestFit="1" customWidth="1"/>
    <col min="125" max="125" width="22.1640625" style="1" bestFit="1" customWidth="1"/>
    <col min="126" max="126" width="27.83203125" style="1" bestFit="1" customWidth="1"/>
    <col min="127" max="127" width="26.33203125" style="1" bestFit="1" customWidth="1"/>
    <col min="128" max="128" width="21.5" style="1" bestFit="1" customWidth="1"/>
    <col min="129" max="135" width="10.83203125" style="1" customWidth="1"/>
    <col min="136" max="16384" width="10.83203125" style="1"/>
  </cols>
  <sheetData>
    <row r="2" spans="2:128" x14ac:dyDescent="0.2">
      <c r="B2" s="1" t="s">
        <v>0</v>
      </c>
      <c r="D2" s="1" t="s">
        <v>1</v>
      </c>
      <c r="Q2" s="1" t="s">
        <v>2</v>
      </c>
      <c r="AD2" s="1" t="s">
        <v>3</v>
      </c>
      <c r="AZ2" s="1" t="s">
        <v>4</v>
      </c>
      <c r="BB2" s="1" t="s">
        <v>5</v>
      </c>
      <c r="BC2" s="1" t="s">
        <v>6</v>
      </c>
      <c r="BE2" s="1" t="s">
        <v>7</v>
      </c>
      <c r="BF2" s="1" t="s">
        <v>8</v>
      </c>
      <c r="BU2" s="1" t="s">
        <v>9</v>
      </c>
      <c r="BX2" s="1" t="s">
        <v>10</v>
      </c>
      <c r="CA2" s="1" t="s">
        <v>11</v>
      </c>
      <c r="CD2" s="1" t="s">
        <v>12</v>
      </c>
      <c r="CH2" s="1" t="s">
        <v>13</v>
      </c>
      <c r="CS2" s="1" t="s">
        <v>14</v>
      </c>
      <c r="CX2" s="1" t="s">
        <v>15</v>
      </c>
      <c r="CZ2" s="1" t="s">
        <v>16</v>
      </c>
      <c r="DD2" s="1" t="s">
        <v>17</v>
      </c>
      <c r="DF2" s="1" t="s">
        <v>18</v>
      </c>
      <c r="DJ2" s="1" t="s">
        <v>19</v>
      </c>
      <c r="DL2" s="1" t="s">
        <v>20</v>
      </c>
    </row>
    <row r="3" spans="2:128" x14ac:dyDescent="0.2"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7" t="s">
        <v>31</v>
      </c>
      <c r="M3" s="2" t="s">
        <v>32</v>
      </c>
      <c r="N3" s="2" t="s">
        <v>33</v>
      </c>
      <c r="O3" s="2" t="s">
        <v>34</v>
      </c>
      <c r="P3" s="18"/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18"/>
      <c r="AD3" s="15" t="s">
        <v>47</v>
      </c>
      <c r="AE3" s="15" t="s">
        <v>48</v>
      </c>
      <c r="AF3" s="15" t="s">
        <v>49</v>
      </c>
      <c r="AG3" s="15" t="s">
        <v>50</v>
      </c>
      <c r="AH3" s="15" t="s">
        <v>51</v>
      </c>
      <c r="AI3" s="7" t="s">
        <v>52</v>
      </c>
      <c r="AJ3" s="15" t="s">
        <v>53</v>
      </c>
      <c r="AK3" s="15" t="s">
        <v>54</v>
      </c>
      <c r="AL3" s="15" t="s">
        <v>55</v>
      </c>
      <c r="AM3" s="15" t="s">
        <v>56</v>
      </c>
      <c r="AN3" s="15" t="s">
        <v>57</v>
      </c>
      <c r="AO3" s="15" t="s">
        <v>58</v>
      </c>
      <c r="AP3" s="15" t="s">
        <v>59</v>
      </c>
      <c r="AQ3" s="15" t="s">
        <v>60</v>
      </c>
      <c r="AR3" s="15" t="s">
        <v>61</v>
      </c>
      <c r="AS3" s="15" t="s">
        <v>62</v>
      </c>
      <c r="AT3" s="15" t="s">
        <v>63</v>
      </c>
      <c r="AU3" s="15" t="s">
        <v>64</v>
      </c>
      <c r="AV3" s="15" t="s">
        <v>65</v>
      </c>
      <c r="AW3" s="15" t="s">
        <v>66</v>
      </c>
      <c r="AX3" s="15" t="s">
        <v>67</v>
      </c>
      <c r="AZ3" s="4" t="s">
        <v>68</v>
      </c>
      <c r="BA3" s="4" t="s">
        <v>69</v>
      </c>
      <c r="BB3" s="3" t="s">
        <v>70</v>
      </c>
      <c r="BC3" s="6" t="s">
        <v>70</v>
      </c>
      <c r="BD3" s="7" t="s">
        <v>71</v>
      </c>
      <c r="BE3" s="3" t="s">
        <v>70</v>
      </c>
      <c r="BF3" s="6" t="s">
        <v>70</v>
      </c>
      <c r="BG3" s="7" t="s">
        <v>71</v>
      </c>
      <c r="BH3" s="4" t="s">
        <v>72</v>
      </c>
      <c r="BI3" s="4" t="s">
        <v>73</v>
      </c>
      <c r="BJ3" s="4" t="s">
        <v>74</v>
      </c>
      <c r="BK3" s="4" t="s">
        <v>75</v>
      </c>
      <c r="BL3" s="4" t="s">
        <v>76</v>
      </c>
      <c r="BM3" s="4" t="s">
        <v>77</v>
      </c>
      <c r="BN3" s="4" t="s">
        <v>78</v>
      </c>
      <c r="BO3" s="4" t="s">
        <v>79</v>
      </c>
      <c r="BP3" s="4" t="s">
        <v>80</v>
      </c>
      <c r="BQ3" s="4" t="s">
        <v>81</v>
      </c>
      <c r="BR3" s="4" t="s">
        <v>82</v>
      </c>
      <c r="BS3" s="4" t="s">
        <v>83</v>
      </c>
      <c r="BT3" s="4" t="s">
        <v>84</v>
      </c>
      <c r="BU3" s="3" t="s">
        <v>85</v>
      </c>
      <c r="BV3" s="3" t="s">
        <v>86</v>
      </c>
      <c r="BW3" s="3" t="s">
        <v>87</v>
      </c>
      <c r="BX3" s="6" t="s">
        <v>85</v>
      </c>
      <c r="BY3" s="6" t="s">
        <v>86</v>
      </c>
      <c r="BZ3" s="6" t="s">
        <v>87</v>
      </c>
      <c r="CA3" s="3" t="s">
        <v>85</v>
      </c>
      <c r="CB3" s="3" t="s">
        <v>86</v>
      </c>
      <c r="CC3" s="3" t="s">
        <v>87</v>
      </c>
      <c r="CD3" s="6" t="s">
        <v>85</v>
      </c>
      <c r="CE3" s="6" t="s">
        <v>86</v>
      </c>
      <c r="CF3" s="6" t="s">
        <v>87</v>
      </c>
      <c r="CG3" s="18"/>
      <c r="CH3" s="4" t="s">
        <v>88</v>
      </c>
      <c r="CI3" s="4" t="s">
        <v>89</v>
      </c>
      <c r="CJ3" s="4" t="s">
        <v>73</v>
      </c>
      <c r="CK3" s="4" t="s">
        <v>90</v>
      </c>
      <c r="CL3" s="4" t="s">
        <v>77</v>
      </c>
      <c r="CM3" s="4" t="s">
        <v>91</v>
      </c>
      <c r="CN3" s="4" t="s">
        <v>92</v>
      </c>
      <c r="CO3" s="4" t="s">
        <v>79</v>
      </c>
      <c r="CP3" s="4" t="s">
        <v>81</v>
      </c>
      <c r="CQ3" s="4" t="s">
        <v>83</v>
      </c>
      <c r="CS3" s="7" t="s">
        <v>93</v>
      </c>
      <c r="CT3" s="7" t="s">
        <v>94</v>
      </c>
      <c r="CU3" s="7" t="s">
        <v>95</v>
      </c>
      <c r="CV3" s="7" t="s">
        <v>96</v>
      </c>
      <c r="CX3" s="7" t="s">
        <v>97</v>
      </c>
      <c r="CY3" s="7" t="s">
        <v>98</v>
      </c>
      <c r="CZ3" s="7" t="s">
        <v>99</v>
      </c>
      <c r="DA3" s="7" t="s">
        <v>98</v>
      </c>
      <c r="DB3" s="7" t="s">
        <v>100</v>
      </c>
      <c r="DD3" s="7" t="s">
        <v>101</v>
      </c>
      <c r="DE3" s="7" t="s">
        <v>102</v>
      </c>
      <c r="DF3" s="7" t="s">
        <v>93</v>
      </c>
      <c r="DG3" s="7" t="s">
        <v>101</v>
      </c>
      <c r="DH3" s="7" t="s">
        <v>103</v>
      </c>
      <c r="DJ3" s="7" t="s">
        <v>104</v>
      </c>
      <c r="DL3" s="2" t="s">
        <v>105</v>
      </c>
      <c r="DM3" s="2" t="s">
        <v>106</v>
      </c>
      <c r="DN3" s="2" t="s">
        <v>107</v>
      </c>
      <c r="DO3" s="2" t="s">
        <v>37</v>
      </c>
      <c r="DP3" s="2" t="s">
        <v>38</v>
      </c>
      <c r="DQ3" s="2" t="s">
        <v>39</v>
      </c>
      <c r="DR3" s="2" t="s">
        <v>40</v>
      </c>
      <c r="DS3" s="2" t="s">
        <v>41</v>
      </c>
      <c r="DT3" s="2" t="s">
        <v>42</v>
      </c>
      <c r="DU3" s="2" t="s">
        <v>43</v>
      </c>
      <c r="DV3" s="2" t="s">
        <v>44</v>
      </c>
      <c r="DW3" s="2" t="s">
        <v>45</v>
      </c>
      <c r="DX3" s="2" t="s">
        <v>46</v>
      </c>
    </row>
    <row r="4" spans="2:128" x14ac:dyDescent="0.2">
      <c r="B4" s="28" t="s">
        <v>108</v>
      </c>
      <c r="C4" s="29" t="s">
        <v>109</v>
      </c>
      <c r="D4" s="29">
        <v>1</v>
      </c>
      <c r="E4" s="29" t="str">
        <f t="shared" ref="E4:E11" si="0">Q4</f>
        <v>SE_DryMill_Existing_Non_CCS</v>
      </c>
      <c r="F4" s="28">
        <v>0</v>
      </c>
      <c r="G4" s="28">
        <v>1.6231455339999999E-2</v>
      </c>
      <c r="H4" s="28">
        <v>7.0449024900000004E-2</v>
      </c>
      <c r="I4" s="28">
        <v>0.11456844939999999</v>
      </c>
      <c r="J4" s="28">
        <v>0</v>
      </c>
      <c r="K4" s="28">
        <v>0.42269136727000001</v>
      </c>
      <c r="L4" s="20">
        <f t="shared" ref="L4:L11" si="1">(DA4+(CZ4-DF4))*H4</f>
        <v>1.621895813466224</v>
      </c>
      <c r="M4" s="28">
        <v>6577.9712840000002</v>
      </c>
      <c r="N4" s="28">
        <v>6324.1328800000001</v>
      </c>
      <c r="O4" s="28">
        <v>0.1113094593</v>
      </c>
      <c r="Q4" s="19" t="str">
        <f t="array" ref="Q4:AB4">_xlfn.XLOOKUP(D4, DL:DL, DM:DX)</f>
        <v>SE_DryMill_Existing_Non_CCS</v>
      </c>
      <c r="R4" s="19" t="str">
        <v>Biomass_Corn</v>
      </c>
      <c r="S4" s="19">
        <v>0</v>
      </c>
      <c r="T4" s="19">
        <v>0.06</v>
      </c>
      <c r="U4" s="19">
        <v>3.26</v>
      </c>
      <c r="V4" s="19">
        <v>0.75</v>
      </c>
      <c r="W4" s="19">
        <v>1.65</v>
      </c>
      <c r="X4" s="19">
        <v>0</v>
      </c>
      <c r="Y4" s="19">
        <v>1.034528956370121</v>
      </c>
      <c r="Z4" s="19">
        <v>0</v>
      </c>
      <c r="AA4" s="19">
        <v>154043.63</v>
      </c>
      <c r="AB4" s="19">
        <v>79.650000000000006</v>
      </c>
      <c r="AD4" s="16">
        <v>122.135409</v>
      </c>
      <c r="AE4" s="16">
        <v>-10.071578000000001</v>
      </c>
      <c r="AF4" s="16">
        <v>73.297528</v>
      </c>
      <c r="AG4" s="16">
        <v>77.158259999999999</v>
      </c>
      <c r="AH4" s="16">
        <v>59.694023999999999</v>
      </c>
      <c r="AI4" s="11">
        <v>155</v>
      </c>
      <c r="AJ4" s="17"/>
      <c r="AK4" s="17"/>
      <c r="AL4" s="16">
        <v>26.556269</v>
      </c>
      <c r="AM4" s="16">
        <v>8.6278919999999992</v>
      </c>
      <c r="AN4" s="16"/>
      <c r="AO4" s="17">
        <v>-96.133976000000004</v>
      </c>
      <c r="AP4" s="17">
        <v>-96.133976000000004</v>
      </c>
      <c r="AQ4" s="17"/>
      <c r="AR4" s="17"/>
      <c r="AS4" s="17"/>
      <c r="AT4" s="17"/>
      <c r="AU4" s="16">
        <v>4.7546840000000001</v>
      </c>
      <c r="AV4" s="16">
        <v>-0.13628299999999999</v>
      </c>
      <c r="AW4" s="16">
        <v>576.81126900000004</v>
      </c>
      <c r="AX4" s="16">
        <v>576.81126900000004</v>
      </c>
      <c r="AZ4" s="1" t="str">
        <f t="shared" ref="AZ4:BA11" si="2">B4</f>
        <v>SE_Ethanol_Dehydration_NGfuel</v>
      </c>
      <c r="BA4" s="1" t="str">
        <f t="shared" si="2"/>
        <v>Ethanol</v>
      </c>
      <c r="BB4" s="12">
        <f t="shared" ref="BB4:BB11" si="3">SUM(BH4:BT4)+BV4+BW4</f>
        <v>784.40642518871005</v>
      </c>
      <c r="BC4" s="12">
        <f t="shared" ref="BC4:BC11" si="4">SUM(BH4:BT4)+BY4+BZ4</f>
        <v>784.40642518871005</v>
      </c>
      <c r="BD4" s="5">
        <f t="shared" ref="BD4:BD11" si="5">BB4-BC4</f>
        <v>0</v>
      </c>
      <c r="BE4" s="12">
        <f t="shared" ref="BE4:BE11" si="6">SUM(BH4:BT4)+CB4+CC4</f>
        <v>1167.9116094487097</v>
      </c>
      <c r="BF4" s="12">
        <f t="shared" ref="BF4:BF11" si="7">SUM(BH4:BT4)+CE4+CF4</f>
        <v>1167.9116094487101</v>
      </c>
      <c r="BG4" s="5">
        <f t="shared" ref="BG4:BG11" si="8">BE4-BF4</f>
        <v>0</v>
      </c>
      <c r="BH4" s="5">
        <f t="shared" ref="BH4:BH11" si="9">F4/H4*AM4</f>
        <v>0</v>
      </c>
      <c r="BI4" s="1">
        <f t="shared" ref="BI4:BI11" si="10">G4/H4*AL4</f>
        <v>6.1185643787459494</v>
      </c>
      <c r="BJ4" s="1">
        <f t="shared" ref="BJ4:BJ11" si="11">CJ4</f>
        <v>6.9378630550295153</v>
      </c>
      <c r="BK4" s="1">
        <f t="shared" ref="BK4:BK11" si="12">CI4</f>
        <v>0</v>
      </c>
      <c r="BL4" s="1">
        <f t="shared" ref="BL4:BL11" si="13">CK4</f>
        <v>674.89950836691639</v>
      </c>
      <c r="BM4" s="1">
        <f t="shared" ref="BM4:BM11" si="14">I4/H4*AU4</f>
        <v>7.7323536278922944</v>
      </c>
      <c r="BN4" s="1">
        <f t="shared" ref="BN4:BN11" si="15">CL4</f>
        <v>15.527099487290533</v>
      </c>
      <c r="BO4" s="1">
        <f t="shared" ref="BO4:BO11" si="16">M4/H4/(0.9*8760)</f>
        <v>11.843235666463674</v>
      </c>
      <c r="BP4" s="1">
        <f t="shared" ref="BP4:BP11" si="17">CO4</f>
        <v>0</v>
      </c>
      <c r="BQ4" s="1">
        <f t="shared" ref="BQ4:BQ11" si="18">N4/H4/(0.9*8760)</f>
        <v>11.38621511864168</v>
      </c>
      <c r="BR4" s="1">
        <f t="shared" ref="BR4:BR11" si="19">CP4</f>
        <v>85.075506255261928</v>
      </c>
      <c r="BS4" s="1">
        <f t="shared" ref="BS4:BS11" si="20">O4/H4</f>
        <v>1.5799999994038241</v>
      </c>
      <c r="BT4" s="1">
        <f t="shared" ref="BT4:BT11" si="21">CQ4</f>
        <v>346.81126349306379</v>
      </c>
      <c r="BU4" s="1">
        <f t="shared" ref="BU4:BU11" si="22">DB4-DH4-DF4</f>
        <v>-3.1399999999999966</v>
      </c>
      <c r="BV4" s="1">
        <f t="shared" ref="BV4:BV11" si="23">(AD4+AE4)*-1*DE4</f>
        <v>0</v>
      </c>
      <c r="BW4" s="1">
        <f t="shared" ref="BW4:BW11" si="24">BU4*AD4</f>
        <v>-383.50518425999957</v>
      </c>
      <c r="BX4" s="1">
        <f t="shared" ref="BX4:BX11" si="25">DB4-DH4-DE4-DF4</f>
        <v>-3.1399999999999966</v>
      </c>
      <c r="BY4" s="1">
        <f t="shared" ref="BY4:BY11" si="26">DE4*AE4*-1</f>
        <v>0</v>
      </c>
      <c r="BZ4" s="1">
        <f t="shared" ref="BZ4:BZ11" si="27">BX4*AD4</f>
        <v>-383.50518425999957</v>
      </c>
      <c r="CA4" s="1">
        <f t="shared" ref="CA4:CA11" si="28">DB4-DH4</f>
        <v>0</v>
      </c>
      <c r="CB4" s="1">
        <f t="shared" ref="CB4:CB11" si="29">(AD4+AE4)*-1*DE4</f>
        <v>0</v>
      </c>
      <c r="CC4" s="1">
        <f t="shared" ref="CC4:CC11" si="30">CA4*AD4</f>
        <v>0</v>
      </c>
      <c r="CD4" s="1">
        <f t="shared" ref="CD4:CD11" si="31">DB4-DH4-DE4</f>
        <v>3.5527136788005009E-15</v>
      </c>
      <c r="CE4" s="1">
        <f t="shared" ref="CE4:CE11" si="32">DE4*AE4*-1</f>
        <v>0</v>
      </c>
      <c r="CF4" s="1">
        <f t="shared" ref="CF4:CF11" si="33">CD4*AD4</f>
        <v>4.339121382201938E-13</v>
      </c>
      <c r="CH4" s="1" t="str">
        <f t="shared" ref="CH4:CH11" si="34">Q4</f>
        <v>SE_DryMill_Existing_Non_CCS</v>
      </c>
      <c r="CI4" s="1">
        <f t="shared" ref="CI4:CI11" si="35">S4/U4/H4*AL4*-1</f>
        <v>0</v>
      </c>
      <c r="CJ4" s="1">
        <f t="shared" ref="CJ4:CJ11" si="36">T4/U4/H4*AL4</f>
        <v>6.9378630550295153</v>
      </c>
      <c r="CK4" s="1">
        <f t="array" ref="CK4">_xlfn.IFS(R4="Biomass_Corn", 1/U4/H4*AI4, R4="Biomass_Agri", 1/U4/H4*AH4, R4="Biomass_Wood", 1/U4/H4*AG4, R4="Biomass_Herb", 1/U4/H4*AF4)</f>
        <v>674.89950836691639</v>
      </c>
      <c r="CL4" s="1">
        <f t="shared" ref="CL4:CL11" si="37">V4/U4/H4*AU4</f>
        <v>15.527099487290533</v>
      </c>
      <c r="CO4" s="1">
        <f t="shared" ref="CO4:CO11" si="38">Z4/U4/H4/(0.9*8760)</f>
        <v>0</v>
      </c>
      <c r="CP4" s="1">
        <f t="shared" ref="CP4:CP11" si="39">AA4/U4/H4/(0.9*8760)</f>
        <v>85.075506255261928</v>
      </c>
      <c r="CQ4" s="1">
        <f t="shared" ref="CQ4:CQ11" si="40">AB4/U4/H4</f>
        <v>346.81126349306379</v>
      </c>
      <c r="CS4" s="9">
        <v>3.14</v>
      </c>
      <c r="CT4" s="19">
        <f t="shared" ref="CT4:CT11" si="41">W4</f>
        <v>1.65</v>
      </c>
      <c r="CU4" s="10">
        <v>0.181048235160161</v>
      </c>
      <c r="CV4" s="9">
        <f t="shared" ref="CV4:CV11" si="42">(CX4+CY4-DD4-DE4)*H4</f>
        <v>0.26284315659818819</v>
      </c>
      <c r="CX4" s="10">
        <f t="shared" ref="CX4:CX11" si="43">CT4/U4/H4</f>
        <v>7.1844141213252382</v>
      </c>
      <c r="CY4" s="10">
        <f t="shared" ref="CY4:CY11" si="44">IF(V4=0, 0, CU4/V4/U4/H4)</f>
        <v>1.0510913109702409</v>
      </c>
      <c r="CZ4" s="10">
        <f t="shared" ref="CZ4:CZ11" si="45">CV4/H4</f>
        <v>3.7309694061952614</v>
      </c>
      <c r="DA4" s="10">
        <f t="shared" ref="DA4:DA11" si="46">IF(I4=0, 0, CU4/I4/H4)</f>
        <v>22.431291239263636</v>
      </c>
      <c r="DB4" s="10">
        <f t="shared" ref="DB4:DB11" si="47">CX4+CY4+DA4</f>
        <v>30.666796671559116</v>
      </c>
      <c r="DD4" s="19">
        <f t="shared" ref="DD4:DD11" si="48">Y4/U4/H4</f>
        <v>4.5045360261002179</v>
      </c>
      <c r="DE4" s="19">
        <f t="shared" ref="DE4:DE11" si="49">X4/U4/H4</f>
        <v>0</v>
      </c>
      <c r="DF4" s="10">
        <f t="shared" ref="DF4:DF11" si="50">CS4</f>
        <v>3.14</v>
      </c>
      <c r="DG4" s="10">
        <f t="shared" ref="DG4:DG11" si="51">L4/H4</f>
        <v>23.022260645458896</v>
      </c>
      <c r="DH4" s="10">
        <f t="shared" ref="DH4:DH11" si="52">SUM(DD4:DG4)</f>
        <v>30.666796671559112</v>
      </c>
      <c r="DJ4" s="1">
        <f t="shared" ref="DJ4:DJ11" si="53">DB4-DH4</f>
        <v>0</v>
      </c>
      <c r="DL4" s="14">
        <v>1</v>
      </c>
      <c r="DM4" s="14" t="s">
        <v>110</v>
      </c>
      <c r="DN4" s="13" t="s">
        <v>111</v>
      </c>
      <c r="DO4" s="13">
        <v>0</v>
      </c>
      <c r="DP4" s="13">
        <v>0.06</v>
      </c>
      <c r="DQ4" s="13">
        <v>3.26</v>
      </c>
      <c r="DR4" s="13">
        <v>0.75</v>
      </c>
      <c r="DS4" s="13">
        <v>1.65</v>
      </c>
      <c r="DT4" s="13">
        <v>0</v>
      </c>
      <c r="DU4" s="13">
        <v>1.034528956370121</v>
      </c>
      <c r="DV4" s="13">
        <v>0</v>
      </c>
      <c r="DW4" s="13">
        <v>154043.63</v>
      </c>
      <c r="DX4" s="13">
        <v>79.650000000000006</v>
      </c>
    </row>
    <row r="5" spans="2:128" x14ac:dyDescent="0.2">
      <c r="B5" s="28" t="s">
        <v>112</v>
      </c>
      <c r="C5" s="29" t="s">
        <v>109</v>
      </c>
      <c r="D5" s="29">
        <v>1</v>
      </c>
      <c r="E5" s="29" t="str">
        <f t="shared" si="0"/>
        <v>SE_DryMill_Existing_Non_CCS</v>
      </c>
      <c r="F5" s="28">
        <v>0.1123387839</v>
      </c>
      <c r="G5" s="28">
        <v>1.6231455339999999E-2</v>
      </c>
      <c r="H5" s="28">
        <v>7.0449024900000004E-2</v>
      </c>
      <c r="I5" s="28">
        <v>0</v>
      </c>
      <c r="J5" s="28">
        <v>0</v>
      </c>
      <c r="K5" s="28">
        <v>0.12825981766</v>
      </c>
      <c r="L5" s="20">
        <f t="shared" si="1"/>
        <v>4.1633218412188179E-2</v>
      </c>
      <c r="M5" s="28">
        <v>6577.9712840000002</v>
      </c>
      <c r="N5" s="28">
        <v>6324.1328800000001</v>
      </c>
      <c r="O5" s="28">
        <v>0.1113094593</v>
      </c>
      <c r="Q5" s="19" t="str">
        <f t="array" ref="Q5:AB5">_xlfn.XLOOKUP(D5, DL:DL, DM:DX)</f>
        <v>SE_DryMill_Existing_Non_CCS</v>
      </c>
      <c r="R5" s="19" t="str">
        <v>Biomass_Corn</v>
      </c>
      <c r="S5" s="19">
        <v>0</v>
      </c>
      <c r="T5" s="19">
        <v>0.06</v>
      </c>
      <c r="U5" s="19">
        <v>3.26</v>
      </c>
      <c r="V5" s="19">
        <v>0.75</v>
      </c>
      <c r="W5" s="19">
        <v>1.65</v>
      </c>
      <c r="X5" s="19">
        <v>0</v>
      </c>
      <c r="Y5" s="19">
        <v>1.034528956370121</v>
      </c>
      <c r="Z5" s="19">
        <v>0</v>
      </c>
      <c r="AA5" s="19">
        <v>154043.63</v>
      </c>
      <c r="AB5" s="19">
        <v>79.650000000000006</v>
      </c>
      <c r="AD5" s="16">
        <v>122.135409</v>
      </c>
      <c r="AE5" s="16">
        <v>-10.071578000000001</v>
      </c>
      <c r="AF5" s="16">
        <v>73.297528</v>
      </c>
      <c r="AG5" s="16">
        <v>77.158259999999999</v>
      </c>
      <c r="AH5" s="16">
        <v>59.694023999999999</v>
      </c>
      <c r="AI5" s="11">
        <v>155</v>
      </c>
      <c r="AJ5" s="17"/>
      <c r="AK5" s="17"/>
      <c r="AL5" s="16">
        <v>26.556269</v>
      </c>
      <c r="AM5" s="16">
        <v>8.6278919999999992</v>
      </c>
      <c r="AN5" s="16"/>
      <c r="AO5" s="17">
        <v>-96.133976000000004</v>
      </c>
      <c r="AP5" s="17">
        <v>-96.133976000000004</v>
      </c>
      <c r="AQ5" s="17"/>
      <c r="AR5" s="17"/>
      <c r="AS5" s="17"/>
      <c r="AT5" s="17"/>
      <c r="AU5" s="16">
        <v>4.7546840000000001</v>
      </c>
      <c r="AV5" s="16">
        <v>-0.13628299999999999</v>
      </c>
      <c r="AW5" s="16">
        <v>576.81126900000004</v>
      </c>
      <c r="AX5" s="16">
        <v>576.81126900000004</v>
      </c>
      <c r="AZ5" s="1" t="str">
        <f t="shared" si="2"/>
        <v>SE_Ethanol_Dehydration_H2fuel</v>
      </c>
      <c r="BA5" s="1" t="str">
        <f t="shared" si="2"/>
        <v>Ethanol</v>
      </c>
      <c r="BB5" s="12">
        <f t="shared" si="3"/>
        <v>790.43220229827398</v>
      </c>
      <c r="BC5" s="12">
        <f t="shared" si="4"/>
        <v>790.43220229827398</v>
      </c>
      <c r="BD5" s="5">
        <f t="shared" si="5"/>
        <v>0</v>
      </c>
      <c r="BE5" s="12">
        <f t="shared" si="6"/>
        <v>1173.9373865582741</v>
      </c>
      <c r="BF5" s="12">
        <f t="shared" si="7"/>
        <v>1173.9373865582741</v>
      </c>
      <c r="BG5" s="5">
        <f t="shared" si="8"/>
        <v>0</v>
      </c>
      <c r="BH5" s="5">
        <f t="shared" si="9"/>
        <v>13.758130737456648</v>
      </c>
      <c r="BI5" s="1">
        <f t="shared" si="10"/>
        <v>6.1185643787459494</v>
      </c>
      <c r="BJ5" s="1">
        <f t="shared" si="11"/>
        <v>6.9378630550295153</v>
      </c>
      <c r="BK5" s="1">
        <f t="shared" si="12"/>
        <v>0</v>
      </c>
      <c r="BL5" s="1">
        <f t="shared" si="13"/>
        <v>674.89950836691639</v>
      </c>
      <c r="BM5" s="1">
        <f t="shared" si="14"/>
        <v>0</v>
      </c>
      <c r="BN5" s="1">
        <f t="shared" si="15"/>
        <v>15.527099487290533</v>
      </c>
      <c r="BO5" s="1">
        <f t="shared" si="16"/>
        <v>11.843235666463674</v>
      </c>
      <c r="BP5" s="1">
        <f t="shared" si="17"/>
        <v>0</v>
      </c>
      <c r="BQ5" s="1">
        <f t="shared" si="18"/>
        <v>11.38621511864168</v>
      </c>
      <c r="BR5" s="1">
        <f t="shared" si="19"/>
        <v>85.075506255261928</v>
      </c>
      <c r="BS5" s="1">
        <f t="shared" si="20"/>
        <v>1.5799999994038241</v>
      </c>
      <c r="BT5" s="1">
        <f t="shared" si="21"/>
        <v>346.81126349306379</v>
      </c>
      <c r="BU5" s="1">
        <f t="shared" si="22"/>
        <v>-3.14</v>
      </c>
      <c r="BV5" s="1">
        <f t="shared" si="23"/>
        <v>0</v>
      </c>
      <c r="BW5" s="1">
        <f t="shared" si="24"/>
        <v>-383.50518426000002</v>
      </c>
      <c r="BX5" s="1">
        <f t="shared" si="25"/>
        <v>-3.14</v>
      </c>
      <c r="BY5" s="1">
        <f t="shared" si="26"/>
        <v>0</v>
      </c>
      <c r="BZ5" s="1">
        <f t="shared" si="27"/>
        <v>-383.50518426000002</v>
      </c>
      <c r="CA5" s="1">
        <f t="shared" si="28"/>
        <v>0</v>
      </c>
      <c r="CB5" s="1">
        <f t="shared" si="29"/>
        <v>0</v>
      </c>
      <c r="CC5" s="1">
        <f t="shared" si="30"/>
        <v>0</v>
      </c>
      <c r="CD5" s="1">
        <f t="shared" si="31"/>
        <v>0</v>
      </c>
      <c r="CE5" s="1">
        <f t="shared" si="32"/>
        <v>0</v>
      </c>
      <c r="CF5" s="1">
        <f t="shared" si="33"/>
        <v>0</v>
      </c>
      <c r="CH5" s="1" t="str">
        <f t="shared" si="34"/>
        <v>SE_DryMill_Existing_Non_CCS</v>
      </c>
      <c r="CI5" s="1">
        <f t="shared" si="35"/>
        <v>0</v>
      </c>
      <c r="CJ5" s="1">
        <f t="shared" si="36"/>
        <v>6.9378630550295153</v>
      </c>
      <c r="CK5" s="1">
        <f t="array" ref="CK5">_xlfn.IFS(R5="Biomass_Corn", 1/U5/H5*AI5, R5="Biomass_Agri", 1/U5/H5*AH5, R5="Biomass_Wood", 1/U5/H5*AG5, R5="Biomass_Herb", 1/U5/H5*AF5)</f>
        <v>674.89950836691639</v>
      </c>
      <c r="CL5" s="1">
        <f t="shared" si="37"/>
        <v>15.527099487290533</v>
      </c>
      <c r="CO5" s="1">
        <f t="shared" si="38"/>
        <v>0</v>
      </c>
      <c r="CP5" s="1">
        <f t="shared" si="39"/>
        <v>85.075506255261928</v>
      </c>
      <c r="CQ5" s="1">
        <f t="shared" si="40"/>
        <v>346.81126349306379</v>
      </c>
      <c r="CS5" s="9">
        <v>3.14</v>
      </c>
      <c r="CT5" s="19">
        <f t="shared" si="41"/>
        <v>1.65</v>
      </c>
      <c r="CU5" s="10">
        <v>0.181048235160161</v>
      </c>
      <c r="CV5" s="9">
        <f t="shared" si="42"/>
        <v>0.26284315659818819</v>
      </c>
      <c r="CX5" s="10">
        <f t="shared" si="43"/>
        <v>7.1844141213252382</v>
      </c>
      <c r="CY5" s="10">
        <f t="shared" si="44"/>
        <v>1.0510913109702409</v>
      </c>
      <c r="CZ5" s="10">
        <f t="shared" si="45"/>
        <v>3.7309694061952614</v>
      </c>
      <c r="DA5" s="10">
        <f t="shared" si="46"/>
        <v>0</v>
      </c>
      <c r="DB5" s="10">
        <f t="shared" si="47"/>
        <v>8.2355054322954793</v>
      </c>
      <c r="DD5" s="19">
        <f t="shared" si="48"/>
        <v>4.5045360261002179</v>
      </c>
      <c r="DE5" s="19">
        <f t="shared" si="49"/>
        <v>0</v>
      </c>
      <c r="DF5" s="10">
        <f t="shared" si="50"/>
        <v>3.14</v>
      </c>
      <c r="DG5" s="10">
        <f t="shared" si="51"/>
        <v>0.59096940619526128</v>
      </c>
      <c r="DH5" s="10">
        <f t="shared" si="52"/>
        <v>8.2355054322954793</v>
      </c>
      <c r="DJ5" s="1">
        <f t="shared" si="53"/>
        <v>0</v>
      </c>
      <c r="DL5" s="14">
        <v>2</v>
      </c>
      <c r="DM5" s="14" t="s">
        <v>113</v>
      </c>
      <c r="DN5" s="13" t="s">
        <v>114</v>
      </c>
      <c r="DO5" s="13">
        <v>0.1227</v>
      </c>
      <c r="DP5" s="13">
        <v>0</v>
      </c>
      <c r="DQ5" s="13">
        <v>1.5508999999999999</v>
      </c>
      <c r="DR5" s="13">
        <v>0</v>
      </c>
      <c r="DS5" s="13">
        <v>1.32</v>
      </c>
      <c r="DT5" s="13">
        <v>0</v>
      </c>
      <c r="DU5" s="13">
        <v>0.9625997476999999</v>
      </c>
      <c r="DV5" s="13">
        <v>656536.27</v>
      </c>
      <c r="DW5" s="13">
        <v>194987.35</v>
      </c>
      <c r="DX5" s="13">
        <v>55.68</v>
      </c>
    </row>
    <row r="6" spans="2:128" x14ac:dyDescent="0.2">
      <c r="B6" s="28" t="s">
        <v>115</v>
      </c>
      <c r="C6" s="29" t="s">
        <v>109</v>
      </c>
      <c r="D6" s="29">
        <v>1</v>
      </c>
      <c r="E6" s="29" t="str">
        <f t="shared" si="0"/>
        <v>SE_DryMill_Existing_Non_CCS</v>
      </c>
      <c r="F6" s="28">
        <v>0</v>
      </c>
      <c r="G6" s="28">
        <v>1.6231455339999999E-2</v>
      </c>
      <c r="H6" s="28">
        <v>7.0449024900000004E-2</v>
      </c>
      <c r="I6" s="28">
        <v>0.11456844939999999</v>
      </c>
      <c r="J6" s="28">
        <v>0</v>
      </c>
      <c r="K6" s="28">
        <v>0.42269136727000001</v>
      </c>
      <c r="L6" s="20">
        <f t="shared" si="1"/>
        <v>1.621895813466224</v>
      </c>
      <c r="M6" s="28">
        <v>6577.9712840000002</v>
      </c>
      <c r="N6" s="28">
        <v>6324.1328800000001</v>
      </c>
      <c r="O6" s="28">
        <v>0.1113094593</v>
      </c>
      <c r="Q6" s="19" t="str">
        <f t="array" ref="Q6:AB6">_xlfn.XLOOKUP(D6, DL:DL, DM:DX)</f>
        <v>SE_DryMill_Existing_Non_CCS</v>
      </c>
      <c r="R6" s="19" t="str">
        <v>Biomass_Corn</v>
      </c>
      <c r="S6" s="19">
        <v>0</v>
      </c>
      <c r="T6" s="19">
        <v>0.06</v>
      </c>
      <c r="U6" s="19">
        <v>3.26</v>
      </c>
      <c r="V6" s="19">
        <v>0.75</v>
      </c>
      <c r="W6" s="19">
        <v>1.65</v>
      </c>
      <c r="X6" s="19">
        <v>0</v>
      </c>
      <c r="Y6" s="19">
        <v>1.034528956370121</v>
      </c>
      <c r="Z6" s="19">
        <v>0</v>
      </c>
      <c r="AA6" s="19">
        <v>154043.63</v>
      </c>
      <c r="AB6" s="19">
        <v>79.650000000000006</v>
      </c>
      <c r="AD6" s="16">
        <v>122.135409</v>
      </c>
      <c r="AE6" s="16">
        <v>-6.4965359999999999</v>
      </c>
      <c r="AF6" s="16">
        <v>117.625038</v>
      </c>
      <c r="AG6" s="16">
        <v>88.648826</v>
      </c>
      <c r="AH6" s="16">
        <v>72.811197000000007</v>
      </c>
      <c r="AI6" s="11">
        <v>155</v>
      </c>
      <c r="AJ6" s="17"/>
      <c r="AK6" s="17"/>
      <c r="AL6" s="16">
        <v>25.313632999999999</v>
      </c>
      <c r="AM6" s="16">
        <v>8.8090729999999997</v>
      </c>
      <c r="AN6" s="16"/>
      <c r="AO6" s="17">
        <v>0</v>
      </c>
      <c r="AP6" s="17">
        <v>0</v>
      </c>
      <c r="AQ6" s="17"/>
      <c r="AR6" s="17"/>
      <c r="AS6" s="17"/>
      <c r="AT6" s="17"/>
      <c r="AU6" s="16">
        <v>11.573017</v>
      </c>
      <c r="AV6" s="16">
        <v>0</v>
      </c>
      <c r="AW6" s="16">
        <v>576.81126900000004</v>
      </c>
      <c r="AX6" s="16">
        <v>0</v>
      </c>
      <c r="AZ6" s="1" t="str">
        <f t="shared" si="2"/>
        <v>CA_Ethanol_Dehydration_NGfuel</v>
      </c>
      <c r="BA6" s="1" t="str">
        <f t="shared" si="2"/>
        <v>Ethanol</v>
      </c>
      <c r="BB6" s="12">
        <f t="shared" si="3"/>
        <v>817.15010536384921</v>
      </c>
      <c r="BC6" s="12">
        <f t="shared" si="4"/>
        <v>817.15010536384921</v>
      </c>
      <c r="BD6" s="5">
        <f t="shared" si="5"/>
        <v>0</v>
      </c>
      <c r="BE6" s="12">
        <f t="shared" si="6"/>
        <v>1200.6552896238488</v>
      </c>
      <c r="BF6" s="12">
        <f t="shared" si="7"/>
        <v>1200.6552896238493</v>
      </c>
      <c r="BG6" s="5">
        <f t="shared" si="8"/>
        <v>0</v>
      </c>
      <c r="BH6" s="5">
        <f t="shared" si="9"/>
        <v>0</v>
      </c>
      <c r="BI6" s="1">
        <f t="shared" si="10"/>
        <v>5.8322610442923279</v>
      </c>
      <c r="BJ6" s="1">
        <f t="shared" si="11"/>
        <v>6.6132226322634384</v>
      </c>
      <c r="BK6" s="1">
        <f t="shared" si="12"/>
        <v>0</v>
      </c>
      <c r="BL6" s="1">
        <f t="shared" si="13"/>
        <v>674.89950836691639</v>
      </c>
      <c r="BM6" s="1">
        <f t="shared" si="14"/>
        <v>18.820737610661233</v>
      </c>
      <c r="BN6" s="1">
        <f t="shared" si="15"/>
        <v>37.79333943688048</v>
      </c>
      <c r="BO6" s="1">
        <f t="shared" si="16"/>
        <v>11.843235666463674</v>
      </c>
      <c r="BP6" s="1">
        <f t="shared" si="17"/>
        <v>0</v>
      </c>
      <c r="BQ6" s="1">
        <f t="shared" si="18"/>
        <v>11.38621511864168</v>
      </c>
      <c r="BR6" s="1">
        <f t="shared" si="19"/>
        <v>85.075506255261928</v>
      </c>
      <c r="BS6" s="1">
        <f t="shared" si="20"/>
        <v>1.5799999994038241</v>
      </c>
      <c r="BT6" s="1">
        <f t="shared" si="21"/>
        <v>346.81126349306379</v>
      </c>
      <c r="BU6" s="1">
        <f t="shared" si="22"/>
        <v>-3.1399999999999966</v>
      </c>
      <c r="BV6" s="1">
        <f t="shared" si="23"/>
        <v>0</v>
      </c>
      <c r="BW6" s="1">
        <f t="shared" si="24"/>
        <v>-383.50518425999957</v>
      </c>
      <c r="BX6" s="1">
        <f t="shared" si="25"/>
        <v>-3.1399999999999966</v>
      </c>
      <c r="BY6" s="1">
        <f t="shared" si="26"/>
        <v>0</v>
      </c>
      <c r="BZ6" s="1">
        <f t="shared" si="27"/>
        <v>-383.50518425999957</v>
      </c>
      <c r="CA6" s="1">
        <f t="shared" si="28"/>
        <v>0</v>
      </c>
      <c r="CB6" s="1">
        <f t="shared" si="29"/>
        <v>0</v>
      </c>
      <c r="CC6" s="1">
        <f t="shared" si="30"/>
        <v>0</v>
      </c>
      <c r="CD6" s="1">
        <f t="shared" si="31"/>
        <v>3.5527136788005009E-15</v>
      </c>
      <c r="CE6" s="1">
        <f t="shared" si="32"/>
        <v>0</v>
      </c>
      <c r="CF6" s="1">
        <f t="shared" si="33"/>
        <v>4.339121382201938E-13</v>
      </c>
      <c r="CH6" s="1" t="str">
        <f t="shared" si="34"/>
        <v>SE_DryMill_Existing_Non_CCS</v>
      </c>
      <c r="CI6" s="1">
        <f t="shared" si="35"/>
        <v>0</v>
      </c>
      <c r="CJ6" s="1">
        <f t="shared" si="36"/>
        <v>6.6132226322634384</v>
      </c>
      <c r="CK6" s="1">
        <f t="array" ref="CK6">_xlfn.IFS(R6="Biomass_Corn", 1/U6/H6*AI6, R6="Biomass_Agri", 1/U6/H6*AH6, R6="Biomass_Wood", 1/U6/H6*AG6, R6="Biomass_Herb", 1/U6/H6*AF6)</f>
        <v>674.89950836691639</v>
      </c>
      <c r="CL6" s="1">
        <f t="shared" si="37"/>
        <v>37.79333943688048</v>
      </c>
      <c r="CO6" s="1">
        <f t="shared" si="38"/>
        <v>0</v>
      </c>
      <c r="CP6" s="1">
        <f t="shared" si="39"/>
        <v>85.075506255261928</v>
      </c>
      <c r="CQ6" s="1">
        <f t="shared" si="40"/>
        <v>346.81126349306379</v>
      </c>
      <c r="CS6" s="9">
        <v>3.14</v>
      </c>
      <c r="CT6" s="19">
        <f t="shared" si="41"/>
        <v>1.65</v>
      </c>
      <c r="CU6" s="10">
        <v>0.181048235160161</v>
      </c>
      <c r="CV6" s="9">
        <f t="shared" si="42"/>
        <v>0.26284315659818819</v>
      </c>
      <c r="CX6" s="10">
        <f t="shared" si="43"/>
        <v>7.1844141213252382</v>
      </c>
      <c r="CY6" s="10">
        <f t="shared" si="44"/>
        <v>1.0510913109702409</v>
      </c>
      <c r="CZ6" s="10">
        <f t="shared" si="45"/>
        <v>3.7309694061952614</v>
      </c>
      <c r="DA6" s="10">
        <f t="shared" si="46"/>
        <v>22.431291239263636</v>
      </c>
      <c r="DB6" s="10">
        <f t="shared" si="47"/>
        <v>30.666796671559116</v>
      </c>
      <c r="DD6" s="19">
        <f t="shared" si="48"/>
        <v>4.5045360261002179</v>
      </c>
      <c r="DE6" s="19">
        <f t="shared" si="49"/>
        <v>0</v>
      </c>
      <c r="DF6" s="10">
        <f t="shared" si="50"/>
        <v>3.14</v>
      </c>
      <c r="DG6" s="10">
        <f t="shared" si="51"/>
        <v>23.022260645458896</v>
      </c>
      <c r="DH6" s="10">
        <f t="shared" si="52"/>
        <v>30.666796671559112</v>
      </c>
      <c r="DJ6" s="1">
        <f t="shared" si="53"/>
        <v>0</v>
      </c>
      <c r="DL6" s="14">
        <v>3</v>
      </c>
      <c r="DM6" s="14" t="s">
        <v>116</v>
      </c>
      <c r="DN6" s="13" t="s">
        <v>114</v>
      </c>
      <c r="DO6" s="13">
        <v>0.1227</v>
      </c>
      <c r="DP6" s="13">
        <v>0</v>
      </c>
      <c r="DQ6" s="13">
        <v>1.5508999999999999</v>
      </c>
      <c r="DR6" s="13">
        <v>0</v>
      </c>
      <c r="DS6" s="13">
        <v>1.32</v>
      </c>
      <c r="DT6" s="13">
        <v>0.19</v>
      </c>
      <c r="DU6" s="13">
        <v>0.77259974769999995</v>
      </c>
      <c r="DV6" s="13">
        <v>658128.84</v>
      </c>
      <c r="DW6" s="13">
        <v>195838.97</v>
      </c>
      <c r="DX6" s="13">
        <v>55.71</v>
      </c>
    </row>
    <row r="7" spans="2:128" x14ac:dyDescent="0.2">
      <c r="B7" s="28" t="s">
        <v>117</v>
      </c>
      <c r="C7" s="29" t="s">
        <v>109</v>
      </c>
      <c r="D7" s="29">
        <v>1</v>
      </c>
      <c r="E7" s="29" t="str">
        <f t="shared" si="0"/>
        <v>SE_DryMill_Existing_Non_CCS</v>
      </c>
      <c r="F7" s="28">
        <v>0.1123387839</v>
      </c>
      <c r="G7" s="28">
        <v>1.6231455339999999E-2</v>
      </c>
      <c r="H7" s="28">
        <v>7.0449024900000004E-2</v>
      </c>
      <c r="I7" s="28">
        <v>0</v>
      </c>
      <c r="J7" s="28">
        <v>0</v>
      </c>
      <c r="K7" s="28">
        <v>0.12825981766</v>
      </c>
      <c r="L7" s="20">
        <f t="shared" si="1"/>
        <v>4.1633218412188179E-2</v>
      </c>
      <c r="M7" s="28">
        <v>6577.9712840000002</v>
      </c>
      <c r="N7" s="28">
        <v>6324.1328800000001</v>
      </c>
      <c r="O7" s="28">
        <v>0.1113094593</v>
      </c>
      <c r="Q7" s="19" t="str">
        <f t="array" ref="Q7:AB7">_xlfn.XLOOKUP(D7, DL:DL, DM:DX)</f>
        <v>SE_DryMill_Existing_Non_CCS</v>
      </c>
      <c r="R7" s="19" t="str">
        <v>Biomass_Corn</v>
      </c>
      <c r="S7" s="19">
        <v>0</v>
      </c>
      <c r="T7" s="19">
        <v>0.06</v>
      </c>
      <c r="U7" s="19">
        <v>3.26</v>
      </c>
      <c r="V7" s="19">
        <v>0.75</v>
      </c>
      <c r="W7" s="19">
        <v>1.65</v>
      </c>
      <c r="X7" s="19">
        <v>0</v>
      </c>
      <c r="Y7" s="19">
        <v>1.034528956370121</v>
      </c>
      <c r="Z7" s="19">
        <v>0</v>
      </c>
      <c r="AA7" s="19">
        <v>154043.63</v>
      </c>
      <c r="AB7" s="19">
        <v>79.650000000000006</v>
      </c>
      <c r="AD7" s="16">
        <v>122.135409</v>
      </c>
      <c r="AE7" s="16">
        <v>-6.4965359999999999</v>
      </c>
      <c r="AF7" s="16">
        <v>117.625038</v>
      </c>
      <c r="AG7" s="16">
        <v>88.648826</v>
      </c>
      <c r="AH7" s="16">
        <v>72.811197000000007</v>
      </c>
      <c r="AI7" s="11">
        <v>155</v>
      </c>
      <c r="AJ7" s="17"/>
      <c r="AK7" s="17"/>
      <c r="AL7" s="16">
        <v>25.313632999999999</v>
      </c>
      <c r="AM7" s="16">
        <v>8.8090729999999997</v>
      </c>
      <c r="AN7" s="16"/>
      <c r="AO7" s="17">
        <v>0</v>
      </c>
      <c r="AP7" s="17">
        <v>0</v>
      </c>
      <c r="AQ7" s="17"/>
      <c r="AR7" s="17"/>
      <c r="AS7" s="17"/>
      <c r="AT7" s="17"/>
      <c r="AU7" s="16">
        <v>11.573017</v>
      </c>
      <c r="AV7" s="16">
        <v>0</v>
      </c>
      <c r="AW7" s="16">
        <v>576.81126900000004</v>
      </c>
      <c r="AX7" s="16">
        <v>0</v>
      </c>
      <c r="AZ7" s="1" t="str">
        <f t="shared" si="2"/>
        <v>CA_Ethanol_Dehydration_H2fuel</v>
      </c>
      <c r="BA7" s="1" t="str">
        <f t="shared" si="2"/>
        <v>Ethanol</v>
      </c>
      <c r="BB7" s="12">
        <f t="shared" si="3"/>
        <v>812.37641169043195</v>
      </c>
      <c r="BC7" s="12">
        <f t="shared" si="4"/>
        <v>812.37641169043195</v>
      </c>
      <c r="BD7" s="5">
        <f t="shared" si="5"/>
        <v>0</v>
      </c>
      <c r="BE7" s="12">
        <f t="shared" si="6"/>
        <v>1195.881595950432</v>
      </c>
      <c r="BF7" s="12">
        <f t="shared" si="7"/>
        <v>1195.881595950432</v>
      </c>
      <c r="BG7" s="5">
        <f t="shared" si="8"/>
        <v>0</v>
      </c>
      <c r="BH7" s="5">
        <f t="shared" si="9"/>
        <v>14.047043937244398</v>
      </c>
      <c r="BI7" s="1">
        <f t="shared" si="10"/>
        <v>5.8322610442923279</v>
      </c>
      <c r="BJ7" s="1">
        <f t="shared" si="11"/>
        <v>6.6132226322634384</v>
      </c>
      <c r="BK7" s="1">
        <f t="shared" si="12"/>
        <v>0</v>
      </c>
      <c r="BL7" s="1">
        <f t="shared" si="13"/>
        <v>674.89950836691639</v>
      </c>
      <c r="BM7" s="1">
        <f t="shared" si="14"/>
        <v>0</v>
      </c>
      <c r="BN7" s="1">
        <f t="shared" si="15"/>
        <v>37.79333943688048</v>
      </c>
      <c r="BO7" s="1">
        <f t="shared" si="16"/>
        <v>11.843235666463674</v>
      </c>
      <c r="BP7" s="1">
        <f t="shared" si="17"/>
        <v>0</v>
      </c>
      <c r="BQ7" s="1">
        <f t="shared" si="18"/>
        <v>11.38621511864168</v>
      </c>
      <c r="BR7" s="1">
        <f t="shared" si="19"/>
        <v>85.075506255261928</v>
      </c>
      <c r="BS7" s="1">
        <f t="shared" si="20"/>
        <v>1.5799999994038241</v>
      </c>
      <c r="BT7" s="1">
        <f t="shared" si="21"/>
        <v>346.81126349306379</v>
      </c>
      <c r="BU7" s="1">
        <f t="shared" si="22"/>
        <v>-3.14</v>
      </c>
      <c r="BV7" s="1">
        <f t="shared" si="23"/>
        <v>0</v>
      </c>
      <c r="BW7" s="1">
        <f t="shared" si="24"/>
        <v>-383.50518426000002</v>
      </c>
      <c r="BX7" s="1">
        <f t="shared" si="25"/>
        <v>-3.14</v>
      </c>
      <c r="BY7" s="1">
        <f t="shared" si="26"/>
        <v>0</v>
      </c>
      <c r="BZ7" s="1">
        <f t="shared" si="27"/>
        <v>-383.50518426000002</v>
      </c>
      <c r="CA7" s="1">
        <f t="shared" si="28"/>
        <v>0</v>
      </c>
      <c r="CB7" s="1">
        <f t="shared" si="29"/>
        <v>0</v>
      </c>
      <c r="CC7" s="1">
        <f t="shared" si="30"/>
        <v>0</v>
      </c>
      <c r="CD7" s="1">
        <f t="shared" si="31"/>
        <v>0</v>
      </c>
      <c r="CE7" s="1">
        <f t="shared" si="32"/>
        <v>0</v>
      </c>
      <c r="CF7" s="1">
        <f t="shared" si="33"/>
        <v>0</v>
      </c>
      <c r="CH7" s="1" t="str">
        <f t="shared" si="34"/>
        <v>SE_DryMill_Existing_Non_CCS</v>
      </c>
      <c r="CI7" s="1">
        <f t="shared" si="35"/>
        <v>0</v>
      </c>
      <c r="CJ7" s="1">
        <f t="shared" si="36"/>
        <v>6.6132226322634384</v>
      </c>
      <c r="CK7" s="1">
        <f t="array" ref="CK7">_xlfn.IFS(R7="Biomass_Corn", 1/U7/H7*AI7, R7="Biomass_Agri", 1/U7/H7*AH7, R7="Biomass_Wood", 1/U7/H7*AG7, R7="Biomass_Herb", 1/U7/H7*AF7)</f>
        <v>674.89950836691639</v>
      </c>
      <c r="CL7" s="1">
        <f t="shared" si="37"/>
        <v>37.79333943688048</v>
      </c>
      <c r="CO7" s="1">
        <f t="shared" si="38"/>
        <v>0</v>
      </c>
      <c r="CP7" s="1">
        <f t="shared" si="39"/>
        <v>85.075506255261928</v>
      </c>
      <c r="CQ7" s="1">
        <f t="shared" si="40"/>
        <v>346.81126349306379</v>
      </c>
      <c r="CS7" s="9">
        <v>3.14</v>
      </c>
      <c r="CT7" s="19">
        <f t="shared" si="41"/>
        <v>1.65</v>
      </c>
      <c r="CU7" s="10">
        <v>0.181048235160161</v>
      </c>
      <c r="CV7" s="9">
        <f t="shared" si="42"/>
        <v>0.26284315659818819</v>
      </c>
      <c r="CX7" s="10">
        <f t="shared" si="43"/>
        <v>7.1844141213252382</v>
      </c>
      <c r="CY7" s="10">
        <f t="shared" si="44"/>
        <v>1.0510913109702409</v>
      </c>
      <c r="CZ7" s="10">
        <f t="shared" si="45"/>
        <v>3.7309694061952614</v>
      </c>
      <c r="DA7" s="10">
        <f t="shared" si="46"/>
        <v>0</v>
      </c>
      <c r="DB7" s="10">
        <f t="shared" si="47"/>
        <v>8.2355054322954793</v>
      </c>
      <c r="DD7" s="19">
        <f t="shared" si="48"/>
        <v>4.5045360261002179</v>
      </c>
      <c r="DE7" s="19">
        <f t="shared" si="49"/>
        <v>0</v>
      </c>
      <c r="DF7" s="10">
        <f t="shared" si="50"/>
        <v>3.14</v>
      </c>
      <c r="DG7" s="10">
        <f t="shared" si="51"/>
        <v>0.59096940619526128</v>
      </c>
      <c r="DH7" s="10">
        <f t="shared" si="52"/>
        <v>8.2355054322954793</v>
      </c>
      <c r="DJ7" s="1">
        <f t="shared" si="53"/>
        <v>0</v>
      </c>
      <c r="DL7" s="14">
        <v>4</v>
      </c>
      <c r="DM7" s="14" t="s">
        <v>118</v>
      </c>
      <c r="DN7" s="13" t="s">
        <v>114</v>
      </c>
      <c r="DO7" s="13">
        <v>0.1227</v>
      </c>
      <c r="DP7" s="13">
        <v>0.26</v>
      </c>
      <c r="DQ7" s="13">
        <v>1.5508999999999999</v>
      </c>
      <c r="DR7" s="13">
        <v>0</v>
      </c>
      <c r="DS7" s="13">
        <v>1.32</v>
      </c>
      <c r="DT7" s="13">
        <v>0.83</v>
      </c>
      <c r="DU7" s="13">
        <v>0.13259974769999999</v>
      </c>
      <c r="DV7" s="13">
        <v>727064.6</v>
      </c>
      <c r="DW7" s="13">
        <v>233553.61</v>
      </c>
      <c r="DX7" s="13">
        <v>56.9</v>
      </c>
    </row>
    <row r="8" spans="2:128" x14ac:dyDescent="0.2">
      <c r="B8" s="28" t="s">
        <v>119</v>
      </c>
      <c r="C8" s="29" t="s">
        <v>109</v>
      </c>
      <c r="D8" s="29">
        <v>2</v>
      </c>
      <c r="E8" s="29" t="str">
        <f t="shared" si="0"/>
        <v>SE_Biochemical_Non_CCS</v>
      </c>
      <c r="F8" s="28">
        <v>0</v>
      </c>
      <c r="G8" s="28">
        <v>1.6231455339999999E-2</v>
      </c>
      <c r="H8" s="28">
        <v>7.0449024900000004E-2</v>
      </c>
      <c r="I8" s="28">
        <v>0.11456844939999999</v>
      </c>
      <c r="J8" s="28">
        <v>0</v>
      </c>
      <c r="K8" s="28">
        <v>0.42269136727000001</v>
      </c>
      <c r="L8" s="20">
        <f t="shared" si="1"/>
        <v>1.589499656868036</v>
      </c>
      <c r="M8" s="28">
        <v>6577.9712840000002</v>
      </c>
      <c r="N8" s="28">
        <v>6324.1328800000001</v>
      </c>
      <c r="O8" s="28">
        <v>0.1113094593</v>
      </c>
      <c r="Q8" s="19" t="str">
        <f t="array" ref="Q8:AB8">_xlfn.XLOOKUP(D8, DL:DL, DM:DX)</f>
        <v>SE_Biochemical_Non_CCS</v>
      </c>
      <c r="R8" s="19" t="str">
        <v>Biomass_Agri</v>
      </c>
      <c r="S8" s="19">
        <v>0.1227</v>
      </c>
      <c r="T8" s="19">
        <v>0</v>
      </c>
      <c r="U8" s="19">
        <v>1.5508999999999999</v>
      </c>
      <c r="V8" s="19">
        <v>0</v>
      </c>
      <c r="W8" s="19">
        <v>1.32</v>
      </c>
      <c r="X8" s="19">
        <v>0</v>
      </c>
      <c r="Y8" s="19">
        <v>0.9625997476999999</v>
      </c>
      <c r="Z8" s="19">
        <v>656536.27</v>
      </c>
      <c r="AA8" s="19">
        <v>194987.35</v>
      </c>
      <c r="AB8" s="19">
        <v>55.68</v>
      </c>
      <c r="AD8" s="16">
        <v>122.135409</v>
      </c>
      <c r="AE8" s="16">
        <v>-10.071578000000001</v>
      </c>
      <c r="AF8" s="16">
        <v>73.297528</v>
      </c>
      <c r="AG8" s="16">
        <v>77.158259999999999</v>
      </c>
      <c r="AH8" s="16">
        <v>59.694023999999999</v>
      </c>
      <c r="AI8" s="11">
        <v>155</v>
      </c>
      <c r="AJ8" s="17"/>
      <c r="AK8" s="17"/>
      <c r="AL8" s="16">
        <v>26.556269</v>
      </c>
      <c r="AM8" s="16">
        <v>8.6278919999999992</v>
      </c>
      <c r="AN8" s="16"/>
      <c r="AO8" s="17">
        <v>-96.133976000000004</v>
      </c>
      <c r="AP8" s="17">
        <v>-96.133976000000004</v>
      </c>
      <c r="AQ8" s="17"/>
      <c r="AR8" s="17"/>
      <c r="AS8" s="17"/>
      <c r="AT8" s="17"/>
      <c r="AU8" s="16">
        <v>4.7546840000000001</v>
      </c>
      <c r="AV8" s="16">
        <v>-0.13628299999999999</v>
      </c>
      <c r="AW8" s="16">
        <v>576.81126900000004</v>
      </c>
      <c r="AX8" s="16">
        <v>576.81126900000004</v>
      </c>
      <c r="AZ8" s="1" t="str">
        <f t="shared" si="2"/>
        <v>SE_Ethanol_Dehydration_NGfuel_ethanol_biochemical</v>
      </c>
      <c r="BA8" s="1" t="str">
        <f t="shared" si="2"/>
        <v>Ethanol</v>
      </c>
      <c r="BB8" s="12">
        <f t="shared" si="3"/>
        <v>1669.8297288138133</v>
      </c>
      <c r="BC8" s="12">
        <f t="shared" si="4"/>
        <v>1669.8297288138133</v>
      </c>
      <c r="BD8" s="5">
        <f t="shared" si="5"/>
        <v>0</v>
      </c>
      <c r="BE8" s="12">
        <f t="shared" si="6"/>
        <v>2053.3349130738134</v>
      </c>
      <c r="BF8" s="12">
        <f t="shared" si="7"/>
        <v>2053.3349130738134</v>
      </c>
      <c r="BG8" s="5">
        <f t="shared" si="8"/>
        <v>0</v>
      </c>
      <c r="BH8" s="5">
        <f t="shared" si="9"/>
        <v>0</v>
      </c>
      <c r="BI8" s="1">
        <f t="shared" si="10"/>
        <v>6.1185643787459494</v>
      </c>
      <c r="BJ8" s="1">
        <f t="shared" si="11"/>
        <v>0</v>
      </c>
      <c r="BK8" s="1">
        <f t="shared" si="12"/>
        <v>-29.823103764888305</v>
      </c>
      <c r="BL8" s="1">
        <f t="shared" si="13"/>
        <v>546.35141670971427</v>
      </c>
      <c r="BM8" s="1">
        <f t="shared" si="14"/>
        <v>7.7323536278922944</v>
      </c>
      <c r="BN8" s="1">
        <f t="shared" si="15"/>
        <v>0</v>
      </c>
      <c r="BO8" s="1">
        <f t="shared" si="16"/>
        <v>11.843235666463674</v>
      </c>
      <c r="BP8" s="1">
        <f t="shared" si="17"/>
        <v>762.17258887177934</v>
      </c>
      <c r="BQ8" s="1">
        <f t="shared" si="18"/>
        <v>11.38621511864168</v>
      </c>
      <c r="BR8" s="1">
        <f t="shared" si="19"/>
        <v>226.36070562673976</v>
      </c>
      <c r="BS8" s="1">
        <f t="shared" si="20"/>
        <v>1.5799999994038241</v>
      </c>
      <c r="BT8" s="1">
        <f t="shared" si="21"/>
        <v>509.61293683932075</v>
      </c>
      <c r="BU8" s="1">
        <f t="shared" si="22"/>
        <v>-3.14</v>
      </c>
      <c r="BV8" s="1">
        <f t="shared" si="23"/>
        <v>0</v>
      </c>
      <c r="BW8" s="1">
        <f t="shared" si="24"/>
        <v>-383.50518426000002</v>
      </c>
      <c r="BX8" s="1">
        <f t="shared" si="25"/>
        <v>-3.14</v>
      </c>
      <c r="BY8" s="1">
        <f t="shared" si="26"/>
        <v>0</v>
      </c>
      <c r="BZ8" s="1">
        <f t="shared" si="27"/>
        <v>-383.50518426000002</v>
      </c>
      <c r="CA8" s="1">
        <f t="shared" si="28"/>
        <v>0</v>
      </c>
      <c r="CB8" s="1">
        <f t="shared" si="29"/>
        <v>0</v>
      </c>
      <c r="CC8" s="1">
        <f t="shared" si="30"/>
        <v>0</v>
      </c>
      <c r="CD8" s="1">
        <f t="shared" si="31"/>
        <v>0</v>
      </c>
      <c r="CE8" s="1">
        <f t="shared" si="32"/>
        <v>0</v>
      </c>
      <c r="CF8" s="1">
        <f t="shared" si="33"/>
        <v>0</v>
      </c>
      <c r="CH8" s="1" t="str">
        <f t="shared" si="34"/>
        <v>SE_Biochemical_Non_CCS</v>
      </c>
      <c r="CI8" s="1">
        <f t="shared" si="35"/>
        <v>-29.823103764888305</v>
      </c>
      <c r="CJ8" s="1">
        <f t="shared" si="36"/>
        <v>0</v>
      </c>
      <c r="CK8" s="1">
        <f t="array" ref="CK8">_xlfn.IFS(R8="Biomass_Corn", 1/U8/H8*AI8, R8="Biomass_Agri", 1/U8/H8*AH8, R8="Biomass_Wood", 1/U8/H8*AG8, R8="Biomass_Herb", 1/U8/H8*AF8)</f>
        <v>546.35141670971427</v>
      </c>
      <c r="CL8" s="1">
        <f t="shared" si="37"/>
        <v>0</v>
      </c>
      <c r="CO8" s="1">
        <f t="shared" si="38"/>
        <v>762.17258887177934</v>
      </c>
      <c r="CP8" s="1">
        <f t="shared" si="39"/>
        <v>226.36070562673976</v>
      </c>
      <c r="CQ8" s="1">
        <f t="shared" si="40"/>
        <v>509.61293683932075</v>
      </c>
      <c r="CS8" s="9">
        <v>3.14</v>
      </c>
      <c r="CT8" s="19">
        <f t="shared" si="41"/>
        <v>1.32</v>
      </c>
      <c r="CU8" s="10">
        <v>0.181048235160161</v>
      </c>
      <c r="CV8" s="9">
        <f t="shared" si="42"/>
        <v>0.23044699999999999</v>
      </c>
      <c r="CX8" s="10">
        <f t="shared" si="43"/>
        <v>12.081341175070103</v>
      </c>
      <c r="CY8" s="10">
        <f t="shared" si="44"/>
        <v>0</v>
      </c>
      <c r="CZ8" s="10">
        <f t="shared" si="45"/>
        <v>3.2711169576457824</v>
      </c>
      <c r="DA8" s="10">
        <f t="shared" si="46"/>
        <v>22.431291239263636</v>
      </c>
      <c r="DB8" s="10">
        <f t="shared" si="47"/>
        <v>34.512632414333737</v>
      </c>
      <c r="DD8" s="19">
        <f t="shared" si="48"/>
        <v>8.8102242174243202</v>
      </c>
      <c r="DE8" s="19">
        <f t="shared" si="49"/>
        <v>0</v>
      </c>
      <c r="DF8" s="10">
        <f t="shared" si="50"/>
        <v>3.14</v>
      </c>
      <c r="DG8" s="10">
        <f t="shared" si="51"/>
        <v>22.56240819690942</v>
      </c>
      <c r="DH8" s="10">
        <f t="shared" si="52"/>
        <v>34.512632414333737</v>
      </c>
      <c r="DJ8" s="1">
        <f t="shared" si="53"/>
        <v>0</v>
      </c>
      <c r="DL8" s="14">
        <v>5</v>
      </c>
      <c r="DM8" s="14" t="s">
        <v>120</v>
      </c>
      <c r="DN8" s="13" t="s">
        <v>111</v>
      </c>
      <c r="DO8" s="13">
        <v>0</v>
      </c>
      <c r="DP8" s="13">
        <v>0.06</v>
      </c>
      <c r="DQ8" s="13">
        <v>3.26</v>
      </c>
      <c r="DR8" s="13">
        <v>0.75</v>
      </c>
      <c r="DS8" s="13">
        <v>1.65</v>
      </c>
      <c r="DT8" s="13">
        <v>0</v>
      </c>
      <c r="DU8" s="13">
        <v>1.034528956370121</v>
      </c>
      <c r="DV8" s="13">
        <v>10000</v>
      </c>
      <c r="DW8" s="13">
        <v>154043.63</v>
      </c>
      <c r="DX8" s="13">
        <v>79.650000000000006</v>
      </c>
    </row>
    <row r="9" spans="2:128" x14ac:dyDescent="0.2">
      <c r="B9" s="28" t="s">
        <v>121</v>
      </c>
      <c r="C9" s="29" t="s">
        <v>109</v>
      </c>
      <c r="D9" s="29">
        <v>2</v>
      </c>
      <c r="E9" s="29" t="str">
        <f t="shared" si="0"/>
        <v>SE_Biochemical_Non_CCS</v>
      </c>
      <c r="F9" s="28">
        <v>0.1123387839</v>
      </c>
      <c r="G9" s="28">
        <v>1.6231455339999999E-2</v>
      </c>
      <c r="H9" s="28">
        <v>7.0449024900000004E-2</v>
      </c>
      <c r="I9" s="28">
        <v>0</v>
      </c>
      <c r="J9" s="28">
        <v>0</v>
      </c>
      <c r="K9" s="28">
        <v>0.12825981766</v>
      </c>
      <c r="L9" s="20">
        <f t="shared" si="1"/>
        <v>9.237061813999959E-3</v>
      </c>
      <c r="M9" s="28">
        <v>6577.9712840000002</v>
      </c>
      <c r="N9" s="28">
        <v>6324.1328800000001</v>
      </c>
      <c r="O9" s="28">
        <v>0.1113094593</v>
      </c>
      <c r="Q9" s="19" t="str">
        <f t="array" ref="Q9:AB9">_xlfn.XLOOKUP(D9, DL:DL, DM:DX)</f>
        <v>SE_Biochemical_Non_CCS</v>
      </c>
      <c r="R9" s="19" t="str">
        <v>Biomass_Agri</v>
      </c>
      <c r="S9" s="19">
        <v>0.1227</v>
      </c>
      <c r="T9" s="19">
        <v>0</v>
      </c>
      <c r="U9" s="19">
        <v>1.5508999999999999</v>
      </c>
      <c r="V9" s="19">
        <v>0</v>
      </c>
      <c r="W9" s="19">
        <v>1.32</v>
      </c>
      <c r="X9" s="19">
        <v>0</v>
      </c>
      <c r="Y9" s="19">
        <v>0.9625997476999999</v>
      </c>
      <c r="Z9" s="19">
        <v>656536.27</v>
      </c>
      <c r="AA9" s="19">
        <v>194987.35</v>
      </c>
      <c r="AB9" s="19">
        <v>55.68</v>
      </c>
      <c r="AD9" s="16">
        <v>122.135409</v>
      </c>
      <c r="AE9" s="16">
        <v>-10.071578000000001</v>
      </c>
      <c r="AF9" s="16">
        <v>73.297528</v>
      </c>
      <c r="AG9" s="16">
        <v>77.158259999999999</v>
      </c>
      <c r="AH9" s="16">
        <v>59.694023999999999</v>
      </c>
      <c r="AI9" s="11">
        <v>155</v>
      </c>
      <c r="AJ9" s="17"/>
      <c r="AK9" s="17"/>
      <c r="AL9" s="16">
        <v>26.556269</v>
      </c>
      <c r="AM9" s="16">
        <v>8.6278919999999992</v>
      </c>
      <c r="AN9" s="16"/>
      <c r="AO9" s="17">
        <v>-96.133976000000004</v>
      </c>
      <c r="AP9" s="17">
        <v>-96.133976000000004</v>
      </c>
      <c r="AQ9" s="17"/>
      <c r="AR9" s="17"/>
      <c r="AS9" s="17"/>
      <c r="AT9" s="17"/>
      <c r="AU9" s="16">
        <v>4.7546840000000001</v>
      </c>
      <c r="AV9" s="16">
        <v>-0.13628299999999999</v>
      </c>
      <c r="AW9" s="16">
        <v>576.81126900000004</v>
      </c>
      <c r="AX9" s="16">
        <v>576.81126900000004</v>
      </c>
      <c r="AZ9" s="1" t="str">
        <f t="shared" si="2"/>
        <v>SE_Ethanol_Dehydration_H2fuel_ethanol_biochemical</v>
      </c>
      <c r="BA9" s="1" t="str">
        <f t="shared" si="2"/>
        <v>Ethanol</v>
      </c>
      <c r="BB9" s="12">
        <f t="shared" si="3"/>
        <v>1675.8555059233772</v>
      </c>
      <c r="BC9" s="12">
        <f t="shared" si="4"/>
        <v>1675.8555059233772</v>
      </c>
      <c r="BD9" s="5">
        <f t="shared" si="5"/>
        <v>0</v>
      </c>
      <c r="BE9" s="12">
        <f t="shared" si="6"/>
        <v>2059.3606901833773</v>
      </c>
      <c r="BF9" s="12">
        <f t="shared" si="7"/>
        <v>2059.3606901833773</v>
      </c>
      <c r="BG9" s="5">
        <f t="shared" si="8"/>
        <v>0</v>
      </c>
      <c r="BH9" s="5">
        <f t="shared" si="9"/>
        <v>13.758130737456648</v>
      </c>
      <c r="BI9" s="1">
        <f t="shared" si="10"/>
        <v>6.1185643787459494</v>
      </c>
      <c r="BJ9" s="1">
        <f t="shared" si="11"/>
        <v>0</v>
      </c>
      <c r="BK9" s="1">
        <f t="shared" si="12"/>
        <v>-29.823103764888305</v>
      </c>
      <c r="BL9" s="1">
        <f t="shared" si="13"/>
        <v>546.35141670971427</v>
      </c>
      <c r="BM9" s="1">
        <f t="shared" si="14"/>
        <v>0</v>
      </c>
      <c r="BN9" s="1">
        <f t="shared" si="15"/>
        <v>0</v>
      </c>
      <c r="BO9" s="1">
        <f t="shared" si="16"/>
        <v>11.843235666463674</v>
      </c>
      <c r="BP9" s="1">
        <f t="shared" si="17"/>
        <v>762.17258887177934</v>
      </c>
      <c r="BQ9" s="1">
        <f t="shared" si="18"/>
        <v>11.38621511864168</v>
      </c>
      <c r="BR9" s="1">
        <f t="shared" si="19"/>
        <v>226.36070562673976</v>
      </c>
      <c r="BS9" s="1">
        <f t="shared" si="20"/>
        <v>1.5799999994038241</v>
      </c>
      <c r="BT9" s="1">
        <f t="shared" si="21"/>
        <v>509.61293683932075</v>
      </c>
      <c r="BU9" s="1">
        <f t="shared" si="22"/>
        <v>-3.14</v>
      </c>
      <c r="BV9" s="1">
        <f t="shared" si="23"/>
        <v>0</v>
      </c>
      <c r="BW9" s="1">
        <f t="shared" si="24"/>
        <v>-383.50518426000002</v>
      </c>
      <c r="BX9" s="1">
        <f t="shared" si="25"/>
        <v>-3.14</v>
      </c>
      <c r="BY9" s="1">
        <f t="shared" si="26"/>
        <v>0</v>
      </c>
      <c r="BZ9" s="1">
        <f t="shared" si="27"/>
        <v>-383.50518426000002</v>
      </c>
      <c r="CA9" s="1">
        <f t="shared" si="28"/>
        <v>0</v>
      </c>
      <c r="CB9" s="1">
        <f t="shared" si="29"/>
        <v>0</v>
      </c>
      <c r="CC9" s="1">
        <f t="shared" si="30"/>
        <v>0</v>
      </c>
      <c r="CD9" s="1">
        <f t="shared" si="31"/>
        <v>0</v>
      </c>
      <c r="CE9" s="1">
        <f t="shared" si="32"/>
        <v>0</v>
      </c>
      <c r="CF9" s="1">
        <f t="shared" si="33"/>
        <v>0</v>
      </c>
      <c r="CH9" s="1" t="str">
        <f t="shared" si="34"/>
        <v>SE_Biochemical_Non_CCS</v>
      </c>
      <c r="CI9" s="1">
        <f t="shared" si="35"/>
        <v>-29.823103764888305</v>
      </c>
      <c r="CJ9" s="1">
        <f t="shared" si="36"/>
        <v>0</v>
      </c>
      <c r="CK9" s="1">
        <f t="array" ref="CK9">_xlfn.IFS(R9="Biomass_Corn", 1/U9/H9*AI9, R9="Biomass_Agri", 1/U9/H9*AH9, R9="Biomass_Wood", 1/U9/H9*AG9, R9="Biomass_Herb", 1/U9/H9*AF9)</f>
        <v>546.35141670971427</v>
      </c>
      <c r="CL9" s="1">
        <f t="shared" si="37"/>
        <v>0</v>
      </c>
      <c r="CO9" s="1">
        <f t="shared" si="38"/>
        <v>762.17258887177934</v>
      </c>
      <c r="CP9" s="1">
        <f t="shared" si="39"/>
        <v>226.36070562673976</v>
      </c>
      <c r="CQ9" s="1">
        <f t="shared" si="40"/>
        <v>509.61293683932075</v>
      </c>
      <c r="CS9" s="9">
        <v>3.14</v>
      </c>
      <c r="CT9" s="19">
        <f t="shared" si="41"/>
        <v>1.32</v>
      </c>
      <c r="CU9" s="10">
        <v>0.181048235160161</v>
      </c>
      <c r="CV9" s="9">
        <f t="shared" si="42"/>
        <v>0.23044699999999999</v>
      </c>
      <c r="CX9" s="10">
        <f t="shared" si="43"/>
        <v>12.081341175070103</v>
      </c>
      <c r="CY9" s="10">
        <f t="shared" si="44"/>
        <v>0</v>
      </c>
      <c r="CZ9" s="10">
        <f t="shared" si="45"/>
        <v>3.2711169576457824</v>
      </c>
      <c r="DA9" s="10">
        <f t="shared" si="46"/>
        <v>0</v>
      </c>
      <c r="DB9" s="10">
        <f t="shared" si="47"/>
        <v>12.081341175070103</v>
      </c>
      <c r="DD9" s="19">
        <f t="shared" si="48"/>
        <v>8.8102242174243202</v>
      </c>
      <c r="DE9" s="19">
        <f t="shared" si="49"/>
        <v>0</v>
      </c>
      <c r="DF9" s="10">
        <f t="shared" si="50"/>
        <v>3.14</v>
      </c>
      <c r="DG9" s="10">
        <f t="shared" si="51"/>
        <v>0.13111695764578224</v>
      </c>
      <c r="DH9" s="10">
        <f t="shared" si="52"/>
        <v>12.081341175070103</v>
      </c>
      <c r="DJ9" s="1">
        <f t="shared" si="53"/>
        <v>0</v>
      </c>
    </row>
    <row r="10" spans="2:128" x14ac:dyDescent="0.2">
      <c r="B10" s="28" t="s">
        <v>122</v>
      </c>
      <c r="C10" s="29" t="s">
        <v>109</v>
      </c>
      <c r="D10" s="29">
        <v>2</v>
      </c>
      <c r="E10" s="29" t="str">
        <f t="shared" si="0"/>
        <v>SE_Biochemical_Non_CCS</v>
      </c>
      <c r="F10" s="28">
        <v>0</v>
      </c>
      <c r="G10" s="28">
        <v>1.6231455339999999E-2</v>
      </c>
      <c r="H10" s="28">
        <v>7.0449024900000004E-2</v>
      </c>
      <c r="I10" s="28">
        <v>0.11456844939999999</v>
      </c>
      <c r="J10" s="28">
        <v>0</v>
      </c>
      <c r="K10" s="28">
        <v>0.42269136727000001</v>
      </c>
      <c r="L10" s="20">
        <f t="shared" si="1"/>
        <v>1.589499656868036</v>
      </c>
      <c r="M10" s="28">
        <v>6577.9712840000002</v>
      </c>
      <c r="N10" s="28">
        <v>6324.1328800000001</v>
      </c>
      <c r="O10" s="28">
        <v>0.1113094593</v>
      </c>
      <c r="Q10" s="19" t="str">
        <f t="array" ref="Q10:AB10">_xlfn.XLOOKUP(D10, DL:DL, DM:DX)</f>
        <v>SE_Biochemical_Non_CCS</v>
      </c>
      <c r="R10" s="19" t="str">
        <v>Biomass_Agri</v>
      </c>
      <c r="S10" s="19">
        <v>0.1227</v>
      </c>
      <c r="T10" s="19">
        <v>0</v>
      </c>
      <c r="U10" s="19">
        <v>1.5508999999999999</v>
      </c>
      <c r="V10" s="19">
        <v>0</v>
      </c>
      <c r="W10" s="19">
        <v>1.32</v>
      </c>
      <c r="X10" s="19">
        <v>0</v>
      </c>
      <c r="Y10" s="19">
        <v>0.9625997476999999</v>
      </c>
      <c r="Z10" s="19">
        <v>656536.27</v>
      </c>
      <c r="AA10" s="19">
        <v>194987.35</v>
      </c>
      <c r="AB10" s="19">
        <v>55.68</v>
      </c>
      <c r="AD10" s="16">
        <v>122.135409</v>
      </c>
      <c r="AE10" s="16">
        <v>-6.4965359999999999</v>
      </c>
      <c r="AF10" s="16">
        <v>117.625038</v>
      </c>
      <c r="AG10" s="16">
        <v>88.648826</v>
      </c>
      <c r="AH10" s="16">
        <v>72.811197000000007</v>
      </c>
      <c r="AI10" s="11">
        <v>155</v>
      </c>
      <c r="AJ10" s="17"/>
      <c r="AK10" s="17"/>
      <c r="AL10" s="16">
        <v>25.313632999999999</v>
      </c>
      <c r="AM10" s="16">
        <v>8.8090729999999997</v>
      </c>
      <c r="AN10" s="16"/>
      <c r="AO10" s="17">
        <v>0</v>
      </c>
      <c r="AP10" s="17">
        <v>0</v>
      </c>
      <c r="AQ10" s="17"/>
      <c r="AR10" s="17"/>
      <c r="AS10" s="17"/>
      <c r="AT10" s="17"/>
      <c r="AU10" s="16">
        <v>11.573017</v>
      </c>
      <c r="AV10" s="16">
        <v>0</v>
      </c>
      <c r="AW10" s="16">
        <v>576.81126900000004</v>
      </c>
      <c r="AX10" s="16">
        <v>0</v>
      </c>
      <c r="AZ10" s="1" t="str">
        <f t="shared" si="2"/>
        <v>CA_Ethanol_Dehydration_NGfuel_ethanol_biochemical</v>
      </c>
      <c r="BA10" s="1" t="str">
        <f t="shared" si="2"/>
        <v>Ethanol</v>
      </c>
      <c r="BB10" s="12">
        <f t="shared" si="3"/>
        <v>1802.082644096738</v>
      </c>
      <c r="BC10" s="12">
        <f t="shared" si="4"/>
        <v>1802.082644096738</v>
      </c>
      <c r="BD10" s="5">
        <f t="shared" si="5"/>
        <v>0</v>
      </c>
      <c r="BE10" s="12">
        <f t="shared" si="6"/>
        <v>2185.5878283567381</v>
      </c>
      <c r="BF10" s="12">
        <f t="shared" si="7"/>
        <v>2185.5878283567381</v>
      </c>
      <c r="BG10" s="5">
        <f t="shared" si="8"/>
        <v>0</v>
      </c>
      <c r="BH10" s="5">
        <f t="shared" si="9"/>
        <v>0</v>
      </c>
      <c r="BI10" s="1">
        <f t="shared" si="10"/>
        <v>5.8322610442923279</v>
      </c>
      <c r="BJ10" s="1">
        <f t="shared" si="11"/>
        <v>0</v>
      </c>
      <c r="BK10" s="1">
        <f t="shared" si="12"/>
        <v>-28.427604179837946</v>
      </c>
      <c r="BL10" s="1">
        <f t="shared" si="13"/>
        <v>666.40675175927333</v>
      </c>
      <c r="BM10" s="1">
        <f t="shared" si="14"/>
        <v>18.820737610661233</v>
      </c>
      <c r="BN10" s="1">
        <f t="shared" si="15"/>
        <v>0</v>
      </c>
      <c r="BO10" s="1">
        <f t="shared" si="16"/>
        <v>11.843235666463674</v>
      </c>
      <c r="BP10" s="1">
        <f t="shared" si="17"/>
        <v>762.17258887177934</v>
      </c>
      <c r="BQ10" s="1">
        <f t="shared" si="18"/>
        <v>11.38621511864168</v>
      </c>
      <c r="BR10" s="1">
        <f t="shared" si="19"/>
        <v>226.36070562673976</v>
      </c>
      <c r="BS10" s="1">
        <f t="shared" si="20"/>
        <v>1.5799999994038241</v>
      </c>
      <c r="BT10" s="1">
        <f t="shared" si="21"/>
        <v>509.61293683932075</v>
      </c>
      <c r="BU10" s="1">
        <f t="shared" si="22"/>
        <v>-3.14</v>
      </c>
      <c r="BV10" s="1">
        <f t="shared" si="23"/>
        <v>0</v>
      </c>
      <c r="BW10" s="1">
        <f t="shared" si="24"/>
        <v>-383.50518426000002</v>
      </c>
      <c r="BX10" s="1">
        <f t="shared" si="25"/>
        <v>-3.14</v>
      </c>
      <c r="BY10" s="1">
        <f t="shared" si="26"/>
        <v>0</v>
      </c>
      <c r="BZ10" s="1">
        <f t="shared" si="27"/>
        <v>-383.50518426000002</v>
      </c>
      <c r="CA10" s="1">
        <f t="shared" si="28"/>
        <v>0</v>
      </c>
      <c r="CB10" s="1">
        <f t="shared" si="29"/>
        <v>0</v>
      </c>
      <c r="CC10" s="1">
        <f t="shared" si="30"/>
        <v>0</v>
      </c>
      <c r="CD10" s="1">
        <f t="shared" si="31"/>
        <v>0</v>
      </c>
      <c r="CE10" s="1">
        <f t="shared" si="32"/>
        <v>0</v>
      </c>
      <c r="CF10" s="1">
        <f t="shared" si="33"/>
        <v>0</v>
      </c>
      <c r="CH10" s="1" t="str">
        <f t="shared" si="34"/>
        <v>SE_Biochemical_Non_CCS</v>
      </c>
      <c r="CI10" s="1">
        <f t="shared" si="35"/>
        <v>-28.427604179837946</v>
      </c>
      <c r="CJ10" s="1">
        <f t="shared" si="36"/>
        <v>0</v>
      </c>
      <c r="CK10" s="1">
        <f t="array" ref="CK10">_xlfn.IFS(R10="Biomass_Corn", 1/U10/H10*AI10, R10="Biomass_Agri", 1/U10/H10*AH10, R10="Biomass_Wood", 1/U10/H10*AG10, R10="Biomass_Herb", 1/U10/H10*AF10)</f>
        <v>666.40675175927333</v>
      </c>
      <c r="CL10" s="1">
        <f t="shared" si="37"/>
        <v>0</v>
      </c>
      <c r="CO10" s="1">
        <f t="shared" si="38"/>
        <v>762.17258887177934</v>
      </c>
      <c r="CP10" s="1">
        <f t="shared" si="39"/>
        <v>226.36070562673976</v>
      </c>
      <c r="CQ10" s="1">
        <f t="shared" si="40"/>
        <v>509.61293683932075</v>
      </c>
      <c r="CS10" s="9">
        <v>3.14</v>
      </c>
      <c r="CT10" s="19">
        <f t="shared" si="41"/>
        <v>1.32</v>
      </c>
      <c r="CU10" s="10">
        <v>0.181048235160161</v>
      </c>
      <c r="CV10" s="9">
        <f t="shared" si="42"/>
        <v>0.23044699999999999</v>
      </c>
      <c r="CX10" s="10">
        <f t="shared" si="43"/>
        <v>12.081341175070103</v>
      </c>
      <c r="CY10" s="10">
        <f t="shared" si="44"/>
        <v>0</v>
      </c>
      <c r="CZ10" s="10">
        <f t="shared" si="45"/>
        <v>3.2711169576457824</v>
      </c>
      <c r="DA10" s="10">
        <f t="shared" si="46"/>
        <v>22.431291239263636</v>
      </c>
      <c r="DB10" s="10">
        <f t="shared" si="47"/>
        <v>34.512632414333737</v>
      </c>
      <c r="DD10" s="19">
        <f t="shared" si="48"/>
        <v>8.8102242174243202</v>
      </c>
      <c r="DE10" s="19">
        <f t="shared" si="49"/>
        <v>0</v>
      </c>
      <c r="DF10" s="10">
        <f t="shared" si="50"/>
        <v>3.14</v>
      </c>
      <c r="DG10" s="10">
        <f t="shared" si="51"/>
        <v>22.56240819690942</v>
      </c>
      <c r="DH10" s="10">
        <f t="shared" si="52"/>
        <v>34.512632414333737</v>
      </c>
      <c r="DJ10" s="1">
        <f t="shared" si="53"/>
        <v>0</v>
      </c>
    </row>
    <row r="11" spans="2:128" x14ac:dyDescent="0.2">
      <c r="B11" s="28" t="s">
        <v>123</v>
      </c>
      <c r="C11" s="29" t="s">
        <v>109</v>
      </c>
      <c r="D11" s="29">
        <v>2</v>
      </c>
      <c r="E11" s="29" t="str">
        <f t="shared" si="0"/>
        <v>SE_Biochemical_Non_CCS</v>
      </c>
      <c r="F11" s="28">
        <v>0.1123387839</v>
      </c>
      <c r="G11" s="28">
        <v>1.6231455339999999E-2</v>
      </c>
      <c r="H11" s="28">
        <v>7.0449024900000004E-2</v>
      </c>
      <c r="I11" s="28">
        <v>0</v>
      </c>
      <c r="J11" s="28">
        <v>0</v>
      </c>
      <c r="K11" s="28">
        <v>0.12825981766</v>
      </c>
      <c r="L11" s="20">
        <f t="shared" si="1"/>
        <v>9.237061813999959E-3</v>
      </c>
      <c r="M11" s="28">
        <v>6577.9712840000002</v>
      </c>
      <c r="N11" s="28">
        <v>6324.1328800000001</v>
      </c>
      <c r="O11" s="28">
        <v>0.1113094593</v>
      </c>
      <c r="Q11" s="19" t="str">
        <f t="array" ref="Q11:AB11">_xlfn.XLOOKUP(D11, DL:DL, DM:DX)</f>
        <v>SE_Biochemical_Non_CCS</v>
      </c>
      <c r="R11" s="19" t="str">
        <v>Biomass_Agri</v>
      </c>
      <c r="S11" s="19">
        <v>0.1227</v>
      </c>
      <c r="T11" s="19">
        <v>0</v>
      </c>
      <c r="U11" s="19">
        <v>1.5508999999999999</v>
      </c>
      <c r="V11" s="19">
        <v>0</v>
      </c>
      <c r="W11" s="19">
        <v>1.32</v>
      </c>
      <c r="X11" s="19">
        <v>0</v>
      </c>
      <c r="Y11" s="19">
        <v>0.9625997476999999</v>
      </c>
      <c r="Z11" s="19">
        <v>656536.27</v>
      </c>
      <c r="AA11" s="19">
        <v>194987.35</v>
      </c>
      <c r="AB11" s="19">
        <v>55.68</v>
      </c>
      <c r="AD11" s="16">
        <v>122.135409</v>
      </c>
      <c r="AE11" s="16">
        <v>-6.4965359999999999</v>
      </c>
      <c r="AF11" s="16">
        <v>117.625038</v>
      </c>
      <c r="AG11" s="16">
        <v>88.648826</v>
      </c>
      <c r="AH11" s="16">
        <v>72.811197000000007</v>
      </c>
      <c r="AI11" s="11">
        <v>155</v>
      </c>
      <c r="AJ11" s="17"/>
      <c r="AK11" s="17"/>
      <c r="AL11" s="16">
        <v>25.313632999999999</v>
      </c>
      <c r="AM11" s="16">
        <v>8.8090729999999997</v>
      </c>
      <c r="AN11" s="16"/>
      <c r="AO11" s="17">
        <v>0</v>
      </c>
      <c r="AP11" s="17">
        <v>0</v>
      </c>
      <c r="AQ11" s="17"/>
      <c r="AR11" s="17"/>
      <c r="AS11" s="17"/>
      <c r="AT11" s="17"/>
      <c r="AU11" s="16">
        <v>11.573017</v>
      </c>
      <c r="AV11" s="16">
        <v>0</v>
      </c>
      <c r="AW11" s="16">
        <v>576.81126900000004</v>
      </c>
      <c r="AX11" s="16">
        <v>0</v>
      </c>
      <c r="AZ11" s="1" t="str">
        <f t="shared" si="2"/>
        <v>CA_Ethanol_Dehydration_H2fuel_ethanol_biochemical</v>
      </c>
      <c r="BA11" s="1" t="str">
        <f t="shared" si="2"/>
        <v>Ethanol</v>
      </c>
      <c r="BB11" s="12">
        <f t="shared" si="3"/>
        <v>1797.3089504233208</v>
      </c>
      <c r="BC11" s="12">
        <f t="shared" si="4"/>
        <v>1797.3089504233208</v>
      </c>
      <c r="BD11" s="5">
        <f t="shared" si="5"/>
        <v>0</v>
      </c>
      <c r="BE11" s="12">
        <f t="shared" si="6"/>
        <v>2180.8141346833208</v>
      </c>
      <c r="BF11" s="12">
        <f t="shared" si="7"/>
        <v>2180.8141346833208</v>
      </c>
      <c r="BG11" s="5">
        <f t="shared" si="8"/>
        <v>0</v>
      </c>
      <c r="BH11" s="5">
        <f t="shared" si="9"/>
        <v>14.047043937244398</v>
      </c>
      <c r="BI11" s="1">
        <f t="shared" si="10"/>
        <v>5.8322610442923279</v>
      </c>
      <c r="BJ11" s="1">
        <f t="shared" si="11"/>
        <v>0</v>
      </c>
      <c r="BK11" s="1">
        <f t="shared" si="12"/>
        <v>-28.427604179837946</v>
      </c>
      <c r="BL11" s="1">
        <f t="shared" si="13"/>
        <v>666.40675175927333</v>
      </c>
      <c r="BM11" s="1">
        <f t="shared" si="14"/>
        <v>0</v>
      </c>
      <c r="BN11" s="1">
        <f t="shared" si="15"/>
        <v>0</v>
      </c>
      <c r="BO11" s="1">
        <f t="shared" si="16"/>
        <v>11.843235666463674</v>
      </c>
      <c r="BP11" s="1">
        <f t="shared" si="17"/>
        <v>762.17258887177934</v>
      </c>
      <c r="BQ11" s="1">
        <f t="shared" si="18"/>
        <v>11.38621511864168</v>
      </c>
      <c r="BR11" s="1">
        <f t="shared" si="19"/>
        <v>226.36070562673976</v>
      </c>
      <c r="BS11" s="1">
        <f t="shared" si="20"/>
        <v>1.5799999994038241</v>
      </c>
      <c r="BT11" s="1">
        <f t="shared" si="21"/>
        <v>509.61293683932075</v>
      </c>
      <c r="BU11" s="1">
        <f t="shared" si="22"/>
        <v>-3.14</v>
      </c>
      <c r="BV11" s="1">
        <f t="shared" si="23"/>
        <v>0</v>
      </c>
      <c r="BW11" s="1">
        <f t="shared" si="24"/>
        <v>-383.50518426000002</v>
      </c>
      <c r="BX11" s="1">
        <f t="shared" si="25"/>
        <v>-3.14</v>
      </c>
      <c r="BY11" s="1">
        <f t="shared" si="26"/>
        <v>0</v>
      </c>
      <c r="BZ11" s="1">
        <f t="shared" si="27"/>
        <v>-383.50518426000002</v>
      </c>
      <c r="CA11" s="1">
        <f t="shared" si="28"/>
        <v>0</v>
      </c>
      <c r="CB11" s="1">
        <f t="shared" si="29"/>
        <v>0</v>
      </c>
      <c r="CC11" s="1">
        <f t="shared" si="30"/>
        <v>0</v>
      </c>
      <c r="CD11" s="1">
        <f t="shared" si="31"/>
        <v>0</v>
      </c>
      <c r="CE11" s="1">
        <f t="shared" si="32"/>
        <v>0</v>
      </c>
      <c r="CF11" s="1">
        <f t="shared" si="33"/>
        <v>0</v>
      </c>
      <c r="CH11" s="1" t="str">
        <f t="shared" si="34"/>
        <v>SE_Biochemical_Non_CCS</v>
      </c>
      <c r="CI11" s="1">
        <f t="shared" si="35"/>
        <v>-28.427604179837946</v>
      </c>
      <c r="CJ11" s="1">
        <f t="shared" si="36"/>
        <v>0</v>
      </c>
      <c r="CK11" s="1">
        <f t="array" ref="CK11">_xlfn.IFS(R11="Biomass_Corn", 1/U11/H11*AI11, R11="Biomass_Agri", 1/U11/H11*AH11, R11="Biomass_Wood", 1/U11/H11*AG11, R11="Biomass_Herb", 1/U11/H11*AF11)</f>
        <v>666.40675175927333</v>
      </c>
      <c r="CL11" s="1">
        <f t="shared" si="37"/>
        <v>0</v>
      </c>
      <c r="CO11" s="1">
        <f t="shared" si="38"/>
        <v>762.17258887177934</v>
      </c>
      <c r="CP11" s="1">
        <f t="shared" si="39"/>
        <v>226.36070562673976</v>
      </c>
      <c r="CQ11" s="1">
        <f t="shared" si="40"/>
        <v>509.61293683932075</v>
      </c>
      <c r="CS11" s="9">
        <v>3.14</v>
      </c>
      <c r="CT11" s="19">
        <f t="shared" si="41"/>
        <v>1.32</v>
      </c>
      <c r="CU11" s="10">
        <v>0.181048235160161</v>
      </c>
      <c r="CV11" s="9">
        <f t="shared" si="42"/>
        <v>0.23044699999999999</v>
      </c>
      <c r="CX11" s="10">
        <f t="shared" si="43"/>
        <v>12.081341175070103</v>
      </c>
      <c r="CY11" s="10">
        <f t="shared" si="44"/>
        <v>0</v>
      </c>
      <c r="CZ11" s="10">
        <f t="shared" si="45"/>
        <v>3.2711169576457824</v>
      </c>
      <c r="DA11" s="10">
        <f t="shared" si="46"/>
        <v>0</v>
      </c>
      <c r="DB11" s="10">
        <f t="shared" si="47"/>
        <v>12.081341175070103</v>
      </c>
      <c r="DD11" s="19">
        <f t="shared" si="48"/>
        <v>8.8102242174243202</v>
      </c>
      <c r="DE11" s="19">
        <f t="shared" si="49"/>
        <v>0</v>
      </c>
      <c r="DF11" s="10">
        <f t="shared" si="50"/>
        <v>3.14</v>
      </c>
      <c r="DG11" s="10">
        <f t="shared" si="51"/>
        <v>0.13111695764578224</v>
      </c>
      <c r="DH11" s="10">
        <f t="shared" si="52"/>
        <v>12.081341175070103</v>
      </c>
      <c r="DJ11" s="1">
        <f t="shared" si="53"/>
        <v>0</v>
      </c>
    </row>
    <row r="12" spans="2:128" x14ac:dyDescent="0.2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19"/>
      <c r="M12" s="29"/>
      <c r="N12" s="29"/>
      <c r="O12" s="2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D12" s="16"/>
      <c r="AE12" s="16"/>
      <c r="AF12" s="16"/>
      <c r="AG12" s="16"/>
      <c r="AH12" s="16"/>
      <c r="AI12" s="11"/>
      <c r="AJ12" s="17"/>
      <c r="AK12" s="17"/>
      <c r="AL12" s="16"/>
      <c r="AM12" s="16"/>
      <c r="AN12" s="16"/>
      <c r="AO12" s="17"/>
      <c r="AP12" s="17"/>
      <c r="AQ12" s="17"/>
      <c r="AR12" s="17"/>
      <c r="AS12" s="17"/>
      <c r="AT12" s="17"/>
      <c r="AU12" s="16"/>
      <c r="AV12" s="16"/>
      <c r="AW12" s="16"/>
      <c r="AX12" s="16"/>
      <c r="BB12" s="12"/>
      <c r="BC12" s="12"/>
      <c r="BD12" s="5"/>
      <c r="BE12" s="12"/>
      <c r="BF12" s="12"/>
      <c r="BG12" s="5"/>
      <c r="BH12" s="5"/>
      <c r="CS12" s="9"/>
      <c r="CT12" s="10"/>
      <c r="CU12" s="9"/>
      <c r="CV12" s="9"/>
      <c r="CX12" s="10"/>
      <c r="CY12" s="10"/>
      <c r="CZ12" s="10"/>
      <c r="DA12" s="10"/>
      <c r="DB12" s="10"/>
      <c r="DD12" s="19"/>
      <c r="DE12" s="19"/>
      <c r="DF12" s="10"/>
      <c r="DG12" s="10"/>
      <c r="DH12" s="10"/>
    </row>
    <row r="13" spans="2:128" x14ac:dyDescent="0.2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19"/>
      <c r="M13" s="29"/>
      <c r="N13" s="29"/>
      <c r="O13" s="2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D13" s="16"/>
      <c r="AE13" s="16"/>
      <c r="AF13" s="16"/>
      <c r="AG13" s="16"/>
      <c r="AH13" s="16"/>
      <c r="AI13" s="11"/>
      <c r="AJ13" s="17"/>
      <c r="AK13" s="17"/>
      <c r="AL13" s="16"/>
      <c r="AM13" s="16"/>
      <c r="AN13" s="16"/>
      <c r="AO13" s="17"/>
      <c r="AP13" s="17"/>
      <c r="AQ13" s="17"/>
      <c r="AR13" s="17"/>
      <c r="AS13" s="17"/>
      <c r="AT13" s="17"/>
      <c r="AU13" s="16"/>
      <c r="AV13" s="16"/>
      <c r="AW13" s="16"/>
      <c r="AX13" s="16"/>
      <c r="BB13" s="12"/>
      <c r="BC13" s="12"/>
      <c r="BD13" s="5"/>
      <c r="BE13" s="12"/>
      <c r="BF13" s="12"/>
      <c r="BG13" s="5"/>
      <c r="BH13" s="5"/>
      <c r="CS13" s="9"/>
      <c r="CT13" s="10"/>
      <c r="CU13" s="9"/>
      <c r="CV13" s="9"/>
      <c r="CX13" s="10"/>
      <c r="CY13" s="10"/>
      <c r="CZ13" s="10"/>
      <c r="DA13" s="10"/>
      <c r="DB13" s="10"/>
      <c r="DD13" s="19"/>
      <c r="DE13" s="19"/>
      <c r="DF13" s="10"/>
      <c r="DG13" s="10"/>
      <c r="DH13" s="10"/>
    </row>
    <row r="14" spans="2:128" x14ac:dyDescent="0.2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19"/>
      <c r="M14" s="29"/>
      <c r="N14" s="29"/>
      <c r="O14" s="2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D14" s="16"/>
      <c r="AE14" s="16"/>
      <c r="AF14" s="16"/>
      <c r="AG14" s="16"/>
      <c r="AH14" s="16"/>
      <c r="AI14" s="11"/>
      <c r="AJ14" s="17"/>
      <c r="AK14" s="17"/>
      <c r="AL14" s="16"/>
      <c r="AM14" s="16"/>
      <c r="AN14" s="16"/>
      <c r="AO14" s="17"/>
      <c r="AP14" s="17"/>
      <c r="AQ14" s="17"/>
      <c r="AR14" s="17"/>
      <c r="AS14" s="17"/>
      <c r="AT14" s="17"/>
      <c r="AU14" s="16"/>
      <c r="AV14" s="16"/>
      <c r="AW14" s="16"/>
      <c r="AX14" s="16"/>
      <c r="BB14" s="12"/>
      <c r="BC14" s="12"/>
      <c r="BD14" s="5"/>
      <c r="BE14" s="12"/>
      <c r="BF14" s="12"/>
      <c r="BG14" s="5"/>
      <c r="BH14" s="5"/>
      <c r="CS14" s="9"/>
      <c r="CT14" s="10"/>
      <c r="CU14" s="9"/>
      <c r="CV14" s="9"/>
      <c r="CX14" s="10"/>
      <c r="CY14" s="10"/>
      <c r="CZ14" s="10"/>
      <c r="DA14" s="10"/>
      <c r="DB14" s="10"/>
      <c r="DD14" s="19"/>
      <c r="DE14" s="19"/>
      <c r="DF14" s="10"/>
      <c r="DG14" s="10"/>
      <c r="DH14" s="10"/>
    </row>
    <row r="15" spans="2:128" x14ac:dyDescent="0.2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19"/>
      <c r="M15" s="29"/>
      <c r="N15" s="29"/>
      <c r="O15" s="2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D15" s="16"/>
      <c r="AE15" s="16"/>
      <c r="AF15" s="16"/>
      <c r="AG15" s="16"/>
      <c r="AH15" s="16"/>
      <c r="AI15" s="11"/>
      <c r="AJ15" s="17"/>
      <c r="AK15" s="17"/>
      <c r="AL15" s="16"/>
      <c r="AM15" s="16"/>
      <c r="AN15" s="16"/>
      <c r="AO15" s="17"/>
      <c r="AP15" s="17"/>
      <c r="AQ15" s="17"/>
      <c r="AR15" s="17"/>
      <c r="AS15" s="17"/>
      <c r="AT15" s="17"/>
      <c r="AU15" s="16"/>
      <c r="AV15" s="16"/>
      <c r="AW15" s="16"/>
      <c r="AX15" s="16"/>
      <c r="BB15" s="12"/>
      <c r="BC15" s="12"/>
      <c r="BD15" s="5"/>
      <c r="BE15" s="12"/>
      <c r="BF15" s="12"/>
      <c r="BG15" s="5"/>
      <c r="BH15" s="5"/>
      <c r="CS15" s="9"/>
      <c r="CT15" s="10"/>
      <c r="CU15" s="9"/>
      <c r="CV15" s="9"/>
      <c r="CX15" s="10"/>
      <c r="CY15" s="10"/>
      <c r="CZ15" s="10"/>
      <c r="DA15" s="10"/>
      <c r="DB15" s="10"/>
      <c r="DD15" s="19"/>
      <c r="DE15" s="19"/>
      <c r="DF15" s="10"/>
      <c r="DG15" s="10"/>
      <c r="DH15" s="10"/>
    </row>
    <row r="16" spans="2:128" x14ac:dyDescent="0.2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19"/>
      <c r="M16" s="29"/>
      <c r="N16" s="29"/>
      <c r="O16" s="2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D16" s="16"/>
      <c r="AE16" s="16"/>
      <c r="AF16" s="16"/>
      <c r="AG16" s="16"/>
      <c r="AH16" s="16"/>
      <c r="AI16" s="11"/>
      <c r="AJ16" s="17"/>
      <c r="AK16" s="17"/>
      <c r="AL16" s="16"/>
      <c r="AM16" s="16"/>
      <c r="AN16" s="16"/>
      <c r="AO16" s="17"/>
      <c r="AP16" s="17"/>
      <c r="AQ16" s="17"/>
      <c r="AR16" s="17"/>
      <c r="AS16" s="17"/>
      <c r="AT16" s="17"/>
      <c r="AU16" s="16"/>
      <c r="AV16" s="16"/>
      <c r="AW16" s="16"/>
      <c r="AX16" s="16"/>
      <c r="BB16" s="12"/>
      <c r="BC16" s="12"/>
      <c r="BD16" s="5"/>
      <c r="BE16" s="12"/>
      <c r="BF16" s="12"/>
      <c r="BG16" s="5"/>
      <c r="BH16" s="5"/>
      <c r="CS16" s="9"/>
      <c r="CT16" s="10"/>
      <c r="CU16" s="9"/>
      <c r="CV16" s="9"/>
      <c r="CX16" s="10"/>
      <c r="CY16" s="10"/>
      <c r="CZ16" s="10"/>
      <c r="DA16" s="10"/>
      <c r="DB16" s="10"/>
      <c r="DD16" s="19"/>
      <c r="DE16" s="19"/>
      <c r="DF16" s="10"/>
      <c r="DG16" s="10"/>
      <c r="DH16" s="10"/>
    </row>
    <row r="17" spans="2:112" x14ac:dyDescent="0.2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19"/>
      <c r="M17" s="29"/>
      <c r="N17" s="29"/>
      <c r="O17" s="2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D17" s="16"/>
      <c r="AE17" s="16"/>
      <c r="AF17" s="16"/>
      <c r="AG17" s="16"/>
      <c r="AH17" s="16"/>
      <c r="AI17" s="11"/>
      <c r="AJ17" s="17"/>
      <c r="AK17" s="17"/>
      <c r="AL17" s="16"/>
      <c r="AM17" s="16"/>
      <c r="AN17" s="16"/>
      <c r="AO17" s="17"/>
      <c r="AP17" s="17"/>
      <c r="AQ17" s="17"/>
      <c r="AR17" s="17"/>
      <c r="AS17" s="17"/>
      <c r="AT17" s="17"/>
      <c r="AU17" s="16"/>
      <c r="AV17" s="16"/>
      <c r="AW17" s="16"/>
      <c r="AX17" s="16"/>
      <c r="BB17" s="12"/>
      <c r="BC17" s="12"/>
      <c r="BD17" s="5"/>
      <c r="BE17" s="12"/>
      <c r="BF17" s="12"/>
      <c r="BG17" s="5"/>
      <c r="BH17" s="5"/>
      <c r="CS17" s="9"/>
      <c r="CT17" s="10"/>
      <c r="CU17" s="9"/>
      <c r="CV17" s="9"/>
      <c r="CX17" s="10"/>
      <c r="CY17" s="10"/>
      <c r="CZ17" s="10"/>
      <c r="DA17" s="10"/>
      <c r="DB17" s="10"/>
      <c r="DD17" s="19"/>
      <c r="DE17" s="19"/>
      <c r="DF17" s="10"/>
      <c r="DG17" s="10"/>
      <c r="DH17" s="10"/>
    </row>
    <row r="18" spans="2:112" x14ac:dyDescent="0.2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19"/>
      <c r="M18" s="29"/>
      <c r="N18" s="29"/>
      <c r="O18" s="2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D18" s="16"/>
      <c r="AE18" s="16"/>
      <c r="AF18" s="16"/>
      <c r="AG18" s="16"/>
      <c r="AH18" s="16"/>
      <c r="AI18" s="11"/>
      <c r="AJ18" s="17"/>
      <c r="AK18" s="17"/>
      <c r="AL18" s="16"/>
      <c r="AM18" s="16"/>
      <c r="AN18" s="16"/>
      <c r="AO18" s="17"/>
      <c r="AP18" s="17"/>
      <c r="AQ18" s="17"/>
      <c r="AR18" s="17"/>
      <c r="AS18" s="17"/>
      <c r="AT18" s="17"/>
      <c r="AU18" s="16"/>
      <c r="AV18" s="16"/>
      <c r="AW18" s="16"/>
      <c r="AX18" s="16"/>
      <c r="BB18" s="12"/>
      <c r="BC18" s="12"/>
      <c r="BD18" s="5"/>
      <c r="BE18" s="12"/>
      <c r="BF18" s="12"/>
      <c r="BG18" s="5"/>
      <c r="BH18" s="5"/>
      <c r="CS18" s="9"/>
      <c r="CT18" s="10"/>
      <c r="CU18" s="9"/>
      <c r="CV18" s="9"/>
      <c r="CX18" s="10"/>
      <c r="CY18" s="10"/>
      <c r="CZ18" s="10"/>
      <c r="DA18" s="10"/>
      <c r="DB18" s="10"/>
      <c r="DD18" s="19"/>
      <c r="DE18" s="19"/>
      <c r="DF18" s="10"/>
      <c r="DG18" s="10"/>
      <c r="DH18" s="10"/>
    </row>
    <row r="19" spans="2:112" x14ac:dyDescent="0.2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19"/>
      <c r="M19" s="29"/>
      <c r="N19" s="29"/>
      <c r="O19" s="2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D19" s="16"/>
      <c r="AE19" s="16"/>
      <c r="AF19" s="16"/>
      <c r="AG19" s="16"/>
      <c r="AH19" s="16"/>
      <c r="AI19" s="11"/>
      <c r="AJ19" s="17"/>
      <c r="AK19" s="17"/>
      <c r="AL19" s="16"/>
      <c r="AM19" s="16"/>
      <c r="AN19" s="16"/>
      <c r="AO19" s="17"/>
      <c r="AP19" s="17"/>
      <c r="AQ19" s="17"/>
      <c r="AR19" s="17"/>
      <c r="AS19" s="17"/>
      <c r="AT19" s="17"/>
      <c r="AU19" s="16"/>
      <c r="AV19" s="16"/>
      <c r="AW19" s="16"/>
      <c r="AX19" s="16"/>
      <c r="BB19" s="12"/>
      <c r="BC19" s="12"/>
      <c r="BD19" s="5"/>
      <c r="BE19" s="12"/>
      <c r="BF19" s="12"/>
      <c r="BG19" s="5"/>
      <c r="BH19" s="5"/>
      <c r="CS19" s="9"/>
      <c r="CT19" s="10"/>
      <c r="CU19" s="9"/>
      <c r="CV19" s="9"/>
      <c r="CX19" s="10"/>
      <c r="CY19" s="10"/>
      <c r="CZ19" s="10"/>
      <c r="DA19" s="10"/>
      <c r="DB19" s="10"/>
      <c r="DD19" s="19"/>
      <c r="DE19" s="19"/>
      <c r="DF19" s="10"/>
      <c r="DG19" s="10"/>
      <c r="DH19" s="10"/>
    </row>
    <row r="20" spans="2:112" x14ac:dyDescent="0.2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9"/>
      <c r="M20" s="29"/>
      <c r="N20" s="29"/>
      <c r="O20" s="2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D20" s="16"/>
      <c r="AE20" s="16"/>
      <c r="AF20" s="16"/>
      <c r="AG20" s="16"/>
      <c r="AH20" s="16"/>
      <c r="AI20" s="11"/>
      <c r="AJ20" s="17"/>
      <c r="AK20" s="17"/>
      <c r="AL20" s="16"/>
      <c r="AM20" s="16"/>
      <c r="AN20" s="16"/>
      <c r="AO20" s="17"/>
      <c r="AP20" s="17"/>
      <c r="AQ20" s="17"/>
      <c r="AR20" s="17"/>
      <c r="AS20" s="17"/>
      <c r="AT20" s="17"/>
      <c r="AU20" s="16"/>
      <c r="AV20" s="16"/>
      <c r="AW20" s="16"/>
      <c r="AX20" s="16"/>
      <c r="BB20" s="12"/>
      <c r="BC20" s="12"/>
      <c r="BD20" s="5"/>
      <c r="BE20" s="12"/>
      <c r="BF20" s="12"/>
      <c r="BG20" s="5"/>
      <c r="BH20" s="5"/>
      <c r="CS20" s="9"/>
      <c r="CT20" s="10"/>
      <c r="CU20" s="9"/>
      <c r="CV20" s="9"/>
      <c r="CX20" s="10"/>
      <c r="CY20" s="10"/>
      <c r="CZ20" s="10"/>
      <c r="DA20" s="10"/>
      <c r="DB20" s="10"/>
      <c r="DD20" s="19"/>
      <c r="DE20" s="19"/>
      <c r="DF20" s="10"/>
      <c r="DG20" s="10"/>
      <c r="DH20" s="10"/>
    </row>
    <row r="21" spans="2:112" x14ac:dyDescent="0.2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19"/>
      <c r="M21" s="29"/>
      <c r="N21" s="29"/>
      <c r="O21" s="2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D21" s="16"/>
      <c r="AE21" s="16"/>
      <c r="AF21" s="16"/>
      <c r="AG21" s="16"/>
      <c r="AH21" s="16"/>
      <c r="AI21" s="11"/>
      <c r="AJ21" s="17"/>
      <c r="AK21" s="17"/>
      <c r="AL21" s="16"/>
      <c r="AM21" s="16"/>
      <c r="AN21" s="16"/>
      <c r="AO21" s="17"/>
      <c r="AP21" s="17"/>
      <c r="AQ21" s="17"/>
      <c r="AR21" s="17"/>
      <c r="AS21" s="17"/>
      <c r="AT21" s="17"/>
      <c r="AU21" s="16"/>
      <c r="AV21" s="16"/>
      <c r="AW21" s="16"/>
      <c r="AX21" s="16"/>
      <c r="BB21" s="12"/>
      <c r="BC21" s="12"/>
      <c r="BD21" s="5"/>
      <c r="BE21" s="12"/>
      <c r="BF21" s="12"/>
      <c r="BG21" s="5"/>
      <c r="BH21" s="5"/>
      <c r="CS21" s="9"/>
      <c r="CT21" s="10"/>
      <c r="CU21" s="9"/>
      <c r="CV21" s="9"/>
      <c r="CX21" s="10"/>
      <c r="CY21" s="10"/>
      <c r="CZ21" s="10"/>
      <c r="DA21" s="10"/>
      <c r="DB21" s="10"/>
      <c r="DD21" s="19"/>
      <c r="DE21" s="19"/>
      <c r="DF21" s="10"/>
      <c r="DG21" s="10"/>
      <c r="DH21" s="10"/>
    </row>
    <row r="22" spans="2:112" x14ac:dyDescent="0.2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19"/>
      <c r="M22" s="29"/>
      <c r="N22" s="29"/>
      <c r="O22" s="2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D22" s="16"/>
      <c r="AE22" s="16"/>
      <c r="AF22" s="16"/>
      <c r="AG22" s="16"/>
      <c r="AH22" s="16"/>
      <c r="AI22" s="11"/>
      <c r="AJ22" s="17"/>
      <c r="AK22" s="17"/>
      <c r="AL22" s="16"/>
      <c r="AM22" s="16"/>
      <c r="AN22" s="16"/>
      <c r="AO22" s="17"/>
      <c r="AP22" s="17"/>
      <c r="AQ22" s="17"/>
      <c r="AR22" s="17"/>
      <c r="AS22" s="17"/>
      <c r="AT22" s="17"/>
      <c r="AU22" s="16"/>
      <c r="AV22" s="16"/>
      <c r="AW22" s="16"/>
      <c r="AX22" s="16"/>
      <c r="BB22" s="12"/>
      <c r="BC22" s="12"/>
      <c r="BD22" s="5"/>
      <c r="BE22" s="12"/>
      <c r="BF22" s="12"/>
      <c r="BG22" s="5"/>
      <c r="BH22" s="5"/>
      <c r="CS22" s="9"/>
      <c r="CT22" s="10"/>
      <c r="CU22" s="9"/>
      <c r="CV22" s="9"/>
      <c r="CX22" s="10"/>
      <c r="CY22" s="10"/>
      <c r="CZ22" s="10"/>
      <c r="DA22" s="10"/>
      <c r="DB22" s="10"/>
      <c r="DD22" s="19"/>
      <c r="DE22" s="19"/>
      <c r="DF22" s="10"/>
      <c r="DG22" s="10"/>
      <c r="DH22" s="10"/>
    </row>
    <row r="23" spans="2:112" x14ac:dyDescent="0.2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19"/>
      <c r="M23" s="29"/>
      <c r="N23" s="29"/>
      <c r="O23" s="2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D23" s="16"/>
      <c r="AE23" s="16"/>
      <c r="AF23" s="16"/>
      <c r="AG23" s="16"/>
      <c r="AH23" s="16"/>
      <c r="AI23" s="11"/>
      <c r="AJ23" s="17"/>
      <c r="AK23" s="17"/>
      <c r="AL23" s="16"/>
      <c r="AM23" s="16"/>
      <c r="AN23" s="16"/>
      <c r="AO23" s="17"/>
      <c r="AP23" s="17"/>
      <c r="AQ23" s="17"/>
      <c r="AR23" s="17"/>
      <c r="AS23" s="17"/>
      <c r="AT23" s="17"/>
      <c r="AU23" s="16"/>
      <c r="AV23" s="16"/>
      <c r="AW23" s="16"/>
      <c r="AX23" s="16"/>
      <c r="BB23" s="12"/>
      <c r="BC23" s="12"/>
      <c r="BD23" s="5"/>
      <c r="BE23" s="12"/>
      <c r="BF23" s="12"/>
      <c r="BG23" s="5"/>
      <c r="BH23" s="5"/>
      <c r="CS23" s="9"/>
      <c r="CT23" s="10"/>
      <c r="CU23" s="9"/>
      <c r="CV23" s="9"/>
      <c r="CX23" s="10"/>
      <c r="CY23" s="10"/>
      <c r="CZ23" s="10"/>
      <c r="DA23" s="10"/>
      <c r="DB23" s="10"/>
      <c r="DD23" s="19"/>
      <c r="DE23" s="19"/>
      <c r="DF23" s="10"/>
      <c r="DG23" s="10"/>
      <c r="DH23" s="10"/>
    </row>
    <row r="24" spans="2:112" x14ac:dyDescent="0.2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19"/>
      <c r="M24" s="29"/>
      <c r="N24" s="29"/>
      <c r="O24" s="2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D24" s="16"/>
      <c r="AE24" s="16"/>
      <c r="AF24" s="16"/>
      <c r="AG24" s="16"/>
      <c r="AH24" s="16"/>
      <c r="AI24" s="11"/>
      <c r="AJ24" s="17"/>
      <c r="AK24" s="17"/>
      <c r="AL24" s="16"/>
      <c r="AM24" s="16"/>
      <c r="AN24" s="16"/>
      <c r="AO24" s="17"/>
      <c r="AP24" s="17"/>
      <c r="AQ24" s="17"/>
      <c r="AR24" s="17"/>
      <c r="AS24" s="17"/>
      <c r="AT24" s="17"/>
      <c r="AU24" s="16"/>
      <c r="AV24" s="16"/>
      <c r="AW24" s="16"/>
      <c r="AX24" s="16"/>
      <c r="BB24" s="12"/>
      <c r="BC24" s="12"/>
      <c r="BD24" s="5"/>
      <c r="BE24" s="12"/>
      <c r="BF24" s="12"/>
      <c r="BG24" s="5"/>
      <c r="BH24" s="5"/>
      <c r="CS24" s="9"/>
      <c r="CT24" s="10"/>
      <c r="CU24" s="9"/>
      <c r="CV24" s="9"/>
      <c r="CX24" s="10"/>
      <c r="CY24" s="10"/>
      <c r="CZ24" s="10"/>
      <c r="DA24" s="10"/>
      <c r="DB24" s="10"/>
      <c r="DD24" s="19"/>
      <c r="DE24" s="19"/>
      <c r="DF24" s="10"/>
      <c r="DG24" s="10"/>
      <c r="DH24" s="10"/>
    </row>
    <row r="25" spans="2:112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19"/>
      <c r="M25" s="29"/>
      <c r="N25" s="29"/>
      <c r="O25" s="2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D25" s="16"/>
      <c r="AE25" s="16"/>
      <c r="AF25" s="16"/>
      <c r="AG25" s="16"/>
      <c r="AH25" s="16"/>
      <c r="AI25" s="11"/>
      <c r="AJ25" s="17"/>
      <c r="AK25" s="17"/>
      <c r="AL25" s="16"/>
      <c r="AM25" s="16"/>
      <c r="AN25" s="16"/>
      <c r="AO25" s="17"/>
      <c r="AP25" s="17"/>
      <c r="AQ25" s="17"/>
      <c r="AR25" s="17"/>
      <c r="AS25" s="17"/>
      <c r="AT25" s="17"/>
      <c r="AU25" s="16"/>
      <c r="AV25" s="16"/>
      <c r="AW25" s="16"/>
      <c r="AX25" s="16"/>
      <c r="BB25" s="12"/>
      <c r="BC25" s="12"/>
      <c r="BD25" s="5"/>
      <c r="BE25" s="12"/>
      <c r="BF25" s="12"/>
      <c r="BG25" s="5"/>
      <c r="BH25" s="5"/>
      <c r="CS25" s="9"/>
      <c r="CT25" s="10"/>
      <c r="CU25" s="9"/>
      <c r="CV25" s="9"/>
      <c r="CX25" s="10"/>
      <c r="CY25" s="10"/>
      <c r="CZ25" s="10"/>
      <c r="DA25" s="10"/>
      <c r="DB25" s="10"/>
      <c r="DD25" s="19"/>
      <c r="DE25" s="19"/>
      <c r="DF25" s="10"/>
      <c r="DG25" s="10"/>
      <c r="DH25" s="10"/>
    </row>
    <row r="26" spans="2:112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19"/>
      <c r="M26" s="29"/>
      <c r="N26" s="29"/>
      <c r="O26" s="2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D26" s="16"/>
      <c r="AE26" s="16"/>
      <c r="AF26" s="16"/>
      <c r="AG26" s="16"/>
      <c r="AH26" s="16"/>
      <c r="AI26" s="11"/>
      <c r="AJ26" s="17"/>
      <c r="AK26" s="17"/>
      <c r="AL26" s="16"/>
      <c r="AM26" s="16"/>
      <c r="AN26" s="16"/>
      <c r="AO26" s="17"/>
      <c r="AP26" s="17"/>
      <c r="AQ26" s="17"/>
      <c r="AR26" s="17"/>
      <c r="AS26" s="17"/>
      <c r="AT26" s="17"/>
      <c r="AU26" s="16"/>
      <c r="AV26" s="16"/>
      <c r="AW26" s="16"/>
      <c r="AX26" s="16"/>
      <c r="BB26" s="12"/>
      <c r="BC26" s="12"/>
      <c r="BD26" s="5"/>
      <c r="BE26" s="12"/>
      <c r="BF26" s="12"/>
      <c r="BG26" s="5"/>
      <c r="BH26" s="5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S26" s="9"/>
      <c r="CT26" s="10"/>
      <c r="CU26" s="9"/>
      <c r="CV26" s="9"/>
      <c r="CX26" s="10"/>
      <c r="CY26" s="10"/>
      <c r="CZ26" s="10"/>
      <c r="DA26" s="10"/>
      <c r="DB26" s="10"/>
      <c r="DD26" s="19"/>
      <c r="DE26" s="19"/>
      <c r="DF26" s="10"/>
      <c r="DG26" s="10"/>
      <c r="DH26" s="10"/>
    </row>
    <row r="27" spans="2:112" x14ac:dyDescent="0.2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19"/>
      <c r="M27" s="29"/>
      <c r="N27" s="29"/>
      <c r="O27" s="2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D27" s="16"/>
      <c r="AE27" s="16"/>
      <c r="AF27" s="16"/>
      <c r="AG27" s="16"/>
      <c r="AH27" s="16"/>
      <c r="AI27" s="11"/>
      <c r="AJ27" s="17"/>
      <c r="AK27" s="17"/>
      <c r="AL27" s="16"/>
      <c r="AM27" s="16"/>
      <c r="AN27" s="16"/>
      <c r="AO27" s="17"/>
      <c r="AP27" s="17"/>
      <c r="AQ27" s="17"/>
      <c r="AR27" s="17"/>
      <c r="AS27" s="17"/>
      <c r="AT27" s="17"/>
      <c r="AU27" s="16"/>
      <c r="AV27" s="16"/>
      <c r="AW27" s="16"/>
      <c r="AX27" s="16"/>
      <c r="BB27" s="12"/>
      <c r="BC27" s="12"/>
      <c r="BD27" s="5"/>
      <c r="BE27" s="12"/>
      <c r="BF27" s="12"/>
      <c r="BG27" s="5"/>
      <c r="BH27" s="5"/>
      <c r="CS27" s="9"/>
      <c r="CT27" s="10"/>
      <c r="CU27" s="9"/>
      <c r="CV27" s="9"/>
      <c r="CX27" s="10"/>
      <c r="CY27" s="10"/>
      <c r="CZ27" s="10"/>
      <c r="DA27" s="10"/>
      <c r="DB27" s="10"/>
      <c r="DD27" s="19"/>
      <c r="DE27" s="19"/>
      <c r="DF27" s="10"/>
      <c r="DG27" s="10"/>
      <c r="DH27" s="10"/>
    </row>
    <row r="28" spans="2:112" x14ac:dyDescent="0.2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19"/>
      <c r="M28" s="29"/>
      <c r="N28" s="29"/>
      <c r="O28" s="2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D28" s="16"/>
      <c r="AE28" s="16"/>
      <c r="AF28" s="16"/>
      <c r="AG28" s="16"/>
      <c r="AH28" s="16"/>
      <c r="AI28" s="11"/>
      <c r="AJ28" s="17"/>
      <c r="AK28" s="17"/>
      <c r="AL28" s="16"/>
      <c r="AM28" s="16"/>
      <c r="AN28" s="16"/>
      <c r="AO28" s="17"/>
      <c r="AP28" s="17"/>
      <c r="AQ28" s="17"/>
      <c r="AR28" s="17"/>
      <c r="AS28" s="17"/>
      <c r="AT28" s="17"/>
      <c r="AU28" s="16"/>
      <c r="AV28" s="16"/>
      <c r="AW28" s="16"/>
      <c r="AX28" s="16"/>
      <c r="BB28" s="12"/>
      <c r="BC28" s="12"/>
      <c r="BD28" s="5"/>
      <c r="BE28" s="12"/>
      <c r="BF28" s="12"/>
      <c r="BG28" s="5"/>
      <c r="BH28" s="5"/>
      <c r="CS28" s="9"/>
      <c r="CT28" s="10"/>
      <c r="CU28" s="9"/>
      <c r="CV28" s="9"/>
      <c r="CX28" s="10"/>
      <c r="CY28" s="10"/>
      <c r="CZ28" s="10"/>
      <c r="DA28" s="10"/>
      <c r="DB28" s="10"/>
      <c r="DD28" s="19"/>
      <c r="DE28" s="19"/>
      <c r="DF28" s="10"/>
      <c r="DG28" s="10"/>
      <c r="DH28" s="10"/>
    </row>
    <row r="29" spans="2:112" x14ac:dyDescent="0.2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19"/>
      <c r="M29" s="29"/>
      <c r="N29" s="29"/>
      <c r="O29" s="2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D29" s="16"/>
      <c r="AE29" s="16"/>
      <c r="AF29" s="16"/>
      <c r="AG29" s="16"/>
      <c r="AH29" s="16"/>
      <c r="AI29" s="11"/>
      <c r="AJ29" s="17"/>
      <c r="AK29" s="17"/>
      <c r="AL29" s="16"/>
      <c r="AM29" s="16"/>
      <c r="AN29" s="16"/>
      <c r="AO29" s="17"/>
      <c r="AP29" s="17"/>
      <c r="AQ29" s="17"/>
      <c r="AR29" s="17"/>
      <c r="AS29" s="17"/>
      <c r="AT29" s="17"/>
      <c r="AU29" s="16"/>
      <c r="AV29" s="16"/>
      <c r="AW29" s="16"/>
      <c r="AX29" s="16"/>
      <c r="BB29" s="12"/>
      <c r="BC29" s="12"/>
      <c r="BD29" s="5"/>
      <c r="BE29" s="12"/>
      <c r="BF29" s="12"/>
      <c r="BG29" s="5"/>
      <c r="BH29" s="5"/>
      <c r="CS29" s="9"/>
      <c r="CT29" s="10"/>
      <c r="CU29" s="9"/>
      <c r="CV29" s="9"/>
      <c r="CX29" s="10"/>
      <c r="CY29" s="10"/>
      <c r="CZ29" s="10"/>
      <c r="DA29" s="10"/>
      <c r="DB29" s="10"/>
      <c r="DD29" s="19"/>
      <c r="DE29" s="19"/>
      <c r="DF29" s="10"/>
      <c r="DG29" s="10"/>
      <c r="DH29" s="10"/>
    </row>
    <row r="30" spans="2:112" x14ac:dyDescent="0.2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19"/>
      <c r="M30" s="29"/>
      <c r="N30" s="29"/>
      <c r="O30" s="2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D30" s="16"/>
      <c r="AE30" s="16"/>
      <c r="AF30" s="16"/>
      <c r="AG30" s="16"/>
      <c r="AH30" s="16"/>
      <c r="AI30" s="11"/>
      <c r="AJ30" s="17"/>
      <c r="AK30" s="17"/>
      <c r="AL30" s="16"/>
      <c r="AM30" s="16"/>
      <c r="AN30" s="16"/>
      <c r="AO30" s="17"/>
      <c r="AP30" s="17"/>
      <c r="AQ30" s="17"/>
      <c r="AR30" s="17"/>
      <c r="AS30" s="17"/>
      <c r="AT30" s="17"/>
      <c r="AU30" s="16"/>
      <c r="AV30" s="16"/>
      <c r="AW30" s="16"/>
      <c r="AX30" s="16"/>
      <c r="BB30" s="12"/>
      <c r="BC30" s="12"/>
      <c r="BD30" s="5"/>
      <c r="BE30" s="12"/>
      <c r="BF30" s="12"/>
      <c r="BG30" s="5"/>
      <c r="BH30" s="5"/>
      <c r="CS30" s="9"/>
      <c r="CT30" s="10"/>
      <c r="CU30" s="9"/>
      <c r="CV30" s="9"/>
      <c r="CX30" s="10"/>
      <c r="CY30" s="10"/>
      <c r="CZ30" s="10"/>
      <c r="DA30" s="10"/>
      <c r="DB30" s="10"/>
      <c r="DD30" s="19"/>
      <c r="DE30" s="19"/>
      <c r="DF30" s="10"/>
      <c r="DG30" s="10"/>
      <c r="DH30" s="10"/>
    </row>
    <row r="31" spans="2:112" x14ac:dyDescent="0.2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19"/>
      <c r="M31" s="29"/>
      <c r="N31" s="29"/>
      <c r="O31" s="2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D31" s="16"/>
      <c r="AE31" s="16"/>
      <c r="AF31" s="16"/>
      <c r="AG31" s="16"/>
      <c r="AH31" s="16"/>
      <c r="AI31" s="11"/>
      <c r="AJ31" s="17"/>
      <c r="AK31" s="17"/>
      <c r="AL31" s="16"/>
      <c r="AM31" s="16"/>
      <c r="AN31" s="16"/>
      <c r="AO31" s="17"/>
      <c r="AP31" s="17"/>
      <c r="AQ31" s="17"/>
      <c r="AR31" s="17"/>
      <c r="AS31" s="17"/>
      <c r="AT31" s="17"/>
      <c r="AU31" s="16"/>
      <c r="AV31" s="16"/>
      <c r="AW31" s="16"/>
      <c r="AX31" s="16"/>
      <c r="BB31" s="12"/>
      <c r="BC31" s="12"/>
      <c r="BD31" s="5"/>
      <c r="BE31" s="12"/>
      <c r="BF31" s="12"/>
      <c r="BG31" s="5"/>
      <c r="BH31" s="5"/>
      <c r="CS31" s="9"/>
      <c r="CT31" s="10"/>
      <c r="CU31" s="9"/>
      <c r="CV31" s="9"/>
      <c r="CX31" s="10"/>
      <c r="CY31" s="10"/>
      <c r="CZ31" s="10"/>
      <c r="DA31" s="10"/>
      <c r="DB31" s="10"/>
      <c r="DD31" s="19"/>
      <c r="DE31" s="19"/>
      <c r="DF31" s="10"/>
      <c r="DG31" s="10"/>
      <c r="DH31" s="10"/>
    </row>
    <row r="32" spans="2:112" x14ac:dyDescent="0.2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19"/>
      <c r="M32" s="29"/>
      <c r="N32" s="29"/>
      <c r="O32" s="2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D32" s="16"/>
      <c r="AE32" s="16"/>
      <c r="AF32" s="16"/>
      <c r="AG32" s="16"/>
      <c r="AH32" s="16"/>
      <c r="AI32" s="11"/>
      <c r="AJ32" s="17"/>
      <c r="AK32" s="17"/>
      <c r="AL32" s="16"/>
      <c r="AM32" s="16"/>
      <c r="AN32" s="16"/>
      <c r="AO32" s="17"/>
      <c r="AP32" s="17"/>
      <c r="AQ32" s="17"/>
      <c r="AR32" s="17"/>
      <c r="AS32" s="17"/>
      <c r="AT32" s="17"/>
      <c r="AU32" s="16"/>
      <c r="AV32" s="16"/>
      <c r="AW32" s="16"/>
      <c r="AX32" s="16"/>
      <c r="BB32" s="12"/>
      <c r="BC32" s="12"/>
      <c r="BD32" s="5"/>
      <c r="BE32" s="12"/>
      <c r="BF32" s="12"/>
      <c r="BG32" s="5"/>
      <c r="BH32" s="5"/>
      <c r="CS32" s="9"/>
      <c r="CT32" s="10"/>
      <c r="CU32" s="9"/>
      <c r="CV32" s="9"/>
      <c r="CX32" s="10"/>
      <c r="CY32" s="10"/>
      <c r="CZ32" s="10"/>
      <c r="DA32" s="10"/>
      <c r="DB32" s="10"/>
      <c r="DD32" s="19"/>
      <c r="DE32" s="19"/>
      <c r="DF32" s="10"/>
      <c r="DG32" s="10"/>
      <c r="DH32" s="10"/>
    </row>
    <row r="33" spans="2:112" x14ac:dyDescent="0.2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19"/>
      <c r="M33" s="29"/>
      <c r="N33" s="29"/>
      <c r="O33" s="2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D33" s="16"/>
      <c r="AE33" s="16"/>
      <c r="AF33" s="16"/>
      <c r="AG33" s="16"/>
      <c r="AH33" s="16"/>
      <c r="AI33" s="11"/>
      <c r="AJ33" s="17"/>
      <c r="AK33" s="17"/>
      <c r="AL33" s="16"/>
      <c r="AM33" s="16"/>
      <c r="AN33" s="16"/>
      <c r="AO33" s="17"/>
      <c r="AP33" s="17"/>
      <c r="AQ33" s="17"/>
      <c r="AR33" s="17"/>
      <c r="AS33" s="17"/>
      <c r="AT33" s="17"/>
      <c r="AU33" s="16"/>
      <c r="AV33" s="16"/>
      <c r="AW33" s="16"/>
      <c r="AX33" s="16"/>
      <c r="BB33" s="12"/>
      <c r="BC33" s="12"/>
      <c r="BD33" s="5"/>
      <c r="BE33" s="12"/>
      <c r="BF33" s="12"/>
      <c r="BG33" s="5"/>
      <c r="BH33" s="5"/>
      <c r="CS33" s="9"/>
      <c r="CT33" s="10"/>
      <c r="CU33" s="9"/>
      <c r="CV33" s="9"/>
      <c r="CX33" s="10"/>
      <c r="CY33" s="10"/>
      <c r="CZ33" s="10"/>
      <c r="DA33" s="10"/>
      <c r="DB33" s="10"/>
      <c r="DD33" s="19"/>
      <c r="DE33" s="19"/>
      <c r="DF33" s="10"/>
      <c r="DG33" s="10"/>
      <c r="DH33" s="10"/>
    </row>
    <row r="34" spans="2:112" x14ac:dyDescent="0.2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19"/>
      <c r="M34" s="29"/>
      <c r="N34" s="29"/>
      <c r="O34" s="2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D34" s="16"/>
      <c r="AE34" s="16"/>
      <c r="AF34" s="16"/>
      <c r="AG34" s="16"/>
      <c r="AH34" s="16"/>
      <c r="AI34" s="11"/>
      <c r="AJ34" s="17"/>
      <c r="AK34" s="17"/>
      <c r="AL34" s="16"/>
      <c r="AM34" s="16"/>
      <c r="AN34" s="16"/>
      <c r="AO34" s="17"/>
      <c r="AP34" s="17"/>
      <c r="AQ34" s="17"/>
      <c r="AR34" s="17"/>
      <c r="AS34" s="17"/>
      <c r="AT34" s="17"/>
      <c r="AU34" s="16"/>
      <c r="AV34" s="16"/>
      <c r="AW34" s="16"/>
      <c r="AX34" s="16"/>
      <c r="BB34" s="12"/>
      <c r="BC34" s="12"/>
      <c r="BD34" s="5"/>
      <c r="BE34" s="12"/>
      <c r="BF34" s="12"/>
      <c r="BG34" s="5"/>
      <c r="BH34" s="5"/>
      <c r="CS34" s="9"/>
      <c r="CT34" s="10"/>
      <c r="CU34" s="9"/>
      <c r="CV34" s="9"/>
      <c r="CX34" s="10"/>
      <c r="CY34" s="10"/>
      <c r="CZ34" s="10"/>
      <c r="DA34" s="10"/>
      <c r="DB34" s="10"/>
      <c r="DD34" s="19"/>
      <c r="DE34" s="19"/>
      <c r="DF34" s="10"/>
      <c r="DG34" s="10"/>
      <c r="DH34" s="10"/>
    </row>
    <row r="35" spans="2:112" x14ac:dyDescent="0.2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19"/>
      <c r="M35" s="29"/>
      <c r="N35" s="29"/>
      <c r="O35" s="2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D35" s="16"/>
      <c r="AE35" s="16"/>
      <c r="AF35" s="16"/>
      <c r="AG35" s="16"/>
      <c r="AH35" s="16"/>
      <c r="AI35" s="11"/>
      <c r="AJ35" s="17"/>
      <c r="AK35" s="17"/>
      <c r="AL35" s="16"/>
      <c r="AM35" s="16"/>
      <c r="AN35" s="16"/>
      <c r="AO35" s="17"/>
      <c r="AP35" s="17"/>
      <c r="AQ35" s="17"/>
      <c r="AR35" s="17"/>
      <c r="AS35" s="17"/>
      <c r="AT35" s="17"/>
      <c r="AU35" s="16"/>
      <c r="AV35" s="16"/>
      <c r="AW35" s="16"/>
      <c r="AX35" s="16"/>
      <c r="BB35" s="12"/>
      <c r="BC35" s="12"/>
      <c r="BD35" s="5"/>
      <c r="BE35" s="12"/>
      <c r="BF35" s="12"/>
      <c r="BG35" s="5"/>
      <c r="BH35" s="5"/>
      <c r="CS35" s="9"/>
      <c r="CT35" s="10"/>
      <c r="CU35" s="9"/>
      <c r="CV35" s="9"/>
      <c r="CX35" s="10"/>
      <c r="CY35" s="10"/>
      <c r="CZ35" s="10"/>
      <c r="DA35" s="10"/>
      <c r="DB35" s="10"/>
      <c r="DD35" s="19"/>
      <c r="DE35" s="19"/>
      <c r="DF35" s="10"/>
      <c r="DG35" s="10"/>
      <c r="DH35" s="10"/>
    </row>
    <row r="36" spans="2:112" x14ac:dyDescent="0.2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19"/>
      <c r="M36" s="29"/>
      <c r="N36" s="29"/>
      <c r="O36" s="2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D36" s="16"/>
      <c r="AE36" s="16"/>
      <c r="AF36" s="16"/>
      <c r="AG36" s="16"/>
      <c r="AH36" s="16"/>
      <c r="AI36" s="11"/>
      <c r="AJ36" s="17"/>
      <c r="AK36" s="17"/>
      <c r="AL36" s="16"/>
      <c r="AM36" s="16"/>
      <c r="AN36" s="16"/>
      <c r="AO36" s="17"/>
      <c r="AP36" s="17"/>
      <c r="AQ36" s="17"/>
      <c r="AR36" s="17"/>
      <c r="AS36" s="17"/>
      <c r="AT36" s="17"/>
      <c r="AU36" s="16"/>
      <c r="AV36" s="16"/>
      <c r="AW36" s="16"/>
      <c r="AX36" s="16"/>
      <c r="BB36" s="12"/>
      <c r="BC36" s="12"/>
      <c r="BD36" s="5"/>
      <c r="BE36" s="12"/>
      <c r="BF36" s="12"/>
      <c r="BG36" s="5"/>
      <c r="BH36" s="5"/>
      <c r="CS36" s="9"/>
      <c r="CT36" s="10"/>
      <c r="CU36" s="9"/>
      <c r="CV36" s="9"/>
      <c r="CX36" s="10"/>
      <c r="CY36" s="10"/>
      <c r="CZ36" s="10"/>
      <c r="DA36" s="10"/>
      <c r="DB36" s="10"/>
      <c r="DD36" s="19"/>
      <c r="DE36" s="19"/>
      <c r="DF36" s="10"/>
      <c r="DG36" s="10"/>
      <c r="DH36" s="10"/>
    </row>
    <row r="37" spans="2:112" x14ac:dyDescent="0.2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19"/>
      <c r="M37" s="29"/>
      <c r="N37" s="29"/>
      <c r="O37" s="2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D37" s="16"/>
      <c r="AE37" s="16"/>
      <c r="AF37" s="16"/>
      <c r="AG37" s="16"/>
      <c r="AH37" s="16"/>
      <c r="AI37" s="11"/>
      <c r="AJ37" s="17"/>
      <c r="AK37" s="17"/>
      <c r="AL37" s="16"/>
      <c r="AM37" s="16"/>
      <c r="AN37" s="16"/>
      <c r="AO37" s="17"/>
      <c r="AP37" s="17"/>
      <c r="AQ37" s="17"/>
      <c r="AR37" s="17"/>
      <c r="AS37" s="17"/>
      <c r="AT37" s="17"/>
      <c r="AU37" s="16"/>
      <c r="AV37" s="16"/>
      <c r="AW37" s="16"/>
      <c r="AX37" s="16"/>
      <c r="BB37" s="12"/>
      <c r="BC37" s="12"/>
      <c r="BD37" s="5"/>
      <c r="BE37" s="12"/>
      <c r="BF37" s="12"/>
      <c r="BG37" s="5"/>
      <c r="BH37" s="5"/>
      <c r="CS37" s="9"/>
      <c r="CT37" s="10"/>
      <c r="CU37" s="9"/>
      <c r="CV37" s="9"/>
      <c r="CX37" s="10"/>
      <c r="CY37" s="10"/>
      <c r="CZ37" s="10"/>
      <c r="DA37" s="10"/>
      <c r="DB37" s="10"/>
      <c r="DD37" s="19"/>
      <c r="DE37" s="19"/>
      <c r="DF37" s="10"/>
      <c r="DG37" s="10"/>
      <c r="DH37" s="10"/>
    </row>
    <row r="38" spans="2:112" x14ac:dyDescent="0.2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19"/>
      <c r="M38" s="29"/>
      <c r="N38" s="29"/>
      <c r="O38" s="2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D38" s="16"/>
      <c r="AE38" s="16"/>
      <c r="AF38" s="16"/>
      <c r="AG38" s="16"/>
      <c r="AH38" s="16"/>
      <c r="AI38" s="11"/>
      <c r="AJ38" s="17"/>
      <c r="AK38" s="17"/>
      <c r="AL38" s="16"/>
      <c r="AM38" s="16"/>
      <c r="AN38" s="16"/>
      <c r="AO38" s="17"/>
      <c r="AP38" s="17"/>
      <c r="AQ38" s="17"/>
      <c r="AR38" s="17"/>
      <c r="AS38" s="17"/>
      <c r="AT38" s="17"/>
      <c r="AU38" s="16"/>
      <c r="AV38" s="16"/>
      <c r="AW38" s="16"/>
      <c r="AX38" s="16"/>
      <c r="BB38" s="12"/>
      <c r="BC38" s="12"/>
      <c r="BD38" s="5"/>
      <c r="BE38" s="12"/>
      <c r="BF38" s="12"/>
      <c r="BG38" s="5"/>
      <c r="BH38" s="5"/>
      <c r="CS38" s="9"/>
      <c r="CT38" s="10"/>
      <c r="CU38" s="9"/>
      <c r="CV38" s="9"/>
      <c r="CX38" s="10"/>
      <c r="CY38" s="10"/>
      <c r="CZ38" s="10"/>
      <c r="DA38" s="10"/>
      <c r="DB38" s="10"/>
      <c r="DD38" s="19"/>
      <c r="DE38" s="19"/>
      <c r="DF38" s="10"/>
      <c r="DG38" s="10"/>
      <c r="DH38" s="10"/>
    </row>
    <row r="39" spans="2:112" x14ac:dyDescent="0.2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19"/>
      <c r="M39" s="29"/>
      <c r="N39" s="29"/>
      <c r="O39" s="2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D39" s="16"/>
      <c r="AE39" s="16"/>
      <c r="AF39" s="16"/>
      <c r="AG39" s="16"/>
      <c r="AH39" s="16"/>
      <c r="AI39" s="11"/>
      <c r="AJ39" s="17"/>
      <c r="AK39" s="17"/>
      <c r="AL39" s="16"/>
      <c r="AM39" s="16"/>
      <c r="AN39" s="16"/>
      <c r="AO39" s="17"/>
      <c r="AP39" s="17"/>
      <c r="AQ39" s="17"/>
      <c r="AR39" s="17"/>
      <c r="AS39" s="17"/>
      <c r="AT39" s="17"/>
      <c r="AU39" s="16"/>
      <c r="AV39" s="16"/>
      <c r="AW39" s="16"/>
      <c r="AX39" s="16"/>
      <c r="BB39" s="12"/>
      <c r="BC39" s="12"/>
      <c r="BD39" s="5"/>
      <c r="BE39" s="12"/>
      <c r="BF39" s="12"/>
      <c r="BG39" s="5"/>
      <c r="BH39" s="5"/>
      <c r="CS39" s="9"/>
      <c r="CT39" s="10"/>
      <c r="CU39" s="9"/>
      <c r="CV39" s="9"/>
      <c r="CX39" s="10"/>
      <c r="CY39" s="10"/>
      <c r="CZ39" s="10"/>
      <c r="DA39" s="10"/>
      <c r="DB39" s="10"/>
      <c r="DD39" s="19"/>
      <c r="DE39" s="19"/>
      <c r="DF39" s="10"/>
      <c r="DG39" s="10"/>
      <c r="DH39" s="10"/>
    </row>
    <row r="40" spans="2:112" x14ac:dyDescent="0.2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19"/>
      <c r="M40" s="29"/>
      <c r="N40" s="29"/>
      <c r="O40" s="2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D40" s="16"/>
      <c r="AE40" s="16"/>
      <c r="AF40" s="16"/>
      <c r="AG40" s="16"/>
      <c r="AH40" s="16"/>
      <c r="AI40" s="11"/>
      <c r="AJ40" s="17"/>
      <c r="AK40" s="17"/>
      <c r="AL40" s="16"/>
      <c r="AM40" s="16"/>
      <c r="AN40" s="16"/>
      <c r="AO40" s="17"/>
      <c r="AP40" s="17"/>
      <c r="AQ40" s="17"/>
      <c r="AR40" s="17"/>
      <c r="AS40" s="17"/>
      <c r="AT40" s="17"/>
      <c r="AU40" s="16"/>
      <c r="AV40" s="16"/>
      <c r="AW40" s="16"/>
      <c r="AX40" s="16"/>
      <c r="BB40" s="12"/>
      <c r="BC40" s="12"/>
      <c r="BD40" s="5"/>
      <c r="BE40" s="12"/>
      <c r="BF40" s="12"/>
      <c r="BG40" s="5"/>
      <c r="BH40" s="5"/>
      <c r="CS40" s="9"/>
      <c r="CT40" s="10"/>
      <c r="CU40" s="9"/>
      <c r="CV40" s="9"/>
      <c r="CX40" s="10"/>
      <c r="CY40" s="10"/>
      <c r="CZ40" s="10"/>
      <c r="DA40" s="10"/>
      <c r="DB40" s="10"/>
      <c r="DD40" s="19"/>
      <c r="DE40" s="19"/>
      <c r="DF40" s="10"/>
      <c r="DG40" s="10"/>
      <c r="DH40" s="10"/>
    </row>
    <row r="41" spans="2:112" x14ac:dyDescent="0.2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19"/>
      <c r="M41" s="29"/>
      <c r="N41" s="29"/>
      <c r="O41" s="2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D41" s="16"/>
      <c r="AE41" s="16"/>
      <c r="AF41" s="16"/>
      <c r="AG41" s="16"/>
      <c r="AH41" s="16"/>
      <c r="AI41" s="11"/>
      <c r="AJ41" s="17"/>
      <c r="AK41" s="17"/>
      <c r="AL41" s="16"/>
      <c r="AM41" s="16"/>
      <c r="AN41" s="16"/>
      <c r="AO41" s="17"/>
      <c r="AP41" s="17"/>
      <c r="AQ41" s="17"/>
      <c r="AR41" s="17"/>
      <c r="AS41" s="17"/>
      <c r="AT41" s="17"/>
      <c r="AU41" s="16"/>
      <c r="AV41" s="16"/>
      <c r="AW41" s="16"/>
      <c r="AX41" s="16"/>
      <c r="BB41" s="12"/>
      <c r="BC41" s="12"/>
      <c r="BD41" s="5"/>
      <c r="BE41" s="12"/>
      <c r="BF41" s="12"/>
      <c r="BG41" s="5"/>
      <c r="BH41" s="5"/>
      <c r="CS41" s="9"/>
      <c r="CT41" s="10"/>
      <c r="CU41" s="9"/>
      <c r="CV41" s="9"/>
      <c r="CX41" s="10"/>
      <c r="CY41" s="10"/>
      <c r="CZ41" s="10"/>
      <c r="DA41" s="10"/>
      <c r="DB41" s="10"/>
      <c r="DD41" s="19"/>
      <c r="DE41" s="19"/>
      <c r="DF41" s="10"/>
      <c r="DG41" s="10"/>
      <c r="DH41" s="10"/>
    </row>
    <row r="42" spans="2:112" x14ac:dyDescent="0.2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19"/>
      <c r="M42" s="29"/>
      <c r="N42" s="29"/>
      <c r="O42" s="2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D42" s="16"/>
      <c r="AE42" s="16"/>
      <c r="AF42" s="16"/>
      <c r="AG42" s="16"/>
      <c r="AH42" s="16"/>
      <c r="AI42" s="11"/>
      <c r="AJ42" s="17"/>
      <c r="AK42" s="17"/>
      <c r="AL42" s="16"/>
      <c r="AM42" s="16"/>
      <c r="AN42" s="16"/>
      <c r="AO42" s="17"/>
      <c r="AP42" s="17"/>
      <c r="AQ42" s="17"/>
      <c r="AR42" s="17"/>
      <c r="AS42" s="17"/>
      <c r="AT42" s="17"/>
      <c r="AU42" s="16"/>
      <c r="AV42" s="16"/>
      <c r="AW42" s="16"/>
      <c r="AX42" s="16"/>
      <c r="BB42" s="12"/>
      <c r="BC42" s="12"/>
      <c r="BD42" s="5"/>
      <c r="BE42" s="12"/>
      <c r="BF42" s="12"/>
      <c r="BG42" s="5"/>
      <c r="BH42" s="5"/>
      <c r="CS42" s="9"/>
      <c r="CT42" s="10"/>
      <c r="CU42" s="9"/>
      <c r="CV42" s="9"/>
      <c r="CX42" s="10"/>
      <c r="CY42" s="10"/>
      <c r="CZ42" s="10"/>
      <c r="DA42" s="10"/>
      <c r="DB42" s="10"/>
      <c r="DD42" s="19"/>
      <c r="DE42" s="19"/>
      <c r="DF42" s="10"/>
      <c r="DG42" s="10"/>
      <c r="DH42" s="10"/>
    </row>
    <row r="43" spans="2:112" x14ac:dyDescent="0.2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19"/>
      <c r="M43" s="29"/>
      <c r="N43" s="29"/>
      <c r="O43" s="2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D43" s="16"/>
      <c r="AE43" s="16"/>
      <c r="AF43" s="16"/>
      <c r="AG43" s="16"/>
      <c r="AH43" s="16"/>
      <c r="AI43" s="11"/>
      <c r="AJ43" s="17"/>
      <c r="AK43" s="17"/>
      <c r="AL43" s="16"/>
      <c r="AM43" s="16"/>
      <c r="AN43" s="16"/>
      <c r="AO43" s="17"/>
      <c r="AP43" s="17"/>
      <c r="AQ43" s="17"/>
      <c r="AR43" s="17"/>
      <c r="AS43" s="17"/>
      <c r="AT43" s="17"/>
      <c r="AU43" s="16"/>
      <c r="AV43" s="16"/>
      <c r="AW43" s="16"/>
      <c r="AX43" s="16"/>
      <c r="BB43" s="12"/>
      <c r="BC43" s="12"/>
      <c r="BD43" s="5"/>
      <c r="BE43" s="12"/>
      <c r="BF43" s="12"/>
      <c r="BG43" s="5"/>
      <c r="BH43" s="5"/>
      <c r="CS43" s="9"/>
      <c r="CT43" s="10"/>
      <c r="CU43" s="9"/>
      <c r="CV43" s="9"/>
      <c r="CX43" s="10"/>
      <c r="CY43" s="10"/>
      <c r="CZ43" s="10"/>
      <c r="DA43" s="10"/>
      <c r="DB43" s="10"/>
      <c r="DD43" s="19"/>
      <c r="DE43" s="19"/>
      <c r="DF43" s="10"/>
      <c r="DG43" s="10"/>
      <c r="DH43" s="10"/>
    </row>
    <row r="44" spans="2:112" x14ac:dyDescent="0.2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9"/>
      <c r="M44" s="29"/>
      <c r="N44" s="29"/>
      <c r="O44" s="2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D44" s="16"/>
      <c r="AE44" s="16"/>
      <c r="AF44" s="16"/>
      <c r="AG44" s="16"/>
      <c r="AH44" s="16"/>
      <c r="AI44" s="11"/>
      <c r="AJ44" s="17"/>
      <c r="AK44" s="17"/>
      <c r="AL44" s="16"/>
      <c r="AM44" s="16"/>
      <c r="AN44" s="16"/>
      <c r="AO44" s="17"/>
      <c r="AP44" s="17"/>
      <c r="AQ44" s="17"/>
      <c r="AR44" s="17"/>
      <c r="AS44" s="17"/>
      <c r="AT44" s="17"/>
      <c r="AU44" s="16"/>
      <c r="AV44" s="16"/>
      <c r="AW44" s="16"/>
      <c r="AX44" s="16"/>
      <c r="BB44" s="12"/>
      <c r="BC44" s="12"/>
      <c r="BD44" s="5"/>
      <c r="BE44" s="12"/>
      <c r="BF44" s="12"/>
      <c r="BG44" s="5"/>
      <c r="BH44" s="5"/>
      <c r="CS44" s="9"/>
      <c r="CT44" s="10"/>
      <c r="CU44" s="9"/>
      <c r="CV44" s="9"/>
      <c r="CX44" s="10"/>
      <c r="CY44" s="10"/>
      <c r="CZ44" s="10"/>
      <c r="DA44" s="10"/>
      <c r="DB44" s="10"/>
      <c r="DD44" s="19"/>
      <c r="DE44" s="19"/>
      <c r="DF44" s="10"/>
      <c r="DG44" s="10"/>
      <c r="DH44" s="10"/>
    </row>
    <row r="45" spans="2:112" x14ac:dyDescent="0.2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19"/>
      <c r="M45" s="29"/>
      <c r="N45" s="29"/>
      <c r="O45" s="2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D45" s="16"/>
      <c r="AE45" s="16"/>
      <c r="AF45" s="16"/>
      <c r="AG45" s="16"/>
      <c r="AH45" s="16"/>
      <c r="AI45" s="11"/>
      <c r="AJ45" s="17"/>
      <c r="AK45" s="17"/>
      <c r="AL45" s="16"/>
      <c r="AM45" s="16"/>
      <c r="AN45" s="16"/>
      <c r="AO45" s="17"/>
      <c r="AP45" s="17"/>
      <c r="AQ45" s="17"/>
      <c r="AR45" s="17"/>
      <c r="AS45" s="17"/>
      <c r="AT45" s="17"/>
      <c r="AU45" s="16"/>
      <c r="AV45" s="16"/>
      <c r="AW45" s="16"/>
      <c r="AX45" s="16"/>
      <c r="BB45" s="12"/>
      <c r="BC45" s="12"/>
      <c r="BD45" s="5"/>
      <c r="BE45" s="12"/>
      <c r="BF45" s="12"/>
      <c r="BG45" s="5"/>
      <c r="BH45" s="5"/>
      <c r="CS45" s="9"/>
      <c r="CT45" s="10"/>
      <c r="CU45" s="9"/>
      <c r="CV45" s="9"/>
      <c r="CX45" s="10"/>
      <c r="CY45" s="10"/>
      <c r="CZ45" s="10"/>
      <c r="DA45" s="10"/>
      <c r="DB45" s="10"/>
      <c r="DD45" s="19"/>
      <c r="DE45" s="19"/>
      <c r="DF45" s="10"/>
      <c r="DG45" s="10"/>
      <c r="DH45" s="10"/>
    </row>
    <row r="46" spans="2:112" x14ac:dyDescent="0.2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19"/>
      <c r="M46" s="29"/>
      <c r="N46" s="29"/>
      <c r="O46" s="2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D46" s="16"/>
      <c r="AE46" s="16"/>
      <c r="AF46" s="16"/>
      <c r="AG46" s="16"/>
      <c r="AH46" s="16"/>
      <c r="AI46" s="11"/>
      <c r="AJ46" s="17"/>
      <c r="AK46" s="17"/>
      <c r="AL46" s="16"/>
      <c r="AM46" s="16"/>
      <c r="AN46" s="16"/>
      <c r="AO46" s="17"/>
      <c r="AP46" s="17"/>
      <c r="AQ46" s="17"/>
      <c r="AR46" s="17"/>
      <c r="AS46" s="17"/>
      <c r="AT46" s="17"/>
      <c r="AU46" s="16"/>
      <c r="AV46" s="16"/>
      <c r="AW46" s="16"/>
      <c r="AX46" s="16"/>
      <c r="BB46" s="12"/>
      <c r="BC46" s="12"/>
      <c r="BD46" s="5"/>
      <c r="BE46" s="12"/>
      <c r="BF46" s="12"/>
      <c r="BG46" s="5"/>
      <c r="BH46" s="5"/>
      <c r="CS46" s="9"/>
      <c r="CT46" s="10"/>
      <c r="CU46" s="9"/>
      <c r="CV46" s="9"/>
      <c r="CX46" s="10"/>
      <c r="CY46" s="10"/>
      <c r="CZ46" s="10"/>
      <c r="DA46" s="10"/>
      <c r="DB46" s="10"/>
      <c r="DD46" s="19"/>
      <c r="DE46" s="19"/>
      <c r="DF46" s="10"/>
      <c r="DG46" s="10"/>
      <c r="DH46" s="10"/>
    </row>
    <row r="47" spans="2:112" x14ac:dyDescent="0.2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19"/>
      <c r="M47" s="29"/>
      <c r="N47" s="29"/>
      <c r="O47" s="2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D47" s="16"/>
      <c r="AE47" s="16"/>
      <c r="AF47" s="16"/>
      <c r="AG47" s="16"/>
      <c r="AH47" s="16"/>
      <c r="AI47" s="11"/>
      <c r="AJ47" s="17"/>
      <c r="AK47" s="17"/>
      <c r="AL47" s="16"/>
      <c r="AM47" s="16"/>
      <c r="AN47" s="16"/>
      <c r="AO47" s="17"/>
      <c r="AP47" s="17"/>
      <c r="AQ47" s="17"/>
      <c r="AR47" s="17"/>
      <c r="AS47" s="17"/>
      <c r="AT47" s="17"/>
      <c r="AU47" s="16"/>
      <c r="AV47" s="16"/>
      <c r="AW47" s="16"/>
      <c r="AX47" s="16"/>
      <c r="BB47" s="12"/>
      <c r="BC47" s="12"/>
      <c r="BD47" s="5"/>
      <c r="BE47" s="12"/>
      <c r="BF47" s="12"/>
      <c r="BG47" s="5"/>
      <c r="BH47" s="5"/>
      <c r="CS47" s="9"/>
      <c r="CT47" s="10"/>
      <c r="CU47" s="9"/>
      <c r="CV47" s="9"/>
      <c r="CX47" s="10"/>
      <c r="CY47" s="10"/>
      <c r="CZ47" s="10"/>
      <c r="DA47" s="10"/>
      <c r="DB47" s="10"/>
      <c r="DD47" s="19"/>
      <c r="DE47" s="19"/>
      <c r="DF47" s="10"/>
      <c r="DG47" s="10"/>
      <c r="DH47" s="10"/>
    </row>
    <row r="48" spans="2:112" x14ac:dyDescent="0.2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19"/>
      <c r="M48" s="29"/>
      <c r="N48" s="29"/>
      <c r="O48" s="2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D48" s="16"/>
      <c r="AE48" s="16"/>
      <c r="AF48" s="16"/>
      <c r="AG48" s="16"/>
      <c r="AH48" s="16"/>
      <c r="AI48" s="11"/>
      <c r="AJ48" s="17"/>
      <c r="AK48" s="17"/>
      <c r="AL48" s="16"/>
      <c r="AM48" s="16"/>
      <c r="AN48" s="16"/>
      <c r="AO48" s="17"/>
      <c r="AP48" s="17"/>
      <c r="AQ48" s="17"/>
      <c r="AR48" s="17"/>
      <c r="AS48" s="17"/>
      <c r="AT48" s="17"/>
      <c r="AU48" s="16"/>
      <c r="AV48" s="16"/>
      <c r="AW48" s="16"/>
      <c r="AX48" s="16"/>
      <c r="BB48" s="12"/>
      <c r="BC48" s="12"/>
      <c r="BD48" s="5"/>
      <c r="BE48" s="12"/>
      <c r="BF48" s="12"/>
      <c r="BG48" s="5"/>
      <c r="BH48" s="5"/>
      <c r="CS48" s="9"/>
      <c r="CT48" s="10"/>
      <c r="CU48" s="9"/>
      <c r="CV48" s="9"/>
      <c r="CX48" s="10"/>
      <c r="CY48" s="10"/>
      <c r="CZ48" s="10"/>
      <c r="DA48" s="10"/>
      <c r="DB48" s="10"/>
      <c r="DD48" s="19"/>
      <c r="DE48" s="19"/>
      <c r="DF48" s="10"/>
      <c r="DG48" s="10"/>
      <c r="DH48" s="10"/>
    </row>
    <row r="49" spans="2:112" x14ac:dyDescent="0.2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19"/>
      <c r="M49" s="29"/>
      <c r="N49" s="29"/>
      <c r="O49" s="2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D49" s="16"/>
      <c r="AE49" s="16"/>
      <c r="AF49" s="16"/>
      <c r="AG49" s="16"/>
      <c r="AH49" s="16"/>
      <c r="AI49" s="11"/>
      <c r="AJ49" s="17"/>
      <c r="AK49" s="17"/>
      <c r="AL49" s="16"/>
      <c r="AM49" s="16"/>
      <c r="AN49" s="16"/>
      <c r="AO49" s="17"/>
      <c r="AP49" s="17"/>
      <c r="AQ49" s="17"/>
      <c r="AR49" s="17"/>
      <c r="AS49" s="17"/>
      <c r="AT49" s="17"/>
      <c r="AU49" s="16"/>
      <c r="AV49" s="16"/>
      <c r="AW49" s="16"/>
      <c r="AX49" s="16"/>
      <c r="BB49" s="12"/>
      <c r="BC49" s="12"/>
      <c r="BD49" s="5"/>
      <c r="BE49" s="12"/>
      <c r="BF49" s="12"/>
      <c r="BG49" s="5"/>
      <c r="BH49" s="5"/>
      <c r="CS49" s="9"/>
      <c r="CT49" s="10"/>
      <c r="CU49" s="9"/>
      <c r="CV49" s="9"/>
      <c r="CX49" s="10"/>
      <c r="CY49" s="10"/>
      <c r="CZ49" s="10"/>
      <c r="DA49" s="10"/>
      <c r="DB49" s="10"/>
      <c r="DD49" s="19"/>
      <c r="DE49" s="19"/>
      <c r="DF49" s="10"/>
      <c r="DG49" s="10"/>
      <c r="DH49" s="10"/>
    </row>
    <row r="50" spans="2:112" x14ac:dyDescent="0.2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19"/>
      <c r="M50" s="29"/>
      <c r="N50" s="29"/>
      <c r="O50" s="2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D50" s="16"/>
      <c r="AE50" s="16"/>
      <c r="AF50" s="16"/>
      <c r="AG50" s="16"/>
      <c r="AH50" s="16"/>
      <c r="AI50" s="11"/>
      <c r="AJ50" s="17"/>
      <c r="AK50" s="17"/>
      <c r="AL50" s="16"/>
      <c r="AM50" s="16"/>
      <c r="AN50" s="16"/>
      <c r="AO50" s="17"/>
      <c r="AP50" s="17"/>
      <c r="AQ50" s="17"/>
      <c r="AR50" s="17"/>
      <c r="AS50" s="17"/>
      <c r="AT50" s="17"/>
      <c r="AU50" s="16"/>
      <c r="AV50" s="16"/>
      <c r="AW50" s="16"/>
      <c r="AX50" s="16"/>
      <c r="BB50" s="12"/>
      <c r="BC50" s="12"/>
      <c r="BD50" s="5"/>
      <c r="BE50" s="12"/>
      <c r="BF50" s="12"/>
      <c r="BG50" s="5"/>
      <c r="BH50" s="5"/>
      <c r="CS50" s="9"/>
      <c r="CT50" s="10"/>
      <c r="CU50" s="9"/>
      <c r="CV50" s="9"/>
      <c r="CX50" s="10"/>
      <c r="CY50" s="10"/>
      <c r="CZ50" s="10"/>
      <c r="DA50" s="10"/>
      <c r="DB50" s="10"/>
      <c r="DD50" s="19"/>
      <c r="DE50" s="19"/>
      <c r="DF50" s="10"/>
      <c r="DG50" s="10"/>
      <c r="DH50" s="10"/>
    </row>
    <row r="51" spans="2:112" x14ac:dyDescent="0.2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19"/>
      <c r="M51" s="29"/>
      <c r="N51" s="29"/>
      <c r="O51" s="2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D51" s="16"/>
      <c r="AE51" s="16"/>
      <c r="AF51" s="16"/>
      <c r="AG51" s="16"/>
      <c r="AH51" s="16"/>
      <c r="AI51" s="11"/>
      <c r="AJ51" s="17"/>
      <c r="AK51" s="17"/>
      <c r="AL51" s="16"/>
      <c r="AM51" s="16"/>
      <c r="AN51" s="16"/>
      <c r="AO51" s="17"/>
      <c r="AP51" s="17"/>
      <c r="AQ51" s="17"/>
      <c r="AR51" s="17"/>
      <c r="AS51" s="17"/>
      <c r="AT51" s="17"/>
      <c r="AU51" s="16"/>
      <c r="AV51" s="16"/>
      <c r="AW51" s="16"/>
      <c r="AX51" s="16"/>
      <c r="BB51" s="12"/>
      <c r="BC51" s="12"/>
      <c r="BD51" s="5"/>
      <c r="BE51" s="12"/>
      <c r="BF51" s="12"/>
      <c r="BG51" s="5"/>
      <c r="BH51" s="5"/>
      <c r="CS51" s="9"/>
      <c r="CT51" s="10"/>
      <c r="CU51" s="9"/>
      <c r="CV51" s="9"/>
      <c r="CX51" s="10"/>
      <c r="CY51" s="10"/>
      <c r="CZ51" s="10"/>
      <c r="DA51" s="10"/>
      <c r="DB51" s="10"/>
      <c r="DD51" s="19"/>
      <c r="DE51" s="19"/>
      <c r="DF51" s="10"/>
      <c r="DG51" s="10"/>
      <c r="DH51" s="10"/>
    </row>
    <row r="52" spans="2:112" x14ac:dyDescent="0.2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19"/>
      <c r="M52" s="29"/>
      <c r="N52" s="29"/>
      <c r="O52" s="2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D52" s="16"/>
      <c r="AE52" s="16"/>
      <c r="AF52" s="16"/>
      <c r="AG52" s="16"/>
      <c r="AH52" s="16"/>
      <c r="AI52" s="11"/>
      <c r="AJ52" s="17"/>
      <c r="AK52" s="17"/>
      <c r="AL52" s="16"/>
      <c r="AM52" s="16"/>
      <c r="AN52" s="16"/>
      <c r="AO52" s="17"/>
      <c r="AP52" s="17"/>
      <c r="AQ52" s="17"/>
      <c r="AR52" s="17"/>
      <c r="AS52" s="17"/>
      <c r="AT52" s="17"/>
      <c r="AU52" s="16"/>
      <c r="AV52" s="16"/>
      <c r="AW52" s="16"/>
      <c r="AX52" s="16"/>
      <c r="BB52" s="12"/>
      <c r="BC52" s="12"/>
      <c r="BD52" s="5"/>
      <c r="BE52" s="12"/>
      <c r="BF52" s="12"/>
      <c r="BG52" s="5"/>
      <c r="BH52" s="5"/>
      <c r="CS52" s="9"/>
      <c r="CT52" s="10"/>
      <c r="CU52" s="9"/>
      <c r="CV52" s="9"/>
      <c r="CX52" s="10"/>
      <c r="CY52" s="10"/>
      <c r="CZ52" s="10"/>
      <c r="DA52" s="10"/>
      <c r="DB52" s="10"/>
      <c r="DD52" s="19"/>
      <c r="DE52" s="19"/>
      <c r="DF52" s="10"/>
      <c r="DG52" s="10"/>
      <c r="DH52" s="10"/>
    </row>
    <row r="53" spans="2:112" x14ac:dyDescent="0.2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19"/>
      <c r="M53" s="29"/>
      <c r="N53" s="29"/>
      <c r="O53" s="2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D53" s="16"/>
      <c r="AE53" s="16"/>
      <c r="AF53" s="16"/>
      <c r="AG53" s="16"/>
      <c r="AH53" s="16"/>
      <c r="AI53" s="11"/>
      <c r="AJ53" s="17"/>
      <c r="AK53" s="17"/>
      <c r="AL53" s="16"/>
      <c r="AM53" s="16"/>
      <c r="AN53" s="16"/>
      <c r="AO53" s="17"/>
      <c r="AP53" s="17"/>
      <c r="AQ53" s="17"/>
      <c r="AR53" s="17"/>
      <c r="AS53" s="17"/>
      <c r="AT53" s="17"/>
      <c r="AU53" s="16"/>
      <c r="AV53" s="16"/>
      <c r="AW53" s="16"/>
      <c r="AX53" s="16"/>
      <c r="BB53" s="12"/>
      <c r="BC53" s="12"/>
      <c r="BD53" s="5"/>
      <c r="BE53" s="12"/>
      <c r="BF53" s="12"/>
      <c r="BG53" s="5"/>
      <c r="BH53" s="5"/>
      <c r="CS53" s="9"/>
      <c r="CT53" s="10"/>
      <c r="CU53" s="9"/>
      <c r="CV53" s="9"/>
      <c r="CX53" s="10"/>
      <c r="CY53" s="10"/>
      <c r="CZ53" s="10"/>
      <c r="DA53" s="10"/>
      <c r="DB53" s="10"/>
      <c r="DD53" s="19"/>
      <c r="DE53" s="19"/>
      <c r="DF53" s="10"/>
      <c r="DG53" s="10"/>
      <c r="DH53" s="10"/>
    </row>
    <row r="54" spans="2:112" x14ac:dyDescent="0.2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19"/>
      <c r="M54" s="29"/>
      <c r="N54" s="29"/>
      <c r="O54" s="2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D54" s="16"/>
      <c r="AE54" s="16"/>
      <c r="AF54" s="16"/>
      <c r="AG54" s="16"/>
      <c r="AH54" s="16"/>
      <c r="AI54" s="11"/>
      <c r="AJ54" s="17"/>
      <c r="AK54" s="17"/>
      <c r="AL54" s="16"/>
      <c r="AM54" s="16"/>
      <c r="AN54" s="16"/>
      <c r="AO54" s="17"/>
      <c r="AP54" s="17"/>
      <c r="AQ54" s="17"/>
      <c r="AR54" s="17"/>
      <c r="AS54" s="17"/>
      <c r="AT54" s="17"/>
      <c r="AU54" s="16"/>
      <c r="AV54" s="16"/>
      <c r="AW54" s="16"/>
      <c r="AX54" s="16"/>
      <c r="BB54" s="12"/>
      <c r="BC54" s="12"/>
      <c r="BD54" s="5"/>
      <c r="BE54" s="12"/>
      <c r="BF54" s="12"/>
      <c r="BG54" s="5"/>
      <c r="BH54" s="5"/>
      <c r="CS54" s="9"/>
      <c r="CT54" s="10"/>
      <c r="CU54" s="9"/>
      <c r="CV54" s="9"/>
      <c r="CX54" s="10"/>
      <c r="CY54" s="10"/>
      <c r="CZ54" s="10"/>
      <c r="DA54" s="10"/>
      <c r="DB54" s="10"/>
      <c r="DD54" s="19"/>
      <c r="DE54" s="19"/>
      <c r="DF54" s="10"/>
      <c r="DG54" s="10"/>
      <c r="DH54" s="10"/>
    </row>
    <row r="55" spans="2:112" x14ac:dyDescent="0.2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19"/>
      <c r="M55" s="29"/>
      <c r="N55" s="29"/>
      <c r="O55" s="2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D55" s="16"/>
      <c r="AE55" s="16"/>
      <c r="AF55" s="16"/>
      <c r="AG55" s="16"/>
      <c r="AH55" s="16"/>
      <c r="AI55" s="11"/>
      <c r="AJ55" s="17"/>
      <c r="AK55" s="17"/>
      <c r="AL55" s="16"/>
      <c r="AM55" s="16"/>
      <c r="AN55" s="16"/>
      <c r="AO55" s="17"/>
      <c r="AP55" s="17"/>
      <c r="AQ55" s="17"/>
      <c r="AR55" s="17"/>
      <c r="AS55" s="17"/>
      <c r="AT55" s="17"/>
      <c r="AU55" s="16"/>
      <c r="AV55" s="16"/>
      <c r="AW55" s="16"/>
      <c r="AX55" s="16"/>
      <c r="BB55" s="12"/>
      <c r="BC55" s="12"/>
      <c r="BD55" s="5"/>
      <c r="BE55" s="12"/>
      <c r="BF55" s="12"/>
      <c r="BG55" s="5"/>
      <c r="BH55" s="5"/>
      <c r="CS55" s="9"/>
      <c r="CT55" s="10"/>
      <c r="CU55" s="9"/>
      <c r="CV55" s="9"/>
      <c r="CX55" s="10"/>
      <c r="CY55" s="10"/>
      <c r="CZ55" s="10"/>
      <c r="DA55" s="10"/>
      <c r="DB55" s="10"/>
      <c r="DD55" s="19"/>
      <c r="DE55" s="19"/>
      <c r="DF55" s="10"/>
      <c r="DG55" s="10"/>
      <c r="DH55" s="10"/>
    </row>
    <row r="56" spans="2:112" x14ac:dyDescent="0.2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19"/>
      <c r="M56" s="29"/>
      <c r="N56" s="29"/>
      <c r="O56" s="2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D56" s="16"/>
      <c r="AE56" s="16"/>
      <c r="AF56" s="16"/>
      <c r="AG56" s="16"/>
      <c r="AH56" s="16"/>
      <c r="AI56" s="11"/>
      <c r="AJ56" s="17"/>
      <c r="AK56" s="17"/>
      <c r="AL56" s="16"/>
      <c r="AM56" s="16"/>
      <c r="AN56" s="16"/>
      <c r="AO56" s="17"/>
      <c r="AP56" s="17"/>
      <c r="AQ56" s="17"/>
      <c r="AR56" s="17"/>
      <c r="AS56" s="17"/>
      <c r="AT56" s="17"/>
      <c r="AU56" s="16"/>
      <c r="AV56" s="16"/>
      <c r="AW56" s="16"/>
      <c r="AX56" s="16"/>
      <c r="BB56" s="12"/>
      <c r="BC56" s="12"/>
      <c r="BD56" s="5"/>
      <c r="BE56" s="12"/>
      <c r="BF56" s="12"/>
      <c r="BG56" s="5"/>
      <c r="BH56" s="5"/>
      <c r="CS56" s="9"/>
      <c r="CT56" s="10"/>
      <c r="CU56" s="9"/>
      <c r="CV56" s="9"/>
      <c r="CX56" s="10"/>
      <c r="CY56" s="10"/>
      <c r="CZ56" s="10"/>
      <c r="DA56" s="10"/>
      <c r="DB56" s="10"/>
      <c r="DD56" s="19"/>
      <c r="DE56" s="19"/>
      <c r="DF56" s="10"/>
      <c r="DG56" s="10"/>
      <c r="DH56" s="10"/>
    </row>
    <row r="57" spans="2:112" x14ac:dyDescent="0.2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19"/>
      <c r="M57" s="29"/>
      <c r="N57" s="29"/>
      <c r="O57" s="2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D57" s="16"/>
      <c r="AE57" s="16"/>
      <c r="AF57" s="16"/>
      <c r="AG57" s="16"/>
      <c r="AH57" s="16"/>
      <c r="AI57" s="11"/>
      <c r="AJ57" s="17"/>
      <c r="AK57" s="17"/>
      <c r="AL57" s="16"/>
      <c r="AM57" s="16"/>
      <c r="AN57" s="16"/>
      <c r="AO57" s="17"/>
      <c r="AP57" s="17"/>
      <c r="AQ57" s="17"/>
      <c r="AR57" s="17"/>
      <c r="AS57" s="17"/>
      <c r="AT57" s="17"/>
      <c r="AU57" s="16"/>
      <c r="AV57" s="16"/>
      <c r="AW57" s="16"/>
      <c r="AX57" s="16"/>
      <c r="BB57" s="12"/>
      <c r="BC57" s="12"/>
      <c r="BD57" s="5"/>
      <c r="BE57" s="12"/>
      <c r="BF57" s="12"/>
      <c r="BG57" s="5"/>
      <c r="BH57" s="5"/>
      <c r="CS57" s="9"/>
      <c r="CT57" s="10"/>
      <c r="CU57" s="9"/>
      <c r="CV57" s="9"/>
      <c r="CX57" s="10"/>
      <c r="CY57" s="10"/>
      <c r="CZ57" s="10"/>
      <c r="DA57" s="10"/>
      <c r="DB57" s="10"/>
      <c r="DD57" s="19"/>
      <c r="DE57" s="19"/>
      <c r="DF57" s="10"/>
      <c r="DG57" s="10"/>
      <c r="DH57" s="10"/>
    </row>
    <row r="58" spans="2:112" x14ac:dyDescent="0.2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19"/>
      <c r="M58" s="29"/>
      <c r="N58" s="29"/>
      <c r="O58" s="2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D58" s="17"/>
      <c r="AE58" s="17"/>
      <c r="AF58" s="16"/>
      <c r="AG58" s="16"/>
      <c r="AH58" s="16"/>
      <c r="AI58" s="11"/>
      <c r="AJ58" s="17"/>
      <c r="AK58" s="17"/>
      <c r="AL58" s="16"/>
      <c r="AM58" s="16"/>
      <c r="AN58" s="17"/>
      <c r="AO58" s="17"/>
      <c r="AP58" s="17"/>
      <c r="AQ58" s="17"/>
      <c r="AR58" s="17"/>
      <c r="AS58" s="17"/>
      <c r="AT58" s="17"/>
      <c r="AU58" s="16"/>
      <c r="AV58" s="16"/>
      <c r="AW58" s="16"/>
      <c r="AX58" s="16"/>
      <c r="BB58" s="12"/>
      <c r="BC58" s="12"/>
      <c r="BD58" s="5"/>
      <c r="BE58" s="12"/>
      <c r="BF58" s="12"/>
      <c r="BG58" s="5"/>
      <c r="BH58" s="5"/>
      <c r="CS58" s="9"/>
      <c r="CT58" s="10"/>
      <c r="CU58" s="9"/>
      <c r="CV58" s="9"/>
      <c r="CX58" s="10"/>
      <c r="CY58" s="10"/>
      <c r="CZ58" s="10"/>
      <c r="DA58" s="10"/>
      <c r="DB58" s="10"/>
      <c r="DD58" s="19"/>
      <c r="DE58" s="19"/>
      <c r="DF58" s="10"/>
      <c r="DG58" s="10"/>
      <c r="DH58" s="10"/>
    </row>
    <row r="59" spans="2:112" x14ac:dyDescent="0.2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19"/>
      <c r="M59" s="29"/>
      <c r="N59" s="29"/>
      <c r="O59" s="2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D59" s="17"/>
      <c r="AE59" s="17"/>
      <c r="AF59" s="16"/>
      <c r="AG59" s="16"/>
      <c r="AH59" s="16"/>
      <c r="AI59" s="11"/>
      <c r="AJ59" s="17"/>
      <c r="AK59" s="17"/>
      <c r="AL59" s="16"/>
      <c r="AM59" s="16"/>
      <c r="AN59" s="17"/>
      <c r="AO59" s="17"/>
      <c r="AP59" s="17"/>
      <c r="AQ59" s="17"/>
      <c r="AR59" s="17"/>
      <c r="AS59" s="17"/>
      <c r="AT59" s="17"/>
      <c r="AU59" s="16"/>
      <c r="AV59" s="16"/>
      <c r="AW59" s="16"/>
      <c r="AX59" s="16"/>
      <c r="BB59" s="12"/>
      <c r="BC59" s="12"/>
      <c r="BD59" s="5"/>
      <c r="BE59" s="12"/>
      <c r="BF59" s="12"/>
      <c r="BG59" s="5"/>
      <c r="BH59" s="5"/>
      <c r="CS59" s="9"/>
      <c r="CT59" s="10"/>
      <c r="CU59" s="9"/>
      <c r="CV59" s="9"/>
      <c r="CX59" s="10"/>
      <c r="CY59" s="10"/>
      <c r="CZ59" s="10"/>
      <c r="DA59" s="10"/>
      <c r="DB59" s="10"/>
      <c r="DD59" s="19"/>
      <c r="DE59" s="19"/>
      <c r="DF59" s="10"/>
      <c r="DG59" s="10"/>
      <c r="DH59" s="10"/>
    </row>
    <row r="60" spans="2:112" x14ac:dyDescent="0.2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19"/>
      <c r="M60" s="29"/>
      <c r="N60" s="29"/>
      <c r="O60" s="2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D60" s="17"/>
      <c r="AE60" s="17"/>
      <c r="AF60" s="16"/>
      <c r="AG60" s="16"/>
      <c r="AH60" s="16"/>
      <c r="AI60" s="11"/>
      <c r="AJ60" s="17"/>
      <c r="AK60" s="17"/>
      <c r="AL60" s="16"/>
      <c r="AM60" s="16"/>
      <c r="AN60" s="17"/>
      <c r="AO60" s="17"/>
      <c r="AP60" s="17"/>
      <c r="AQ60" s="17"/>
      <c r="AR60" s="17"/>
      <c r="AS60" s="17"/>
      <c r="AT60" s="17"/>
      <c r="AU60" s="16"/>
      <c r="AV60" s="16"/>
      <c r="AW60" s="16"/>
      <c r="AX60" s="16"/>
      <c r="BB60" s="12"/>
      <c r="BC60" s="12"/>
      <c r="BD60" s="5"/>
      <c r="BE60" s="12"/>
      <c r="BF60" s="12"/>
      <c r="BG60" s="5"/>
      <c r="BH60" s="5"/>
      <c r="CS60" s="9"/>
      <c r="CT60" s="10"/>
      <c r="CU60" s="9"/>
      <c r="CV60" s="9"/>
      <c r="CX60" s="10"/>
      <c r="CY60" s="10"/>
      <c r="CZ60" s="10"/>
      <c r="DA60" s="10"/>
      <c r="DB60" s="10"/>
      <c r="DD60" s="19"/>
      <c r="DE60" s="19"/>
      <c r="DF60" s="10"/>
      <c r="DG60" s="10"/>
      <c r="DH60" s="10"/>
    </row>
    <row r="61" spans="2:112" x14ac:dyDescent="0.2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19"/>
      <c r="M61" s="29"/>
      <c r="N61" s="29"/>
      <c r="O61" s="2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D61" s="17"/>
      <c r="AE61" s="17"/>
      <c r="AF61" s="16"/>
      <c r="AG61" s="16"/>
      <c r="AH61" s="16"/>
      <c r="AI61" s="11"/>
      <c r="AJ61" s="17"/>
      <c r="AK61" s="17"/>
      <c r="AL61" s="16"/>
      <c r="AM61" s="16"/>
      <c r="AN61" s="17"/>
      <c r="AO61" s="17"/>
      <c r="AP61" s="17"/>
      <c r="AQ61" s="17"/>
      <c r="AR61" s="17"/>
      <c r="AS61" s="17"/>
      <c r="AT61" s="17"/>
      <c r="AU61" s="16"/>
      <c r="AV61" s="16"/>
      <c r="AW61" s="16"/>
      <c r="AX61" s="16"/>
      <c r="BB61" s="12"/>
      <c r="BC61" s="12"/>
      <c r="BD61" s="5"/>
      <c r="BE61" s="12"/>
      <c r="BF61" s="12"/>
      <c r="BG61" s="5"/>
      <c r="BH61" s="5"/>
      <c r="CS61" s="9"/>
      <c r="CT61" s="10"/>
      <c r="CU61" s="9"/>
      <c r="CV61" s="9"/>
      <c r="CX61" s="10"/>
      <c r="CY61" s="10"/>
      <c r="CZ61" s="10"/>
      <c r="DA61" s="10"/>
      <c r="DB61" s="10"/>
      <c r="DD61" s="19"/>
      <c r="DE61" s="19"/>
      <c r="DF61" s="10"/>
      <c r="DG61" s="10"/>
      <c r="DH61" s="10"/>
    </row>
    <row r="62" spans="2:112" x14ac:dyDescent="0.2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19"/>
      <c r="M62" s="29"/>
      <c r="N62" s="29"/>
      <c r="O62" s="2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D62" s="17"/>
      <c r="AE62" s="17"/>
      <c r="AF62" s="16"/>
      <c r="AG62" s="16"/>
      <c r="AH62" s="16"/>
      <c r="AI62" s="11"/>
      <c r="AJ62" s="17"/>
      <c r="AK62" s="17"/>
      <c r="AL62" s="16"/>
      <c r="AM62" s="16"/>
      <c r="AN62" s="17"/>
      <c r="AO62" s="17"/>
      <c r="AP62" s="17"/>
      <c r="AQ62" s="17"/>
      <c r="AR62" s="17"/>
      <c r="AS62" s="17"/>
      <c r="AT62" s="17"/>
      <c r="AU62" s="16"/>
      <c r="AV62" s="16"/>
      <c r="AW62" s="16"/>
      <c r="AX62" s="16"/>
      <c r="BB62" s="12"/>
      <c r="BC62" s="12"/>
      <c r="BD62" s="5"/>
      <c r="BE62" s="12"/>
      <c r="BF62" s="12"/>
      <c r="BG62" s="5"/>
      <c r="BH62" s="5"/>
      <c r="CS62" s="9"/>
      <c r="CT62" s="10"/>
      <c r="CU62" s="9"/>
      <c r="CV62" s="9"/>
      <c r="CX62" s="10"/>
      <c r="CY62" s="10"/>
      <c r="CZ62" s="10"/>
      <c r="DA62" s="10"/>
      <c r="DB62" s="10"/>
      <c r="DD62" s="19"/>
      <c r="DE62" s="19"/>
      <c r="DF62" s="10"/>
      <c r="DG62" s="10"/>
      <c r="DH62" s="10"/>
    </row>
    <row r="63" spans="2:112" x14ac:dyDescent="0.2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19"/>
      <c r="M63" s="29"/>
      <c r="N63" s="29"/>
      <c r="O63" s="2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D63" s="17"/>
      <c r="AE63" s="17"/>
      <c r="AF63" s="16"/>
      <c r="AG63" s="16"/>
      <c r="AH63" s="16"/>
      <c r="AI63" s="11"/>
      <c r="AJ63" s="17"/>
      <c r="AK63" s="17"/>
      <c r="AL63" s="16"/>
      <c r="AM63" s="16"/>
      <c r="AN63" s="17"/>
      <c r="AO63" s="17"/>
      <c r="AP63" s="17"/>
      <c r="AQ63" s="17"/>
      <c r="AR63" s="17"/>
      <c r="AS63" s="17"/>
      <c r="AT63" s="17"/>
      <c r="AU63" s="16"/>
      <c r="AV63" s="16"/>
      <c r="AW63" s="16"/>
      <c r="AX63" s="16"/>
      <c r="BB63" s="12"/>
      <c r="BC63" s="12"/>
      <c r="BD63" s="5"/>
      <c r="BE63" s="12"/>
      <c r="BF63" s="12"/>
      <c r="BG63" s="5"/>
      <c r="BH63" s="5"/>
      <c r="CS63" s="9"/>
      <c r="CT63" s="10"/>
      <c r="CU63" s="9"/>
      <c r="CV63" s="9"/>
      <c r="CX63" s="10"/>
      <c r="CY63" s="10"/>
      <c r="CZ63" s="10"/>
      <c r="DA63" s="10"/>
      <c r="DB63" s="10"/>
      <c r="DD63" s="19"/>
      <c r="DE63" s="19"/>
      <c r="DF63" s="10"/>
      <c r="DG63" s="10"/>
      <c r="DH63" s="10"/>
    </row>
    <row r="64" spans="2:112" x14ac:dyDescent="0.2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19"/>
      <c r="M64" s="29"/>
      <c r="N64" s="29"/>
      <c r="O64" s="2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D64" s="17"/>
      <c r="AE64" s="17"/>
      <c r="AF64" s="16"/>
      <c r="AG64" s="16"/>
      <c r="AH64" s="16"/>
      <c r="AI64" s="11"/>
      <c r="AJ64" s="17"/>
      <c r="AK64" s="17"/>
      <c r="AL64" s="16"/>
      <c r="AM64" s="16"/>
      <c r="AN64" s="17"/>
      <c r="AO64" s="17"/>
      <c r="AP64" s="17"/>
      <c r="AQ64" s="17"/>
      <c r="AR64" s="17"/>
      <c r="AS64" s="17"/>
      <c r="AT64" s="17"/>
      <c r="AU64" s="16"/>
      <c r="AV64" s="16"/>
      <c r="AW64" s="16"/>
      <c r="AX64" s="16"/>
      <c r="BB64" s="12"/>
      <c r="BC64" s="12"/>
      <c r="BD64" s="5"/>
      <c r="BE64" s="12"/>
      <c r="BF64" s="12"/>
      <c r="BG64" s="5"/>
      <c r="BH64" s="5"/>
      <c r="CS64" s="9"/>
      <c r="CT64" s="10"/>
      <c r="CU64" s="9"/>
      <c r="CV64" s="9"/>
      <c r="CX64" s="10"/>
      <c r="CY64" s="10"/>
      <c r="CZ64" s="10"/>
      <c r="DA64" s="10"/>
      <c r="DB64" s="10"/>
      <c r="DD64" s="19"/>
      <c r="DE64" s="19"/>
      <c r="DF64" s="10"/>
      <c r="DG64" s="10"/>
      <c r="DH64" s="10"/>
    </row>
    <row r="65" spans="2:112" x14ac:dyDescent="0.2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19"/>
      <c r="M65" s="29"/>
      <c r="N65" s="29"/>
      <c r="O65" s="2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D65" s="17"/>
      <c r="AE65" s="17"/>
      <c r="AF65" s="16"/>
      <c r="AG65" s="16"/>
      <c r="AH65" s="16"/>
      <c r="AI65" s="11"/>
      <c r="AJ65" s="17"/>
      <c r="AK65" s="17"/>
      <c r="AL65" s="16"/>
      <c r="AM65" s="16"/>
      <c r="AN65" s="17"/>
      <c r="AO65" s="17"/>
      <c r="AP65" s="17"/>
      <c r="AQ65" s="17"/>
      <c r="AR65" s="17"/>
      <c r="AS65" s="17"/>
      <c r="AT65" s="17"/>
      <c r="AU65" s="16"/>
      <c r="AV65" s="16"/>
      <c r="AW65" s="16"/>
      <c r="AX65" s="16"/>
      <c r="BB65" s="12"/>
      <c r="BC65" s="12"/>
      <c r="BD65" s="5"/>
      <c r="BE65" s="12"/>
      <c r="BF65" s="12"/>
      <c r="BG65" s="5"/>
      <c r="BH65" s="5"/>
      <c r="CS65" s="9"/>
      <c r="CT65" s="10"/>
      <c r="CU65" s="9"/>
      <c r="CV65" s="9"/>
      <c r="CX65" s="10"/>
      <c r="CY65" s="10"/>
      <c r="CZ65" s="10"/>
      <c r="DA65" s="10"/>
      <c r="DB65" s="10"/>
      <c r="DD65" s="19"/>
      <c r="DE65" s="19"/>
      <c r="DF65" s="10"/>
      <c r="DG65" s="10"/>
      <c r="DH65" s="10"/>
    </row>
    <row r="66" spans="2:112" x14ac:dyDescent="0.2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19"/>
      <c r="M66" s="29"/>
      <c r="N66" s="29"/>
      <c r="O66" s="2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D66" s="17"/>
      <c r="AE66" s="17"/>
      <c r="AF66" s="16"/>
      <c r="AG66" s="16"/>
      <c r="AH66" s="16"/>
      <c r="AI66" s="11"/>
      <c r="AJ66" s="17"/>
      <c r="AK66" s="17"/>
      <c r="AL66" s="16"/>
      <c r="AM66" s="16"/>
      <c r="AN66" s="17"/>
      <c r="AO66" s="17"/>
      <c r="AP66" s="17"/>
      <c r="AQ66" s="17"/>
      <c r="AR66" s="17"/>
      <c r="AS66" s="17"/>
      <c r="AT66" s="17"/>
      <c r="AU66" s="16"/>
      <c r="AV66" s="16"/>
      <c r="AW66" s="16"/>
      <c r="AX66" s="16"/>
      <c r="BB66" s="12"/>
      <c r="BC66" s="12"/>
      <c r="BD66" s="5"/>
      <c r="BE66" s="12"/>
      <c r="BF66" s="12"/>
      <c r="BG66" s="5"/>
      <c r="BH66" s="5"/>
      <c r="CS66" s="9"/>
      <c r="CT66" s="10"/>
      <c r="CU66" s="9"/>
      <c r="CV66" s="9"/>
      <c r="CX66" s="10"/>
      <c r="CY66" s="10"/>
      <c r="CZ66" s="10"/>
      <c r="DA66" s="10"/>
      <c r="DB66" s="10"/>
      <c r="DD66" s="19"/>
      <c r="DE66" s="19"/>
      <c r="DF66" s="10"/>
      <c r="DG66" s="10"/>
      <c r="DH66" s="10"/>
    </row>
    <row r="67" spans="2:112" x14ac:dyDescent="0.2">
      <c r="BB67" s="5"/>
      <c r="BC67" s="5"/>
      <c r="BD67" s="5"/>
      <c r="BE67" s="5"/>
      <c r="BF67" s="5"/>
      <c r="BG67" s="5"/>
      <c r="BH67" s="5"/>
      <c r="CS67" s="8"/>
      <c r="CU67" s="8"/>
      <c r="CV67" s="8"/>
    </row>
    <row r="68" spans="2:112" x14ac:dyDescent="0.2">
      <c r="BB68" s="5"/>
      <c r="BC68" s="5"/>
      <c r="BD68" s="5"/>
      <c r="BE68" s="5"/>
      <c r="BF68" s="5"/>
      <c r="BG68" s="5"/>
      <c r="BH68" s="5"/>
      <c r="CS68" s="8"/>
      <c r="CU68" s="8"/>
      <c r="CV68" s="8"/>
    </row>
    <row r="69" spans="2:112" x14ac:dyDescent="0.2">
      <c r="BB69" s="5"/>
      <c r="BC69" s="5"/>
      <c r="BD69" s="5"/>
      <c r="BE69" s="5"/>
      <c r="BF69" s="5"/>
      <c r="BG69" s="5"/>
      <c r="BH69" s="5"/>
      <c r="CS69" s="8"/>
      <c r="CU69" s="8"/>
      <c r="CV69" s="8"/>
    </row>
    <row r="70" spans="2:112" x14ac:dyDescent="0.2">
      <c r="BB70" s="5"/>
      <c r="BC70" s="5"/>
      <c r="BD70" s="5"/>
      <c r="BE70" s="5"/>
      <c r="BF70" s="5"/>
      <c r="BG70" s="5"/>
      <c r="BH70" s="5"/>
      <c r="CS70" s="8"/>
      <c r="CU70" s="8"/>
      <c r="CV70" s="8"/>
    </row>
    <row r="71" spans="2:112" x14ac:dyDescent="0.2">
      <c r="BB71" s="5"/>
      <c r="BC71" s="5"/>
      <c r="BD71" s="5"/>
      <c r="BE71" s="5"/>
      <c r="BF71" s="5"/>
      <c r="BG71" s="5"/>
      <c r="BH71" s="5"/>
      <c r="CS71" s="8"/>
      <c r="CU71" s="8"/>
      <c r="CV71" s="8"/>
    </row>
    <row r="72" spans="2:112" x14ac:dyDescent="0.2">
      <c r="BB72" s="5"/>
      <c r="BC72" s="5"/>
      <c r="BD72" s="5"/>
      <c r="BE72" s="5"/>
      <c r="BF72" s="5"/>
      <c r="BG72" s="5"/>
      <c r="BH72" s="5"/>
      <c r="CS72" s="8"/>
      <c r="CU72" s="8"/>
      <c r="CV72" s="8"/>
    </row>
    <row r="73" spans="2:112" x14ac:dyDescent="0.2">
      <c r="BB73" s="5"/>
      <c r="BC73" s="5"/>
      <c r="BD73" s="5"/>
      <c r="BE73" s="5"/>
      <c r="BF73" s="5"/>
      <c r="BG73" s="5"/>
      <c r="BH73" s="5"/>
      <c r="CS73" s="8"/>
      <c r="CU73" s="8"/>
      <c r="CV73" s="8"/>
    </row>
    <row r="74" spans="2:112" x14ac:dyDescent="0.2">
      <c r="BB74" s="5"/>
      <c r="BC74" s="5"/>
      <c r="BD74" s="5"/>
      <c r="BE74" s="5"/>
      <c r="BF74" s="5"/>
      <c r="BG74" s="5"/>
      <c r="BH74" s="5"/>
      <c r="CS74" s="8"/>
      <c r="CU74" s="8"/>
      <c r="CV74" s="8"/>
    </row>
    <row r="75" spans="2:112" x14ac:dyDescent="0.2">
      <c r="BB75" s="5"/>
      <c r="BC75" s="5"/>
      <c r="BD75" s="5"/>
      <c r="BE75" s="5"/>
      <c r="BF75" s="5"/>
      <c r="BG75" s="5"/>
      <c r="BH75" s="5"/>
      <c r="CS75" s="8"/>
      <c r="CU75" s="8"/>
      <c r="CV75" s="8"/>
    </row>
    <row r="76" spans="2:112" x14ac:dyDescent="0.2">
      <c r="BB76" s="5"/>
      <c r="BC76" s="5"/>
      <c r="BD76" s="5"/>
      <c r="BE76" s="5"/>
      <c r="BF76" s="5"/>
      <c r="BG76" s="5"/>
      <c r="BH76" s="5"/>
      <c r="CS76" s="8"/>
      <c r="CU76" s="8"/>
      <c r="CV76" s="8"/>
    </row>
    <row r="77" spans="2:112" x14ac:dyDescent="0.2">
      <c r="BB77" s="5"/>
      <c r="BC77" s="5"/>
      <c r="BD77" s="5"/>
      <c r="BE77" s="5"/>
      <c r="BF77" s="5"/>
      <c r="BG77" s="5"/>
      <c r="BH77" s="5"/>
      <c r="CS77" s="8"/>
      <c r="CU77" s="8"/>
      <c r="CV77" s="8"/>
    </row>
    <row r="78" spans="2:112" x14ac:dyDescent="0.2">
      <c r="BB78" s="5"/>
      <c r="BC78" s="5"/>
      <c r="BD78" s="5"/>
      <c r="BE78" s="5"/>
      <c r="BF78" s="5"/>
      <c r="BG78" s="5"/>
      <c r="BH78" s="5"/>
      <c r="CS78" s="8"/>
      <c r="CU78" s="8"/>
      <c r="CV78" s="8"/>
    </row>
    <row r="79" spans="2:112" x14ac:dyDescent="0.2">
      <c r="BB79" s="5"/>
      <c r="BC79" s="5"/>
      <c r="BD79" s="5"/>
      <c r="BE79" s="5"/>
      <c r="BF79" s="5"/>
      <c r="BG79" s="5"/>
      <c r="BH79" s="5"/>
      <c r="CS79" s="8"/>
      <c r="CU79" s="8"/>
      <c r="CV79" s="8"/>
    </row>
    <row r="80" spans="2:112" x14ac:dyDescent="0.2">
      <c r="BB80" s="5"/>
      <c r="BC80" s="5"/>
      <c r="BD80" s="5"/>
      <c r="BE80" s="5"/>
      <c r="BF80" s="5"/>
      <c r="BG80" s="5"/>
      <c r="BH80" s="5"/>
      <c r="CS80" s="8"/>
      <c r="CU80" s="8"/>
      <c r="CV80" s="8"/>
    </row>
    <row r="81" spans="54:100" x14ac:dyDescent="0.2">
      <c r="BB81" s="5"/>
      <c r="BC81" s="5"/>
      <c r="BD81" s="5"/>
      <c r="BE81" s="5"/>
      <c r="BF81" s="5"/>
      <c r="BG81" s="5"/>
      <c r="BH81" s="5"/>
      <c r="CS81" s="8"/>
      <c r="CU81" s="8"/>
      <c r="CV81" s="8"/>
    </row>
    <row r="82" spans="54:100" x14ac:dyDescent="0.2">
      <c r="BB82" s="5"/>
      <c r="BC82" s="5"/>
      <c r="BD82" s="5"/>
      <c r="BE82" s="5"/>
      <c r="BF82" s="5"/>
      <c r="BG82" s="5"/>
      <c r="BH82" s="5"/>
      <c r="CS82" s="8"/>
      <c r="CU82" s="8"/>
      <c r="CV82" s="8"/>
    </row>
    <row r="83" spans="54:100" x14ac:dyDescent="0.2">
      <c r="BB83" s="5"/>
      <c r="BC83" s="5"/>
      <c r="BD83" s="5"/>
      <c r="BE83" s="5"/>
      <c r="BF83" s="5"/>
      <c r="BG83" s="5"/>
      <c r="BH83" s="5"/>
      <c r="CS83" s="8"/>
      <c r="CU83" s="8"/>
      <c r="CV83" s="8"/>
    </row>
    <row r="84" spans="54:100" x14ac:dyDescent="0.2">
      <c r="BB84" s="5"/>
      <c r="BC84" s="5"/>
      <c r="BD84" s="5"/>
      <c r="BE84" s="5"/>
      <c r="BF84" s="5"/>
      <c r="BG84" s="5"/>
      <c r="BH84" s="5"/>
      <c r="CS84" s="8"/>
      <c r="CU84" s="8"/>
      <c r="CV84" s="8"/>
    </row>
    <row r="85" spans="54:100" x14ac:dyDescent="0.2">
      <c r="BB85" s="5"/>
      <c r="BC85" s="5"/>
      <c r="BD85" s="5"/>
      <c r="BE85" s="5"/>
      <c r="BF85" s="5"/>
      <c r="BG85" s="5"/>
      <c r="BH85" s="5"/>
      <c r="CS85" s="8"/>
      <c r="CU85" s="8"/>
      <c r="CV85" s="8"/>
    </row>
    <row r="86" spans="54:100" x14ac:dyDescent="0.2">
      <c r="BB86" s="5"/>
      <c r="BC86" s="5"/>
      <c r="BD86" s="5"/>
      <c r="BE86" s="5"/>
      <c r="BF86" s="5"/>
      <c r="BG86" s="5"/>
      <c r="BH86" s="5"/>
      <c r="CS86" s="8"/>
      <c r="CU86" s="8"/>
      <c r="CV86" s="8"/>
    </row>
    <row r="87" spans="54:100" x14ac:dyDescent="0.2">
      <c r="BB87" s="5"/>
      <c r="BC87" s="5"/>
      <c r="BD87" s="5"/>
      <c r="BE87" s="5"/>
      <c r="BF87" s="5"/>
      <c r="BG87" s="5"/>
      <c r="BH87" s="5"/>
      <c r="CS87" s="8"/>
      <c r="CU87" s="8"/>
      <c r="CV87" s="8"/>
    </row>
    <row r="88" spans="54:100" x14ac:dyDescent="0.2">
      <c r="BB88" s="5"/>
      <c r="BC88" s="5"/>
      <c r="BD88" s="5"/>
      <c r="BE88" s="5"/>
      <c r="BF88" s="5"/>
      <c r="BG88" s="5"/>
      <c r="BH88" s="5"/>
      <c r="CS88" s="8"/>
      <c r="CU88" s="8"/>
      <c r="CV88" s="8"/>
    </row>
    <row r="89" spans="54:100" x14ac:dyDescent="0.2">
      <c r="BB89" s="5"/>
      <c r="BC89" s="5"/>
      <c r="BD89" s="5"/>
      <c r="BE89" s="5"/>
      <c r="BF89" s="5"/>
      <c r="BG89" s="5"/>
      <c r="BH89" s="5"/>
      <c r="CS89" s="8"/>
      <c r="CU89" s="8"/>
      <c r="CV89" s="8"/>
    </row>
    <row r="90" spans="54:100" x14ac:dyDescent="0.2">
      <c r="BB90" s="5"/>
      <c r="BC90" s="5"/>
      <c r="BD90" s="5"/>
      <c r="BE90" s="5"/>
      <c r="BF90" s="5"/>
      <c r="BG90" s="5"/>
      <c r="BH90" s="5"/>
      <c r="CS90" s="8"/>
      <c r="CU90" s="8"/>
      <c r="CV90" s="8"/>
    </row>
    <row r="91" spans="54:100" x14ac:dyDescent="0.2">
      <c r="BB91" s="5"/>
      <c r="BC91" s="5"/>
      <c r="BD91" s="5"/>
      <c r="BE91" s="5"/>
      <c r="BF91" s="5"/>
      <c r="BG91" s="5"/>
      <c r="BH91" s="5"/>
      <c r="CS91" s="8"/>
      <c r="CU91" s="8"/>
      <c r="CV91" s="8"/>
    </row>
    <row r="92" spans="54:100" x14ac:dyDescent="0.2">
      <c r="BB92" s="5"/>
      <c r="BC92" s="5"/>
      <c r="BD92" s="5"/>
      <c r="BE92" s="5"/>
      <c r="BF92" s="5"/>
      <c r="BG92" s="5"/>
      <c r="BH92" s="5"/>
      <c r="CS92" s="8"/>
      <c r="CU92" s="8"/>
      <c r="CV92" s="8"/>
    </row>
    <row r="93" spans="54:100" x14ac:dyDescent="0.2">
      <c r="BB93" s="5"/>
      <c r="BC93" s="5"/>
      <c r="BD93" s="5"/>
      <c r="BE93" s="5"/>
      <c r="BF93" s="5"/>
      <c r="BG93" s="5"/>
      <c r="BH93" s="5"/>
      <c r="CS93" s="8"/>
      <c r="CU93" s="8"/>
      <c r="CV93" s="8"/>
    </row>
    <row r="94" spans="54:100" x14ac:dyDescent="0.2">
      <c r="BB94" s="5"/>
      <c r="BC94" s="5"/>
      <c r="BD94" s="5"/>
      <c r="BE94" s="5"/>
      <c r="BF94" s="5"/>
      <c r="BG94" s="5"/>
      <c r="BH94" s="5"/>
      <c r="CS94" s="8"/>
      <c r="CU94" s="8"/>
      <c r="CV94" s="8"/>
    </row>
    <row r="95" spans="54:100" x14ac:dyDescent="0.2">
      <c r="BB95" s="5"/>
      <c r="BC95" s="5"/>
      <c r="BD95" s="5"/>
      <c r="BE95" s="5"/>
      <c r="BF95" s="5"/>
      <c r="BG95" s="5"/>
      <c r="BH95" s="5"/>
      <c r="CS95" s="8"/>
      <c r="CU95" s="8"/>
      <c r="CV95" s="8"/>
    </row>
    <row r="96" spans="54:100" x14ac:dyDescent="0.2">
      <c r="BB96" s="5"/>
      <c r="BC96" s="5"/>
      <c r="BD96" s="5"/>
      <c r="BE96" s="5"/>
      <c r="BF96" s="5"/>
      <c r="BG96" s="5"/>
      <c r="BH96" s="5"/>
      <c r="CS96" s="8"/>
      <c r="CU96" s="8"/>
      <c r="CV96" s="8"/>
    </row>
    <row r="97" spans="54:100" x14ac:dyDescent="0.2">
      <c r="BB97" s="5"/>
      <c r="BC97" s="5"/>
      <c r="BD97" s="5"/>
      <c r="BE97" s="5"/>
      <c r="BF97" s="5"/>
      <c r="BG97" s="5"/>
      <c r="BH97" s="5"/>
      <c r="CS97" s="8"/>
      <c r="CU97" s="8"/>
      <c r="CV97" s="8"/>
    </row>
    <row r="98" spans="54:100" x14ac:dyDescent="0.2">
      <c r="BB98" s="5"/>
      <c r="BC98" s="5"/>
      <c r="BD98" s="5"/>
      <c r="BE98" s="5"/>
      <c r="BF98" s="5"/>
      <c r="BG98" s="5"/>
      <c r="BH98" s="5"/>
      <c r="CS98" s="8"/>
      <c r="CU98" s="8"/>
      <c r="CV98" s="8"/>
    </row>
    <row r="99" spans="54:100" x14ac:dyDescent="0.2">
      <c r="BB99" s="5"/>
      <c r="BC99" s="5"/>
      <c r="BD99" s="5"/>
      <c r="BE99" s="5"/>
      <c r="BF99" s="5"/>
      <c r="BG99" s="5"/>
      <c r="BH99" s="5"/>
      <c r="CS99" s="8"/>
      <c r="CU99" s="8"/>
      <c r="CV99" s="8"/>
    </row>
    <row r="100" spans="54:100" x14ac:dyDescent="0.2">
      <c r="BB100" s="5"/>
      <c r="BC100" s="5"/>
      <c r="BD100" s="5"/>
      <c r="BE100" s="5"/>
      <c r="BF100" s="5"/>
      <c r="BG100" s="5"/>
      <c r="BH100" s="5"/>
      <c r="CS100" s="8"/>
      <c r="CU100" s="8"/>
      <c r="CV100" s="8"/>
    </row>
    <row r="101" spans="54:100" x14ac:dyDescent="0.2">
      <c r="BB101" s="5"/>
      <c r="BC101" s="5"/>
      <c r="BD101" s="5"/>
      <c r="BE101" s="5"/>
      <c r="BF101" s="5"/>
      <c r="BG101" s="5"/>
      <c r="BH101" s="5"/>
      <c r="CS101" s="8"/>
      <c r="CU101" s="8"/>
      <c r="CV101" s="8"/>
    </row>
    <row r="102" spans="54:100" x14ac:dyDescent="0.2">
      <c r="BB102" s="5"/>
      <c r="BC102" s="5"/>
      <c r="BD102" s="5"/>
      <c r="BE102" s="5"/>
      <c r="BF102" s="5"/>
      <c r="BG102" s="5"/>
      <c r="BH102" s="5"/>
      <c r="CS102" s="8"/>
      <c r="CU102" s="8"/>
      <c r="CV102" s="8"/>
    </row>
    <row r="103" spans="54:100" x14ac:dyDescent="0.2">
      <c r="BB103" s="5"/>
      <c r="BC103" s="5"/>
      <c r="BD103" s="5"/>
      <c r="BE103" s="5"/>
      <c r="BF103" s="5"/>
      <c r="BG103" s="5"/>
      <c r="BH103" s="5"/>
      <c r="CS103" s="8"/>
      <c r="CU103" s="8"/>
      <c r="CV103" s="8"/>
    </row>
    <row r="104" spans="54:100" x14ac:dyDescent="0.2">
      <c r="BB104" s="5"/>
      <c r="BC104" s="5"/>
      <c r="BD104" s="5"/>
      <c r="BE104" s="5"/>
      <c r="BF104" s="5"/>
      <c r="BG104" s="5"/>
      <c r="BH104" s="5"/>
      <c r="CS104" s="8"/>
      <c r="CU104" s="8"/>
      <c r="CV104" s="8"/>
    </row>
    <row r="105" spans="54:100" x14ac:dyDescent="0.2">
      <c r="BB105" s="5"/>
      <c r="BC105" s="5"/>
      <c r="BD105" s="5"/>
      <c r="BE105" s="5"/>
      <c r="BF105" s="5"/>
      <c r="BG105" s="5"/>
      <c r="BH105" s="5"/>
    </row>
    <row r="106" spans="54:100" x14ac:dyDescent="0.2">
      <c r="BB106" s="5"/>
      <c r="BC106" s="5"/>
      <c r="BD106" s="5"/>
      <c r="BE106" s="5"/>
      <c r="BF106" s="5"/>
      <c r="BG106" s="5"/>
      <c r="BH106" s="5"/>
    </row>
    <row r="107" spans="54:100" x14ac:dyDescent="0.2">
      <c r="BB107" s="5"/>
      <c r="BC107" s="5"/>
      <c r="BD107" s="5"/>
      <c r="BE107" s="5"/>
      <c r="BF107" s="5"/>
      <c r="BG107" s="5"/>
      <c r="BH107" s="5"/>
    </row>
    <row r="108" spans="54:100" x14ac:dyDescent="0.2">
      <c r="BH10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T59"/>
  <sheetViews>
    <sheetView topLeftCell="H1" zoomScale="69" workbookViewId="0">
      <selection activeCell="AS5" sqref="AS5"/>
    </sheetView>
  </sheetViews>
  <sheetFormatPr baseColWidth="10" defaultRowHeight="16" x14ac:dyDescent="0.2"/>
  <cols>
    <col min="1" max="1" width="2.6640625" customWidth="1"/>
    <col min="2" max="2" width="42.5" style="22" customWidth="1"/>
    <col min="3" max="3" width="9.6640625" style="22" customWidth="1"/>
    <col min="4" max="4" width="9.33203125" style="22" customWidth="1"/>
    <col min="5" max="5" width="14.5" style="22" bestFit="1" customWidth="1"/>
    <col min="6" max="6" width="13.1640625" style="22" customWidth="1"/>
    <col min="7" max="7" width="18.1640625" style="22" customWidth="1"/>
    <col min="8" max="8" width="10.33203125" style="22" bestFit="1" customWidth="1"/>
    <col min="9" max="9" width="18.1640625" style="22" bestFit="1" customWidth="1"/>
    <col min="10" max="10" width="9.6640625" style="22" customWidth="1"/>
    <col min="11" max="11" width="12.5" style="22" customWidth="1"/>
    <col min="12" max="12" width="8.5" style="22" customWidth="1"/>
    <col min="13" max="13" width="11.33203125" style="22" customWidth="1"/>
    <col min="14" max="14" width="10.5" style="22" customWidth="1"/>
    <col min="15" max="15" width="11.1640625" style="22" customWidth="1"/>
    <col min="16" max="16" width="10.6640625" style="22" customWidth="1"/>
    <col min="17" max="17" width="12.83203125" style="22" bestFit="1" customWidth="1"/>
    <col min="18" max="18" width="4.6640625" style="22" bestFit="1" customWidth="1"/>
    <col min="19" max="19" width="8.6640625" style="22" bestFit="1" customWidth="1"/>
    <col min="20" max="20" width="9.83203125" style="22" bestFit="1" customWidth="1"/>
    <col min="21" max="21" width="15.6640625" style="22" bestFit="1" customWidth="1"/>
    <col min="22" max="22" width="3.5" customWidth="1"/>
    <col min="23" max="23" width="48.33203125" customWidth="1"/>
    <col min="24" max="25" width="11" bestFit="1" customWidth="1"/>
    <col min="26" max="26" width="12.83203125" customWidth="1"/>
    <col min="27" max="27" width="12.6640625" bestFit="1" customWidth="1"/>
    <col min="28" max="28" width="16.5" customWidth="1"/>
    <col min="29" max="29" width="11" bestFit="1" customWidth="1"/>
    <col min="30" max="30" width="17.1640625" customWidth="1"/>
    <col min="31" max="31" width="11" bestFit="1" customWidth="1"/>
    <col min="32" max="32" width="15.6640625" bestFit="1" customWidth="1"/>
    <col min="33" max="33" width="11" bestFit="1" customWidth="1"/>
    <col min="34" max="34" width="14.33203125" bestFit="1" customWidth="1"/>
    <col min="35" max="35" width="11" bestFit="1" customWidth="1"/>
    <col min="36" max="36" width="15.5" customWidth="1"/>
    <col min="37" max="37" width="11.1640625" bestFit="1" customWidth="1"/>
    <col min="38" max="38" width="15.6640625" bestFit="1" customWidth="1"/>
    <col min="39" max="39" width="5.83203125" bestFit="1" customWidth="1"/>
    <col min="40" max="41" width="9.83203125" bestFit="1" customWidth="1"/>
    <col min="42" max="42" width="14" bestFit="1" customWidth="1"/>
    <col min="43" max="43" width="3" customWidth="1"/>
    <col min="44" max="44" width="11.6640625" bestFit="1" customWidth="1"/>
    <col min="46" max="46" width="12.33203125" bestFit="1" customWidth="1"/>
  </cols>
  <sheetData>
    <row r="2" spans="2:46" x14ac:dyDescent="0.2">
      <c r="B2" s="21" t="s">
        <v>128</v>
      </c>
      <c r="W2" s="21" t="s">
        <v>129</v>
      </c>
      <c r="AR2" s="30" t="s">
        <v>125</v>
      </c>
    </row>
    <row r="3" spans="2:46" ht="36" customHeight="1" x14ac:dyDescent="0.2">
      <c r="B3" s="23" t="s">
        <v>68</v>
      </c>
      <c r="C3" s="23" t="s">
        <v>72</v>
      </c>
      <c r="D3" s="23" t="s">
        <v>73</v>
      </c>
      <c r="E3" s="23" t="s">
        <v>74</v>
      </c>
      <c r="F3" s="23" t="s">
        <v>75</v>
      </c>
      <c r="G3" s="23" t="s">
        <v>76</v>
      </c>
      <c r="H3" s="23" t="s">
        <v>77</v>
      </c>
      <c r="I3" s="23" t="s">
        <v>78</v>
      </c>
      <c r="J3" s="23" t="s">
        <v>79</v>
      </c>
      <c r="K3" s="23" t="s">
        <v>80</v>
      </c>
      <c r="L3" s="23" t="s">
        <v>81</v>
      </c>
      <c r="M3" s="23" t="s">
        <v>82</v>
      </c>
      <c r="N3" s="23" t="s">
        <v>83</v>
      </c>
      <c r="O3" s="23" t="s">
        <v>84</v>
      </c>
      <c r="P3" s="24" t="s">
        <v>86</v>
      </c>
      <c r="Q3" s="24" t="s">
        <v>87</v>
      </c>
      <c r="R3" s="24" t="s">
        <v>85</v>
      </c>
      <c r="S3" s="25" t="s">
        <v>70</v>
      </c>
      <c r="T3" s="25" t="s">
        <v>130</v>
      </c>
      <c r="U3" s="25" t="s">
        <v>124</v>
      </c>
      <c r="W3" s="23" t="s">
        <v>68</v>
      </c>
      <c r="X3" s="23" t="s">
        <v>72</v>
      </c>
      <c r="Y3" s="23" t="s">
        <v>73</v>
      </c>
      <c r="Z3" s="23" t="s">
        <v>74</v>
      </c>
      <c r="AA3" s="23" t="s">
        <v>75</v>
      </c>
      <c r="AB3" s="23" t="s">
        <v>76</v>
      </c>
      <c r="AC3" s="23" t="s">
        <v>77</v>
      </c>
      <c r="AD3" s="23" t="s">
        <v>78</v>
      </c>
      <c r="AE3" s="23" t="s">
        <v>79</v>
      </c>
      <c r="AF3" s="23" t="s">
        <v>80</v>
      </c>
      <c r="AG3" s="23" t="s">
        <v>81</v>
      </c>
      <c r="AH3" s="23" t="s">
        <v>82</v>
      </c>
      <c r="AI3" s="23" t="s">
        <v>83</v>
      </c>
      <c r="AJ3" s="23" t="s">
        <v>84</v>
      </c>
      <c r="AK3" s="24" t="s">
        <v>86</v>
      </c>
      <c r="AL3" s="24" t="s">
        <v>87</v>
      </c>
      <c r="AM3" s="24" t="s">
        <v>85</v>
      </c>
      <c r="AN3" s="25" t="s">
        <v>70</v>
      </c>
      <c r="AO3" s="25" t="s">
        <v>130</v>
      </c>
      <c r="AP3" s="25" t="s">
        <v>124</v>
      </c>
      <c r="AR3" t="s">
        <v>126</v>
      </c>
      <c r="AS3">
        <v>45.6</v>
      </c>
      <c r="AT3" t="s">
        <v>127</v>
      </c>
    </row>
    <row r="4" spans="2:46" ht="32" customHeight="1" x14ac:dyDescent="0.2">
      <c r="B4" s="26" t="str">
        <f>lc_detailed!AZ4</f>
        <v>SE_Ethanol_Dehydration_NGfuel</v>
      </c>
      <c r="C4" s="31">
        <f>lc_detailed!BH4/$AS$3</f>
        <v>0</v>
      </c>
      <c r="D4" s="31">
        <f>lc_detailed!BI4/$AS$3</f>
        <v>0.13417904339355152</v>
      </c>
      <c r="E4" s="31">
        <f>lc_detailed!BJ4/$AS$3</f>
        <v>0.15214611962784025</v>
      </c>
      <c r="F4" s="31">
        <f>lc_detailed!BK4/$AS$3</f>
        <v>0</v>
      </c>
      <c r="G4" s="31">
        <f>lc_detailed!BL4/$AS$3</f>
        <v>14.800427815063955</v>
      </c>
      <c r="H4" s="31">
        <f>lc_detailed!BM4/$AS$3</f>
        <v>0.16956915850640997</v>
      </c>
      <c r="I4" s="31">
        <f>lc_detailed!BN4/$AS$3</f>
        <v>0.34050656770373977</v>
      </c>
      <c r="J4" s="31">
        <f>lc_detailed!BO4/$AS$3</f>
        <v>0.25972008040490513</v>
      </c>
      <c r="K4" s="31">
        <f>lc_detailed!BP4/$AS$3</f>
        <v>0</v>
      </c>
      <c r="L4" s="31">
        <f>lc_detailed!BQ4/$AS$3</f>
        <v>0.24969769997021227</v>
      </c>
      <c r="M4" s="31">
        <f>lc_detailed!BR4/$AS$3</f>
        <v>1.8656909266504809</v>
      </c>
      <c r="N4" s="31">
        <f>lc_detailed!BS4/$AS$3</f>
        <v>3.4649122793943513E-2</v>
      </c>
      <c r="O4" s="31">
        <f>lc_detailed!BT4/$AS$3</f>
        <v>7.6055101643215739</v>
      </c>
      <c r="P4" s="31">
        <f>lc_detailed!CB4/$AS$3</f>
        <v>0</v>
      </c>
      <c r="Q4" s="31">
        <f>lc_detailed!CC4/$AS$3</f>
        <v>0</v>
      </c>
      <c r="R4" s="31">
        <f>lc_detailed!CA4/$AS$3</f>
        <v>0</v>
      </c>
      <c r="S4" s="32">
        <f>lc_detailed!BE4</f>
        <v>1167.9116094487097</v>
      </c>
      <c r="T4" s="32">
        <f>SUM(C4:Q4)</f>
        <v>25.612096698436609</v>
      </c>
      <c r="U4" s="32">
        <f>T4*$AS$3</f>
        <v>1167.9116094487094</v>
      </c>
      <c r="W4" s="27" t="str">
        <f>lc_detailed!AZ4</f>
        <v>SE_Ethanol_Dehydration_NGfuel</v>
      </c>
      <c r="X4" s="33">
        <f>lc_detailed!BH4/$AS$3</f>
        <v>0</v>
      </c>
      <c r="Y4" s="33">
        <f>lc_detailed!BI4/$AS$3</f>
        <v>0.13417904339355152</v>
      </c>
      <c r="Z4" s="33">
        <f>lc_detailed!BJ4/$AS$3</f>
        <v>0.15214611962784025</v>
      </c>
      <c r="AA4" s="33">
        <f>lc_detailed!BK4/$AS$3</f>
        <v>0</v>
      </c>
      <c r="AB4" s="33">
        <f>lc_detailed!BL4/$AS$3</f>
        <v>14.800427815063955</v>
      </c>
      <c r="AC4" s="33">
        <f>lc_detailed!BM4/$AS$3</f>
        <v>0.16956915850640997</v>
      </c>
      <c r="AD4" s="33">
        <f>lc_detailed!BN4/$AS$3</f>
        <v>0.34050656770373977</v>
      </c>
      <c r="AE4" s="33">
        <f>lc_detailed!BO4/$AS$3</f>
        <v>0.25972008040490513</v>
      </c>
      <c r="AF4" s="33">
        <f>lc_detailed!BP4/$AS$3</f>
        <v>0</v>
      </c>
      <c r="AG4" s="33">
        <f>lc_detailed!BQ4/$AS$3</f>
        <v>0.24969769997021227</v>
      </c>
      <c r="AH4" s="33">
        <f>lc_detailed!BR4/$AS$3</f>
        <v>1.8656909266504809</v>
      </c>
      <c r="AI4" s="33">
        <f>lc_detailed!BS4/$AS$3</f>
        <v>3.4649122793943513E-2</v>
      </c>
      <c r="AJ4" s="33">
        <f>lc_detailed!BT4/$AS$3</f>
        <v>7.6055101643215739</v>
      </c>
      <c r="AK4" s="33">
        <f>lc_detailed!BV4/$AS$3</f>
        <v>0</v>
      </c>
      <c r="AL4" s="33">
        <f>lc_detailed!BW4/$AS$3</f>
        <v>-8.4102014092105168</v>
      </c>
      <c r="AM4" s="33">
        <f>lc_detailed!BU4/$AS$3</f>
        <v>-6.885964912280694E-2</v>
      </c>
      <c r="AN4" s="33">
        <f>lc_detailed!BB4</f>
        <v>784.40642518871005</v>
      </c>
      <c r="AO4" s="33">
        <f t="shared" ref="AO4:AO35" si="0">SUM(X4:AL4)</f>
        <v>17.201895289226094</v>
      </c>
      <c r="AP4" s="33">
        <f>AO4*$AS$3</f>
        <v>784.40642518870993</v>
      </c>
    </row>
    <row r="5" spans="2:46" ht="32" customHeight="1" x14ac:dyDescent="0.2">
      <c r="B5" s="26" t="str">
        <f>lc_detailed!AZ5</f>
        <v>SE_Ethanol_Dehydration_H2fuel</v>
      </c>
      <c r="C5" s="31">
        <f>lc_detailed!BH5/$AS$3</f>
        <v>0.30171339336527736</v>
      </c>
      <c r="D5" s="31">
        <f>lc_detailed!BI5/$AS$3</f>
        <v>0.13417904339355152</v>
      </c>
      <c r="E5" s="31">
        <f>lc_detailed!BJ5/$AS$3</f>
        <v>0.15214611962784025</v>
      </c>
      <c r="F5" s="31">
        <f>lc_detailed!BK5/$AS$3</f>
        <v>0</v>
      </c>
      <c r="G5" s="31">
        <f>lc_detailed!BL5/$AS$3</f>
        <v>14.800427815063955</v>
      </c>
      <c r="H5" s="31">
        <f>lc_detailed!BM5/$AS$3</f>
        <v>0</v>
      </c>
      <c r="I5" s="31">
        <f>lc_detailed!BN5/$AS$3</f>
        <v>0.34050656770373977</v>
      </c>
      <c r="J5" s="31">
        <f>lc_detailed!BO5/$AS$3</f>
        <v>0.25972008040490513</v>
      </c>
      <c r="K5" s="31">
        <f>lc_detailed!BP5/$AS$3</f>
        <v>0</v>
      </c>
      <c r="L5" s="31">
        <f>lc_detailed!BQ5/$AS$3</f>
        <v>0.24969769997021227</v>
      </c>
      <c r="M5" s="31">
        <f>lc_detailed!BR5/$AS$3</f>
        <v>1.8656909266504809</v>
      </c>
      <c r="N5" s="31">
        <f>lc_detailed!BS5/$AS$3</f>
        <v>3.4649122793943513E-2</v>
      </c>
      <c r="O5" s="31">
        <f>lc_detailed!BT5/$AS$3</f>
        <v>7.6055101643215739</v>
      </c>
      <c r="P5" s="31">
        <f>lc_detailed!CB5/$AS$3</f>
        <v>0</v>
      </c>
      <c r="Q5" s="31">
        <f>lc_detailed!CC5/$AS$3</f>
        <v>0</v>
      </c>
      <c r="R5" s="31">
        <f>lc_detailed!CA5/$AS$3</f>
        <v>0</v>
      </c>
      <c r="S5" s="32">
        <f>lc_detailed!BE5</f>
        <v>1173.9373865582741</v>
      </c>
      <c r="T5" s="32">
        <f t="shared" ref="T5:T35" si="1">SUM(C5:Q5)</f>
        <v>25.74424093329548</v>
      </c>
      <c r="U5" s="32">
        <f t="shared" ref="U5:U59" si="2">T5*$AS$3</f>
        <v>1173.9373865582738</v>
      </c>
      <c r="W5" s="27" t="str">
        <f>lc_detailed!AZ5</f>
        <v>SE_Ethanol_Dehydration_H2fuel</v>
      </c>
      <c r="X5" s="33">
        <f>lc_detailed!BH5/$AS$3</f>
        <v>0.30171339336527736</v>
      </c>
      <c r="Y5" s="33">
        <f>lc_detailed!BI5/$AS$3</f>
        <v>0.13417904339355152</v>
      </c>
      <c r="Z5" s="33">
        <f>lc_detailed!BJ5/$AS$3</f>
        <v>0.15214611962784025</v>
      </c>
      <c r="AA5" s="33">
        <f>lc_detailed!BK5/$AS$3</f>
        <v>0</v>
      </c>
      <c r="AB5" s="33">
        <f>lc_detailed!BL5/$AS$3</f>
        <v>14.800427815063955</v>
      </c>
      <c r="AC5" s="33">
        <f>lc_detailed!BM5/$AS$3</f>
        <v>0</v>
      </c>
      <c r="AD5" s="33">
        <f>lc_detailed!BN5/$AS$3</f>
        <v>0.34050656770373977</v>
      </c>
      <c r="AE5" s="33">
        <f>lc_detailed!BO5/$AS$3</f>
        <v>0.25972008040490513</v>
      </c>
      <c r="AF5" s="33">
        <f>lc_detailed!BP5/$AS$3</f>
        <v>0</v>
      </c>
      <c r="AG5" s="33">
        <f>lc_detailed!BQ5/$AS$3</f>
        <v>0.24969769997021227</v>
      </c>
      <c r="AH5" s="33">
        <f>lc_detailed!BR5/$AS$3</f>
        <v>1.8656909266504809</v>
      </c>
      <c r="AI5" s="33">
        <f>lc_detailed!BS5/$AS$3</f>
        <v>3.4649122793943513E-2</v>
      </c>
      <c r="AJ5" s="33">
        <f>lc_detailed!BT5/$AS$3</f>
        <v>7.6055101643215739</v>
      </c>
      <c r="AK5" s="33">
        <f>lc_detailed!BV5/$AS$3</f>
        <v>0</v>
      </c>
      <c r="AL5" s="33">
        <f>lc_detailed!BW5/$AS$3</f>
        <v>-8.4102014092105257</v>
      </c>
      <c r="AM5" s="33">
        <f>lc_detailed!BU5/$AS$3</f>
        <v>-6.8859649122807023E-2</v>
      </c>
      <c r="AN5" s="33">
        <f>lc_detailed!BB5</f>
        <v>790.43220229827398</v>
      </c>
      <c r="AO5" s="33">
        <f t="shared" si="0"/>
        <v>17.334039524084954</v>
      </c>
      <c r="AP5" s="33">
        <f t="shared" ref="AP5:AP59" si="3">AO5*$AS$3</f>
        <v>790.43220229827386</v>
      </c>
    </row>
    <row r="6" spans="2:46" ht="32" customHeight="1" x14ac:dyDescent="0.2">
      <c r="B6" s="26" t="str">
        <f>lc_detailed!AZ6</f>
        <v>CA_Ethanol_Dehydration_NGfuel</v>
      </c>
      <c r="C6" s="31">
        <f>lc_detailed!BH6/$AS$3</f>
        <v>0</v>
      </c>
      <c r="D6" s="31">
        <f>lc_detailed!BI6/$AS$3</f>
        <v>0.12790046149763876</v>
      </c>
      <c r="E6" s="31">
        <f>lc_detailed!BJ6/$AS$3</f>
        <v>0.14502681211104032</v>
      </c>
      <c r="F6" s="31">
        <f>lc_detailed!BK6/$AS$3</f>
        <v>0</v>
      </c>
      <c r="G6" s="31">
        <f>lc_detailed!BL6/$AS$3</f>
        <v>14.800427815063955</v>
      </c>
      <c r="H6" s="31">
        <f>lc_detailed!BM6/$AS$3</f>
        <v>0.41273547391800947</v>
      </c>
      <c r="I6" s="31">
        <f>lc_detailed!BN6/$AS$3</f>
        <v>0.8288013034403614</v>
      </c>
      <c r="J6" s="31">
        <f>lc_detailed!BO6/$AS$3</f>
        <v>0.25972008040490513</v>
      </c>
      <c r="K6" s="31">
        <f>lc_detailed!BP6/$AS$3</f>
        <v>0</v>
      </c>
      <c r="L6" s="31">
        <f>lc_detailed!BQ6/$AS$3</f>
        <v>0.24969769997021227</v>
      </c>
      <c r="M6" s="31">
        <f>lc_detailed!BR6/$AS$3</f>
        <v>1.8656909266504809</v>
      </c>
      <c r="N6" s="31">
        <f>lc_detailed!BS6/$AS$3</f>
        <v>3.4649122793943513E-2</v>
      </c>
      <c r="O6" s="31">
        <f>lc_detailed!BT6/$AS$3</f>
        <v>7.6055101643215739</v>
      </c>
      <c r="P6" s="31">
        <f>lc_detailed!CB6/$AS$3</f>
        <v>0</v>
      </c>
      <c r="Q6" s="31">
        <f>lc_detailed!CC6/$AS$3</f>
        <v>0</v>
      </c>
      <c r="R6" s="31">
        <f>lc_detailed!CA6/$AS$3</f>
        <v>0</v>
      </c>
      <c r="S6" s="32">
        <f>lc_detailed!BE6</f>
        <v>1200.6552896238488</v>
      </c>
      <c r="T6" s="32">
        <f t="shared" si="1"/>
        <v>26.330159860172124</v>
      </c>
      <c r="U6" s="32">
        <f t="shared" si="2"/>
        <v>1200.6552896238488</v>
      </c>
      <c r="W6" s="27" t="str">
        <f>lc_detailed!AZ6</f>
        <v>CA_Ethanol_Dehydration_NGfuel</v>
      </c>
      <c r="X6" s="33">
        <f>lc_detailed!BH6/$AS$3</f>
        <v>0</v>
      </c>
      <c r="Y6" s="33">
        <f>lc_detailed!BI6/$AS$3</f>
        <v>0.12790046149763876</v>
      </c>
      <c r="Z6" s="33">
        <f>lc_detailed!BJ6/$AS$3</f>
        <v>0.14502681211104032</v>
      </c>
      <c r="AA6" s="33">
        <f>lc_detailed!BK6/$AS$3</f>
        <v>0</v>
      </c>
      <c r="AB6" s="33">
        <f>lc_detailed!BL6/$AS$3</f>
        <v>14.800427815063955</v>
      </c>
      <c r="AC6" s="33">
        <f>lc_detailed!BM6/$AS$3</f>
        <v>0.41273547391800947</v>
      </c>
      <c r="AD6" s="33">
        <f>lc_detailed!BN6/$AS$3</f>
        <v>0.8288013034403614</v>
      </c>
      <c r="AE6" s="33">
        <f>lc_detailed!BO6/$AS$3</f>
        <v>0.25972008040490513</v>
      </c>
      <c r="AF6" s="33">
        <f>lc_detailed!BP6/$AS$3</f>
        <v>0</v>
      </c>
      <c r="AG6" s="33">
        <f>lc_detailed!BQ6/$AS$3</f>
        <v>0.24969769997021227</v>
      </c>
      <c r="AH6" s="33">
        <f>lc_detailed!BR6/$AS$3</f>
        <v>1.8656909266504809</v>
      </c>
      <c r="AI6" s="33">
        <f>lc_detailed!BS6/$AS$3</f>
        <v>3.4649122793943513E-2</v>
      </c>
      <c r="AJ6" s="33">
        <f>lc_detailed!BT6/$AS$3</f>
        <v>7.6055101643215739</v>
      </c>
      <c r="AK6" s="33">
        <f>lc_detailed!BV6/$AS$3</f>
        <v>0</v>
      </c>
      <c r="AL6" s="33">
        <f>lc_detailed!BW6/$AS$3</f>
        <v>-8.4102014092105168</v>
      </c>
      <c r="AM6" s="33">
        <f>lc_detailed!BU6/$AS$3</f>
        <v>-6.885964912280694E-2</v>
      </c>
      <c r="AN6" s="33">
        <f>lc_detailed!BB6</f>
        <v>817.15010536384921</v>
      </c>
      <c r="AO6" s="33">
        <f t="shared" si="0"/>
        <v>17.919958450961609</v>
      </c>
      <c r="AP6" s="33">
        <f t="shared" si="3"/>
        <v>817.15010536384943</v>
      </c>
    </row>
    <row r="7" spans="2:46" ht="32" customHeight="1" x14ac:dyDescent="0.2">
      <c r="B7" s="26" t="str">
        <f>lc_detailed!AZ7</f>
        <v>CA_Ethanol_Dehydration_H2fuel</v>
      </c>
      <c r="C7" s="31">
        <f>lc_detailed!BH7/$AS$3</f>
        <v>0.30804920915009643</v>
      </c>
      <c r="D7" s="31">
        <f>lc_detailed!BI7/$AS$3</f>
        <v>0.12790046149763876</v>
      </c>
      <c r="E7" s="31">
        <f>lc_detailed!BJ7/$AS$3</f>
        <v>0.14502681211104032</v>
      </c>
      <c r="F7" s="31">
        <f>lc_detailed!BK7/$AS$3</f>
        <v>0</v>
      </c>
      <c r="G7" s="31">
        <f>lc_detailed!BL7/$AS$3</f>
        <v>14.800427815063955</v>
      </c>
      <c r="H7" s="31">
        <f>lc_detailed!BM7/$AS$3</f>
        <v>0</v>
      </c>
      <c r="I7" s="31">
        <f>lc_detailed!BN7/$AS$3</f>
        <v>0.8288013034403614</v>
      </c>
      <c r="J7" s="31">
        <f>lc_detailed!BO7/$AS$3</f>
        <v>0.25972008040490513</v>
      </c>
      <c r="K7" s="31">
        <f>lc_detailed!BP7/$AS$3</f>
        <v>0</v>
      </c>
      <c r="L7" s="31">
        <f>lc_detailed!BQ7/$AS$3</f>
        <v>0.24969769997021227</v>
      </c>
      <c r="M7" s="31">
        <f>lc_detailed!BR7/$AS$3</f>
        <v>1.8656909266504809</v>
      </c>
      <c r="N7" s="31">
        <f>lc_detailed!BS7/$AS$3</f>
        <v>3.4649122793943513E-2</v>
      </c>
      <c r="O7" s="31">
        <f>lc_detailed!BT7/$AS$3</f>
        <v>7.6055101643215739</v>
      </c>
      <c r="P7" s="31">
        <f>lc_detailed!CB7/$AS$3</f>
        <v>0</v>
      </c>
      <c r="Q7" s="31">
        <f>lc_detailed!CC7/$AS$3</f>
        <v>0</v>
      </c>
      <c r="R7" s="31">
        <f>lc_detailed!CA7/$AS$3</f>
        <v>0</v>
      </c>
      <c r="S7" s="32">
        <f>lc_detailed!BE7</f>
        <v>1195.881595950432</v>
      </c>
      <c r="T7" s="32">
        <f t="shared" si="1"/>
        <v>26.225473595404203</v>
      </c>
      <c r="U7" s="32">
        <f t="shared" si="2"/>
        <v>1195.8815959504318</v>
      </c>
      <c r="W7" s="27" t="str">
        <f>lc_detailed!AZ7</f>
        <v>CA_Ethanol_Dehydration_H2fuel</v>
      </c>
      <c r="X7" s="33">
        <f>lc_detailed!BH7/$AS$3</f>
        <v>0.30804920915009643</v>
      </c>
      <c r="Y7" s="33">
        <f>lc_detailed!BI7/$AS$3</f>
        <v>0.12790046149763876</v>
      </c>
      <c r="Z7" s="33">
        <f>lc_detailed!BJ7/$AS$3</f>
        <v>0.14502681211104032</v>
      </c>
      <c r="AA7" s="33">
        <f>lc_detailed!BK7/$AS$3</f>
        <v>0</v>
      </c>
      <c r="AB7" s="33">
        <f>lc_detailed!BL7/$AS$3</f>
        <v>14.800427815063955</v>
      </c>
      <c r="AC7" s="33">
        <f>lc_detailed!BM7/$AS$3</f>
        <v>0</v>
      </c>
      <c r="AD7" s="33">
        <f>lc_detailed!BN7/$AS$3</f>
        <v>0.8288013034403614</v>
      </c>
      <c r="AE7" s="33">
        <f>lc_detailed!BO7/$AS$3</f>
        <v>0.25972008040490513</v>
      </c>
      <c r="AF7" s="33">
        <f>lc_detailed!BP7/$AS$3</f>
        <v>0</v>
      </c>
      <c r="AG7" s="33">
        <f>lc_detailed!BQ7/$AS$3</f>
        <v>0.24969769997021227</v>
      </c>
      <c r="AH7" s="33">
        <f>lc_detailed!BR7/$AS$3</f>
        <v>1.8656909266504809</v>
      </c>
      <c r="AI7" s="33">
        <f>lc_detailed!BS7/$AS$3</f>
        <v>3.4649122793943513E-2</v>
      </c>
      <c r="AJ7" s="33">
        <f>lc_detailed!BT7/$AS$3</f>
        <v>7.6055101643215739</v>
      </c>
      <c r="AK7" s="33">
        <f>lc_detailed!BV7/$AS$3</f>
        <v>0</v>
      </c>
      <c r="AL7" s="33">
        <f>lc_detailed!BW7/$AS$3</f>
        <v>-8.4102014092105257</v>
      </c>
      <c r="AM7" s="33">
        <f>lc_detailed!BU7/$AS$3</f>
        <v>-6.8859649122807023E-2</v>
      </c>
      <c r="AN7" s="33">
        <f>lc_detailed!BB7</f>
        <v>812.37641169043195</v>
      </c>
      <c r="AO7" s="33">
        <f t="shared" si="0"/>
        <v>17.815272186193678</v>
      </c>
      <c r="AP7" s="33">
        <f t="shared" si="3"/>
        <v>812.37641169043172</v>
      </c>
    </row>
    <row r="8" spans="2:46" ht="32" customHeight="1" x14ac:dyDescent="0.2">
      <c r="B8" s="26" t="str">
        <f>lc_detailed!AZ8</f>
        <v>SE_Ethanol_Dehydration_NGfuel_ethanol_biochemical</v>
      </c>
      <c r="C8" s="31">
        <f>lc_detailed!BH8/$AS$3</f>
        <v>0</v>
      </c>
      <c r="D8" s="31">
        <f>lc_detailed!BI8/$AS$3</f>
        <v>0.13417904339355152</v>
      </c>
      <c r="E8" s="31">
        <f>lc_detailed!BJ8/$AS$3</f>
        <v>0</v>
      </c>
      <c r="F8" s="31">
        <f>lc_detailed!BK8/$AS$3</f>
        <v>-0.65401543344053303</v>
      </c>
      <c r="G8" s="31">
        <f>lc_detailed!BL8/$AS$3</f>
        <v>11.981390717318295</v>
      </c>
      <c r="H8" s="31">
        <f>lc_detailed!BM8/$AS$3</f>
        <v>0.16956915850640997</v>
      </c>
      <c r="I8" s="31">
        <f>lc_detailed!BN8/$AS$3</f>
        <v>0</v>
      </c>
      <c r="J8" s="31">
        <f>lc_detailed!BO8/$AS$3</f>
        <v>0.25972008040490513</v>
      </c>
      <c r="K8" s="31">
        <f>lc_detailed!BP8/$AS$3</f>
        <v>16.714311159468846</v>
      </c>
      <c r="L8" s="31">
        <f>lc_detailed!BQ8/$AS$3</f>
        <v>0.24969769997021227</v>
      </c>
      <c r="M8" s="31">
        <f>lc_detailed!BR8/$AS$3</f>
        <v>4.9640505619899065</v>
      </c>
      <c r="N8" s="31">
        <f>lc_detailed!BS8/$AS$3</f>
        <v>3.4649122793943513E-2</v>
      </c>
      <c r="O8" s="31">
        <f>lc_detailed!BT8/$AS$3</f>
        <v>11.17572229910791</v>
      </c>
      <c r="P8" s="31">
        <f>lc_detailed!CB8/$AS$3</f>
        <v>0</v>
      </c>
      <c r="Q8" s="31">
        <f>lc_detailed!CC8/$AS$3</f>
        <v>0</v>
      </c>
      <c r="R8" s="31">
        <f>lc_detailed!CA8/$AS$3</f>
        <v>0</v>
      </c>
      <c r="S8" s="32">
        <f>lc_detailed!BE8</f>
        <v>2053.3349130738134</v>
      </c>
      <c r="T8" s="32">
        <f t="shared" si="1"/>
        <v>45.029274409513448</v>
      </c>
      <c r="U8" s="32">
        <f t="shared" si="2"/>
        <v>2053.3349130738134</v>
      </c>
      <c r="W8" s="27" t="str">
        <f>lc_detailed!AZ8</f>
        <v>SE_Ethanol_Dehydration_NGfuel_ethanol_biochemical</v>
      </c>
      <c r="X8" s="33">
        <f>lc_detailed!BH8/$AS$3</f>
        <v>0</v>
      </c>
      <c r="Y8" s="33">
        <f>lc_detailed!BI8/$AS$3</f>
        <v>0.13417904339355152</v>
      </c>
      <c r="Z8" s="33">
        <f>lc_detailed!BJ8/$AS$3</f>
        <v>0</v>
      </c>
      <c r="AA8" s="33">
        <f>lc_detailed!BK8/$AS$3</f>
        <v>-0.65401543344053303</v>
      </c>
      <c r="AB8" s="33">
        <f>lc_detailed!BL8/$AS$3</f>
        <v>11.981390717318295</v>
      </c>
      <c r="AC8" s="33">
        <f>lc_detailed!BM8/$AS$3</f>
        <v>0.16956915850640997</v>
      </c>
      <c r="AD8" s="33">
        <f>lc_detailed!BN8/$AS$3</f>
        <v>0</v>
      </c>
      <c r="AE8" s="33">
        <f>lc_detailed!BO8/$AS$3</f>
        <v>0.25972008040490513</v>
      </c>
      <c r="AF8" s="33">
        <f>lc_detailed!BP8/$AS$3</f>
        <v>16.714311159468846</v>
      </c>
      <c r="AG8" s="33">
        <f>lc_detailed!BQ8/$AS$3</f>
        <v>0.24969769997021227</v>
      </c>
      <c r="AH8" s="33">
        <f>lc_detailed!BR8/$AS$3</f>
        <v>4.9640505619899065</v>
      </c>
      <c r="AI8" s="33">
        <f>lc_detailed!BS8/$AS$3</f>
        <v>3.4649122793943513E-2</v>
      </c>
      <c r="AJ8" s="33">
        <f>lc_detailed!BT8/$AS$3</f>
        <v>11.17572229910791</v>
      </c>
      <c r="AK8" s="33">
        <f>lc_detailed!BV8/$AS$3</f>
        <v>0</v>
      </c>
      <c r="AL8" s="33">
        <f>lc_detailed!BW8/$AS$3</f>
        <v>-8.4102014092105257</v>
      </c>
      <c r="AM8" s="33">
        <f>lc_detailed!BU8/$AS$3</f>
        <v>-6.8859649122807023E-2</v>
      </c>
      <c r="AN8" s="33">
        <f>lc_detailed!BB8</f>
        <v>1669.8297288138133</v>
      </c>
      <c r="AO8" s="33">
        <f t="shared" si="0"/>
        <v>36.619073000302919</v>
      </c>
      <c r="AP8" s="33">
        <f t="shared" si="3"/>
        <v>1669.8297288138131</v>
      </c>
    </row>
    <row r="9" spans="2:46" ht="32" customHeight="1" x14ac:dyDescent="0.2">
      <c r="B9" s="26" t="str">
        <f>lc_detailed!AZ9</f>
        <v>SE_Ethanol_Dehydration_H2fuel_ethanol_biochemical</v>
      </c>
      <c r="C9" s="31">
        <f>lc_detailed!BH9/$AS$3</f>
        <v>0.30171339336527736</v>
      </c>
      <c r="D9" s="31">
        <f>lc_detailed!BI9/$AS$3</f>
        <v>0.13417904339355152</v>
      </c>
      <c r="E9" s="31">
        <f>lc_detailed!BJ9/$AS$3</f>
        <v>0</v>
      </c>
      <c r="F9" s="31">
        <f>lc_detailed!BK9/$AS$3</f>
        <v>-0.65401543344053303</v>
      </c>
      <c r="G9" s="31">
        <f>lc_detailed!BL9/$AS$3</f>
        <v>11.981390717318295</v>
      </c>
      <c r="H9" s="31">
        <f>lc_detailed!BM9/$AS$3</f>
        <v>0</v>
      </c>
      <c r="I9" s="31">
        <f>lc_detailed!BN9/$AS$3</f>
        <v>0</v>
      </c>
      <c r="J9" s="31">
        <f>lc_detailed!BO9/$AS$3</f>
        <v>0.25972008040490513</v>
      </c>
      <c r="K9" s="31">
        <f>lc_detailed!BP9/$AS$3</f>
        <v>16.714311159468846</v>
      </c>
      <c r="L9" s="31">
        <f>lc_detailed!BQ9/$AS$3</f>
        <v>0.24969769997021227</v>
      </c>
      <c r="M9" s="31">
        <f>lc_detailed!BR9/$AS$3</f>
        <v>4.9640505619899065</v>
      </c>
      <c r="N9" s="31">
        <f>lc_detailed!BS9/$AS$3</f>
        <v>3.4649122793943513E-2</v>
      </c>
      <c r="O9" s="31">
        <f>lc_detailed!BT9/$AS$3</f>
        <v>11.17572229910791</v>
      </c>
      <c r="P9" s="31">
        <f>lc_detailed!CB9/$AS$3</f>
        <v>0</v>
      </c>
      <c r="Q9" s="31">
        <f>lc_detailed!CC9/$AS$3</f>
        <v>0</v>
      </c>
      <c r="R9" s="31">
        <f>lc_detailed!CA9/$AS$3</f>
        <v>0</v>
      </c>
      <c r="S9" s="32">
        <f>lc_detailed!BE9</f>
        <v>2059.3606901833773</v>
      </c>
      <c r="T9" s="32">
        <f t="shared" si="1"/>
        <v>45.161418644372318</v>
      </c>
      <c r="U9" s="32">
        <f t="shared" si="2"/>
        <v>2059.3606901833778</v>
      </c>
      <c r="W9" s="27" t="str">
        <f>lc_detailed!AZ9</f>
        <v>SE_Ethanol_Dehydration_H2fuel_ethanol_biochemical</v>
      </c>
      <c r="X9" s="33">
        <f>lc_detailed!BH9/$AS$3</f>
        <v>0.30171339336527736</v>
      </c>
      <c r="Y9" s="33">
        <f>lc_detailed!BI9/$AS$3</f>
        <v>0.13417904339355152</v>
      </c>
      <c r="Z9" s="33">
        <f>lc_detailed!BJ9/$AS$3</f>
        <v>0</v>
      </c>
      <c r="AA9" s="33">
        <f>lc_detailed!BK9/$AS$3</f>
        <v>-0.65401543344053303</v>
      </c>
      <c r="AB9" s="33">
        <f>lc_detailed!BL9/$AS$3</f>
        <v>11.981390717318295</v>
      </c>
      <c r="AC9" s="33">
        <f>lc_detailed!BM9/$AS$3</f>
        <v>0</v>
      </c>
      <c r="AD9" s="33">
        <f>lc_detailed!BN9/$AS$3</f>
        <v>0</v>
      </c>
      <c r="AE9" s="33">
        <f>lc_detailed!BO9/$AS$3</f>
        <v>0.25972008040490513</v>
      </c>
      <c r="AF9" s="33">
        <f>lc_detailed!BP9/$AS$3</f>
        <v>16.714311159468846</v>
      </c>
      <c r="AG9" s="33">
        <f>lc_detailed!BQ9/$AS$3</f>
        <v>0.24969769997021227</v>
      </c>
      <c r="AH9" s="33">
        <f>lc_detailed!BR9/$AS$3</f>
        <v>4.9640505619899065</v>
      </c>
      <c r="AI9" s="33">
        <f>lc_detailed!BS9/$AS$3</f>
        <v>3.4649122793943513E-2</v>
      </c>
      <c r="AJ9" s="33">
        <f>lc_detailed!BT9/$AS$3</f>
        <v>11.17572229910791</v>
      </c>
      <c r="AK9" s="33">
        <f>lc_detailed!BV9/$AS$3</f>
        <v>0</v>
      </c>
      <c r="AL9" s="33">
        <f>lc_detailed!BW9/$AS$3</f>
        <v>-8.4102014092105257</v>
      </c>
      <c r="AM9" s="33">
        <f>lc_detailed!BU9/$AS$3</f>
        <v>-6.8859649122807023E-2</v>
      </c>
      <c r="AN9" s="33">
        <f>lc_detailed!BB9</f>
        <v>1675.8555059233772</v>
      </c>
      <c r="AO9" s="33">
        <f t="shared" si="0"/>
        <v>36.751217235161789</v>
      </c>
      <c r="AP9" s="33">
        <f t="shared" si="3"/>
        <v>1675.8555059233777</v>
      </c>
    </row>
    <row r="10" spans="2:46" ht="32" customHeight="1" x14ac:dyDescent="0.2">
      <c r="B10" s="26" t="str">
        <f>lc_detailed!AZ10</f>
        <v>CA_Ethanol_Dehydration_NGfuel_ethanol_biochemical</v>
      </c>
      <c r="C10" s="31">
        <f>lc_detailed!BH10/$AS$3</f>
        <v>0</v>
      </c>
      <c r="D10" s="31">
        <f>lc_detailed!BI10/$AS$3</f>
        <v>0.12790046149763876</v>
      </c>
      <c r="E10" s="31">
        <f>lc_detailed!BJ10/$AS$3</f>
        <v>0</v>
      </c>
      <c r="F10" s="31">
        <f>lc_detailed!BK10/$AS$3</f>
        <v>-0.62341237236486724</v>
      </c>
      <c r="G10" s="31">
        <f>lc_detailed!BL10/$AS$3</f>
        <v>14.614183152615643</v>
      </c>
      <c r="H10" s="31">
        <f>lc_detailed!BM10/$AS$3</f>
        <v>0.41273547391800947</v>
      </c>
      <c r="I10" s="31">
        <f>lc_detailed!BN10/$AS$3</f>
        <v>0</v>
      </c>
      <c r="J10" s="31">
        <f>lc_detailed!BO10/$AS$3</f>
        <v>0.25972008040490513</v>
      </c>
      <c r="K10" s="31">
        <f>lc_detailed!BP10/$AS$3</f>
        <v>16.714311159468846</v>
      </c>
      <c r="L10" s="31">
        <f>lc_detailed!BQ10/$AS$3</f>
        <v>0.24969769997021227</v>
      </c>
      <c r="M10" s="31">
        <f>lc_detailed!BR10/$AS$3</f>
        <v>4.9640505619899065</v>
      </c>
      <c r="N10" s="31">
        <f>lc_detailed!BS10/$AS$3</f>
        <v>3.4649122793943513E-2</v>
      </c>
      <c r="O10" s="31">
        <f>lc_detailed!BT10/$AS$3</f>
        <v>11.17572229910791</v>
      </c>
      <c r="P10" s="31">
        <f>lc_detailed!CB10/$AS$3</f>
        <v>0</v>
      </c>
      <c r="Q10" s="31">
        <f>lc_detailed!CC10/$AS$3</f>
        <v>0</v>
      </c>
      <c r="R10" s="31">
        <f>lc_detailed!CA10/$AS$3</f>
        <v>0</v>
      </c>
      <c r="S10" s="32">
        <f>lc_detailed!BE10</f>
        <v>2185.5878283567381</v>
      </c>
      <c r="T10" s="32">
        <f t="shared" si="1"/>
        <v>47.929557639402148</v>
      </c>
      <c r="U10" s="32">
        <f t="shared" si="2"/>
        <v>2185.5878283567381</v>
      </c>
      <c r="W10" s="27" t="str">
        <f>lc_detailed!AZ10</f>
        <v>CA_Ethanol_Dehydration_NGfuel_ethanol_biochemical</v>
      </c>
      <c r="X10" s="33">
        <f>lc_detailed!BH10/$AS$3</f>
        <v>0</v>
      </c>
      <c r="Y10" s="33">
        <f>lc_detailed!BI10/$AS$3</f>
        <v>0.12790046149763876</v>
      </c>
      <c r="Z10" s="33">
        <f>lc_detailed!BJ10/$AS$3</f>
        <v>0</v>
      </c>
      <c r="AA10" s="33">
        <f>lc_detailed!BK10/$AS$3</f>
        <v>-0.62341237236486724</v>
      </c>
      <c r="AB10" s="33">
        <f>lc_detailed!BL10/$AS$3</f>
        <v>14.614183152615643</v>
      </c>
      <c r="AC10" s="33">
        <f>lc_detailed!BM10/$AS$3</f>
        <v>0.41273547391800947</v>
      </c>
      <c r="AD10" s="33">
        <f>lc_detailed!BN10/$AS$3</f>
        <v>0</v>
      </c>
      <c r="AE10" s="33">
        <f>lc_detailed!BO10/$AS$3</f>
        <v>0.25972008040490513</v>
      </c>
      <c r="AF10" s="33">
        <f>lc_detailed!BP10/$AS$3</f>
        <v>16.714311159468846</v>
      </c>
      <c r="AG10" s="33">
        <f>lc_detailed!BQ10/$AS$3</f>
        <v>0.24969769997021227</v>
      </c>
      <c r="AH10" s="33">
        <f>lc_detailed!BR10/$AS$3</f>
        <v>4.9640505619899065</v>
      </c>
      <c r="AI10" s="33">
        <f>lc_detailed!BS10/$AS$3</f>
        <v>3.4649122793943513E-2</v>
      </c>
      <c r="AJ10" s="33">
        <f>lc_detailed!BT10/$AS$3</f>
        <v>11.17572229910791</v>
      </c>
      <c r="AK10" s="33">
        <f>lc_detailed!BV10/$AS$3</f>
        <v>0</v>
      </c>
      <c r="AL10" s="33">
        <f>lc_detailed!BW10/$AS$3</f>
        <v>-8.4102014092105257</v>
      </c>
      <c r="AM10" s="33">
        <f>lc_detailed!BU10/$AS$3</f>
        <v>-6.8859649122807023E-2</v>
      </c>
      <c r="AN10" s="33">
        <f>lc_detailed!BB10</f>
        <v>1802.082644096738</v>
      </c>
      <c r="AO10" s="33">
        <f t="shared" si="0"/>
        <v>39.519356230191619</v>
      </c>
      <c r="AP10" s="33">
        <f t="shared" si="3"/>
        <v>1802.0826440967378</v>
      </c>
    </row>
    <row r="11" spans="2:46" ht="32" customHeight="1" x14ac:dyDescent="0.2">
      <c r="B11" s="26" t="str">
        <f>lc_detailed!AZ11</f>
        <v>CA_Ethanol_Dehydration_H2fuel_ethanol_biochemical</v>
      </c>
      <c r="C11" s="31">
        <f>lc_detailed!BH11/$AS$3</f>
        <v>0.30804920915009643</v>
      </c>
      <c r="D11" s="31">
        <f>lc_detailed!BI11/$AS$3</f>
        <v>0.12790046149763876</v>
      </c>
      <c r="E11" s="31">
        <f>lc_detailed!BJ11/$AS$3</f>
        <v>0</v>
      </c>
      <c r="F11" s="31">
        <f>lc_detailed!BK11/$AS$3</f>
        <v>-0.62341237236486724</v>
      </c>
      <c r="G11" s="31">
        <f>lc_detailed!BL11/$AS$3</f>
        <v>14.614183152615643</v>
      </c>
      <c r="H11" s="31">
        <f>lc_detailed!BM11/$AS$3</f>
        <v>0</v>
      </c>
      <c r="I11" s="31">
        <f>lc_detailed!BN11/$AS$3</f>
        <v>0</v>
      </c>
      <c r="J11" s="31">
        <f>lc_detailed!BO11/$AS$3</f>
        <v>0.25972008040490513</v>
      </c>
      <c r="K11" s="31">
        <f>lc_detailed!BP11/$AS$3</f>
        <v>16.714311159468846</v>
      </c>
      <c r="L11" s="31">
        <f>lc_detailed!BQ11/$AS$3</f>
        <v>0.24969769997021227</v>
      </c>
      <c r="M11" s="31">
        <f>lc_detailed!BR11/$AS$3</f>
        <v>4.9640505619899065</v>
      </c>
      <c r="N11" s="31">
        <f>lc_detailed!BS11/$AS$3</f>
        <v>3.4649122793943513E-2</v>
      </c>
      <c r="O11" s="31">
        <f>lc_detailed!BT11/$AS$3</f>
        <v>11.17572229910791</v>
      </c>
      <c r="P11" s="31">
        <f>lc_detailed!CB11/$AS$3</f>
        <v>0</v>
      </c>
      <c r="Q11" s="31">
        <f>lc_detailed!CC11/$AS$3</f>
        <v>0</v>
      </c>
      <c r="R11" s="31">
        <f>lc_detailed!CA11/$AS$3</f>
        <v>0</v>
      </c>
      <c r="S11" s="32">
        <f>lc_detailed!BE11</f>
        <v>2180.8141346833208</v>
      </c>
      <c r="T11" s="32">
        <f t="shared" si="1"/>
        <v>47.824871374634235</v>
      </c>
      <c r="U11" s="32">
        <f t="shared" si="2"/>
        <v>2180.8141346833213</v>
      </c>
      <c r="W11" s="27" t="str">
        <f>lc_detailed!AZ11</f>
        <v>CA_Ethanol_Dehydration_H2fuel_ethanol_biochemical</v>
      </c>
      <c r="X11" s="33">
        <f>lc_detailed!BH11/$AS$3</f>
        <v>0.30804920915009643</v>
      </c>
      <c r="Y11" s="33">
        <f>lc_detailed!BI11/$AS$3</f>
        <v>0.12790046149763876</v>
      </c>
      <c r="Z11" s="33">
        <f>lc_detailed!BJ11/$AS$3</f>
        <v>0</v>
      </c>
      <c r="AA11" s="33">
        <f>lc_detailed!BK11/$AS$3</f>
        <v>-0.62341237236486724</v>
      </c>
      <c r="AB11" s="33">
        <f>lc_detailed!BL11/$AS$3</f>
        <v>14.614183152615643</v>
      </c>
      <c r="AC11" s="33">
        <f>lc_detailed!BM11/$AS$3</f>
        <v>0</v>
      </c>
      <c r="AD11" s="33">
        <f>lc_detailed!BN11/$AS$3</f>
        <v>0</v>
      </c>
      <c r="AE11" s="33">
        <f>lc_detailed!BO11/$AS$3</f>
        <v>0.25972008040490513</v>
      </c>
      <c r="AF11" s="33">
        <f>lc_detailed!BP11/$AS$3</f>
        <v>16.714311159468846</v>
      </c>
      <c r="AG11" s="33">
        <f>lc_detailed!BQ11/$AS$3</f>
        <v>0.24969769997021227</v>
      </c>
      <c r="AH11" s="33">
        <f>lc_detailed!BR11/$AS$3</f>
        <v>4.9640505619899065</v>
      </c>
      <c r="AI11" s="33">
        <f>lc_detailed!BS11/$AS$3</f>
        <v>3.4649122793943513E-2</v>
      </c>
      <c r="AJ11" s="33">
        <f>lc_detailed!BT11/$AS$3</f>
        <v>11.17572229910791</v>
      </c>
      <c r="AK11" s="33">
        <f>lc_detailed!BV11/$AS$3</f>
        <v>0</v>
      </c>
      <c r="AL11" s="33">
        <f>lc_detailed!BW11/$AS$3</f>
        <v>-8.4102014092105257</v>
      </c>
      <c r="AM11" s="33">
        <f>lc_detailed!BU11/$AS$3</f>
        <v>-6.8859649122807023E-2</v>
      </c>
      <c r="AN11" s="33">
        <f>lc_detailed!BB11</f>
        <v>1797.3089504233208</v>
      </c>
      <c r="AO11" s="33">
        <f t="shared" si="0"/>
        <v>39.414669965423712</v>
      </c>
      <c r="AP11" s="33">
        <f t="shared" si="3"/>
        <v>1797.3089504233214</v>
      </c>
    </row>
    <row r="12" spans="2:46" ht="17" customHeight="1" x14ac:dyDescent="0.2">
      <c r="B12" s="26">
        <f>lc_detailed!AZ12</f>
        <v>0</v>
      </c>
      <c r="C12" s="31">
        <f>lc_detailed!BH12/$AS$3</f>
        <v>0</v>
      </c>
      <c r="D12" s="31">
        <f>lc_detailed!BI12/$AS$3</f>
        <v>0</v>
      </c>
      <c r="E12" s="31">
        <f>lc_detailed!BJ12/$AS$3</f>
        <v>0</v>
      </c>
      <c r="F12" s="31">
        <f>lc_detailed!BK12/$AS$3</f>
        <v>0</v>
      </c>
      <c r="G12" s="31">
        <f>lc_detailed!BL12/$AS$3</f>
        <v>0</v>
      </c>
      <c r="H12" s="31">
        <f>lc_detailed!BM12/$AS$3</f>
        <v>0</v>
      </c>
      <c r="I12" s="31">
        <f>lc_detailed!BN12/$AS$3</f>
        <v>0</v>
      </c>
      <c r="J12" s="31">
        <f>lc_detailed!BO12/$AS$3</f>
        <v>0</v>
      </c>
      <c r="K12" s="31">
        <f>lc_detailed!BP12/$AS$3</f>
        <v>0</v>
      </c>
      <c r="L12" s="31">
        <f>lc_detailed!BQ12/$AS$3</f>
        <v>0</v>
      </c>
      <c r="M12" s="31">
        <f>lc_detailed!BR12/$AS$3</f>
        <v>0</v>
      </c>
      <c r="N12" s="31">
        <f>lc_detailed!BS12/$AS$3</f>
        <v>0</v>
      </c>
      <c r="O12" s="31">
        <f>lc_detailed!BT12/$AS$3</f>
        <v>0</v>
      </c>
      <c r="P12" s="31">
        <f>lc_detailed!CB12/$AS$3</f>
        <v>0</v>
      </c>
      <c r="Q12" s="31">
        <f>lc_detailed!CC12/$AS$3</f>
        <v>0</v>
      </c>
      <c r="R12" s="31">
        <f>lc_detailed!CA12/$AS$3</f>
        <v>0</v>
      </c>
      <c r="S12" s="32">
        <f>lc_detailed!BE12</f>
        <v>0</v>
      </c>
      <c r="T12" s="32">
        <f t="shared" si="1"/>
        <v>0</v>
      </c>
      <c r="U12" s="32">
        <f t="shared" si="2"/>
        <v>0</v>
      </c>
      <c r="W12" s="27">
        <f>lc_detailed!AZ12</f>
        <v>0</v>
      </c>
      <c r="X12" s="33">
        <f>lc_detailed!BH12/$AS$3</f>
        <v>0</v>
      </c>
      <c r="Y12" s="33">
        <f>lc_detailed!BI12/$AS$3</f>
        <v>0</v>
      </c>
      <c r="Z12" s="33">
        <f>lc_detailed!BJ12/$AS$3</f>
        <v>0</v>
      </c>
      <c r="AA12" s="33">
        <f>lc_detailed!BK12/$AS$3</f>
        <v>0</v>
      </c>
      <c r="AB12" s="33">
        <f>lc_detailed!BL12/$AS$3</f>
        <v>0</v>
      </c>
      <c r="AC12" s="33">
        <f>lc_detailed!BM12/$AS$3</f>
        <v>0</v>
      </c>
      <c r="AD12" s="33">
        <f>lc_detailed!BN12/$AS$3</f>
        <v>0</v>
      </c>
      <c r="AE12" s="33">
        <f>lc_detailed!BO12/$AS$3</f>
        <v>0</v>
      </c>
      <c r="AF12" s="33">
        <f>lc_detailed!BP12/$AS$3</f>
        <v>0</v>
      </c>
      <c r="AG12" s="33">
        <f>lc_detailed!BQ12/$AS$3</f>
        <v>0</v>
      </c>
      <c r="AH12" s="33">
        <f>lc_detailed!BR12/$AS$3</f>
        <v>0</v>
      </c>
      <c r="AI12" s="33">
        <f>lc_detailed!BS12/$AS$3</f>
        <v>0</v>
      </c>
      <c r="AJ12" s="33">
        <f>lc_detailed!BT12/$AS$3</f>
        <v>0</v>
      </c>
      <c r="AK12" s="33">
        <f>lc_detailed!BV12/$AS$3</f>
        <v>0</v>
      </c>
      <c r="AL12" s="33">
        <f>lc_detailed!BW12/$AS$3</f>
        <v>0</v>
      </c>
      <c r="AM12" s="33">
        <f>lc_detailed!BU12/$AS$3</f>
        <v>0</v>
      </c>
      <c r="AN12" s="33">
        <f>lc_detailed!BB12</f>
        <v>0</v>
      </c>
      <c r="AO12" s="33">
        <f t="shared" si="0"/>
        <v>0</v>
      </c>
      <c r="AP12" s="33">
        <f t="shared" si="3"/>
        <v>0</v>
      </c>
    </row>
    <row r="13" spans="2:46" ht="17" customHeight="1" x14ac:dyDescent="0.2">
      <c r="B13" s="26">
        <f>lc_detailed!AZ13</f>
        <v>0</v>
      </c>
      <c r="C13" s="31">
        <f>lc_detailed!BH13/$AS$3</f>
        <v>0</v>
      </c>
      <c r="D13" s="31">
        <f>lc_detailed!BI13/$AS$3</f>
        <v>0</v>
      </c>
      <c r="E13" s="31">
        <f>lc_detailed!BJ13/$AS$3</f>
        <v>0</v>
      </c>
      <c r="F13" s="31">
        <f>lc_detailed!BK13/$AS$3</f>
        <v>0</v>
      </c>
      <c r="G13" s="31">
        <f>lc_detailed!BL13/$AS$3</f>
        <v>0</v>
      </c>
      <c r="H13" s="31">
        <f>lc_detailed!BM13/$AS$3</f>
        <v>0</v>
      </c>
      <c r="I13" s="31">
        <f>lc_detailed!BN13/$AS$3</f>
        <v>0</v>
      </c>
      <c r="J13" s="31">
        <f>lc_detailed!BO13/$AS$3</f>
        <v>0</v>
      </c>
      <c r="K13" s="31">
        <f>lc_detailed!BP13/$AS$3</f>
        <v>0</v>
      </c>
      <c r="L13" s="31">
        <f>lc_detailed!BQ13/$AS$3</f>
        <v>0</v>
      </c>
      <c r="M13" s="31">
        <f>lc_detailed!BR13/$AS$3</f>
        <v>0</v>
      </c>
      <c r="N13" s="31">
        <f>lc_detailed!BS13/$AS$3</f>
        <v>0</v>
      </c>
      <c r="O13" s="31">
        <f>lc_detailed!BT13/$AS$3</f>
        <v>0</v>
      </c>
      <c r="P13" s="31">
        <f>lc_detailed!CB13/$AS$3</f>
        <v>0</v>
      </c>
      <c r="Q13" s="31">
        <f>lc_detailed!CC13/$AS$3</f>
        <v>0</v>
      </c>
      <c r="R13" s="31">
        <f>lc_detailed!CA13/$AS$3</f>
        <v>0</v>
      </c>
      <c r="S13" s="32">
        <f>lc_detailed!BE13</f>
        <v>0</v>
      </c>
      <c r="T13" s="32">
        <f t="shared" si="1"/>
        <v>0</v>
      </c>
      <c r="U13" s="32">
        <f t="shared" si="2"/>
        <v>0</v>
      </c>
      <c r="W13" s="27">
        <f>lc_detailed!AZ13</f>
        <v>0</v>
      </c>
      <c r="X13" s="33">
        <f>lc_detailed!BH13/$AS$3</f>
        <v>0</v>
      </c>
      <c r="Y13" s="33">
        <f>lc_detailed!BI13/$AS$3</f>
        <v>0</v>
      </c>
      <c r="Z13" s="33">
        <f>lc_detailed!BJ13/$AS$3</f>
        <v>0</v>
      </c>
      <c r="AA13" s="33">
        <f>lc_detailed!BK13/$AS$3</f>
        <v>0</v>
      </c>
      <c r="AB13" s="33">
        <f>lc_detailed!BL13/$AS$3</f>
        <v>0</v>
      </c>
      <c r="AC13" s="33">
        <f>lc_detailed!BM13/$AS$3</f>
        <v>0</v>
      </c>
      <c r="AD13" s="33">
        <f>lc_detailed!BN13/$AS$3</f>
        <v>0</v>
      </c>
      <c r="AE13" s="33">
        <f>lc_detailed!BO13/$AS$3</f>
        <v>0</v>
      </c>
      <c r="AF13" s="33">
        <f>lc_detailed!BP13/$AS$3</f>
        <v>0</v>
      </c>
      <c r="AG13" s="33">
        <f>lc_detailed!BQ13/$AS$3</f>
        <v>0</v>
      </c>
      <c r="AH13" s="33">
        <f>lc_detailed!BR13/$AS$3</f>
        <v>0</v>
      </c>
      <c r="AI13" s="33">
        <f>lc_detailed!BS13/$AS$3</f>
        <v>0</v>
      </c>
      <c r="AJ13" s="33">
        <f>lc_detailed!BT13/$AS$3</f>
        <v>0</v>
      </c>
      <c r="AK13" s="33">
        <f>lc_detailed!BV13/$AS$3</f>
        <v>0</v>
      </c>
      <c r="AL13" s="33">
        <f>lc_detailed!BW13/$AS$3</f>
        <v>0</v>
      </c>
      <c r="AM13" s="33">
        <f>lc_detailed!BU13/$AS$3</f>
        <v>0</v>
      </c>
      <c r="AN13" s="33">
        <f>lc_detailed!BB13</f>
        <v>0</v>
      </c>
      <c r="AO13" s="33">
        <f t="shared" si="0"/>
        <v>0</v>
      </c>
      <c r="AP13" s="33">
        <f t="shared" si="3"/>
        <v>0</v>
      </c>
    </row>
    <row r="14" spans="2:46" ht="17" customHeight="1" x14ac:dyDescent="0.2">
      <c r="B14" s="26">
        <f>lc_detailed!AZ14</f>
        <v>0</v>
      </c>
      <c r="C14" s="31">
        <f>lc_detailed!BH14/$AS$3</f>
        <v>0</v>
      </c>
      <c r="D14" s="31">
        <f>lc_detailed!BI14/$AS$3</f>
        <v>0</v>
      </c>
      <c r="E14" s="31">
        <f>lc_detailed!BJ14/$AS$3</f>
        <v>0</v>
      </c>
      <c r="F14" s="31">
        <f>lc_detailed!BK14/$AS$3</f>
        <v>0</v>
      </c>
      <c r="G14" s="31">
        <f>lc_detailed!BL14/$AS$3</f>
        <v>0</v>
      </c>
      <c r="H14" s="31">
        <f>lc_detailed!BM14/$AS$3</f>
        <v>0</v>
      </c>
      <c r="I14" s="31">
        <f>lc_detailed!BN14/$AS$3</f>
        <v>0</v>
      </c>
      <c r="J14" s="31">
        <f>lc_detailed!BO14/$AS$3</f>
        <v>0</v>
      </c>
      <c r="K14" s="31">
        <f>lc_detailed!BP14/$AS$3</f>
        <v>0</v>
      </c>
      <c r="L14" s="31">
        <f>lc_detailed!BQ14/$AS$3</f>
        <v>0</v>
      </c>
      <c r="M14" s="31">
        <f>lc_detailed!BR14/$AS$3</f>
        <v>0</v>
      </c>
      <c r="N14" s="31">
        <f>lc_detailed!BS14/$AS$3</f>
        <v>0</v>
      </c>
      <c r="O14" s="31">
        <f>lc_detailed!BT14/$AS$3</f>
        <v>0</v>
      </c>
      <c r="P14" s="31">
        <f>lc_detailed!CB14/$AS$3</f>
        <v>0</v>
      </c>
      <c r="Q14" s="31">
        <f>lc_detailed!CC14/$AS$3</f>
        <v>0</v>
      </c>
      <c r="R14" s="31">
        <f>lc_detailed!CA14/$AS$3</f>
        <v>0</v>
      </c>
      <c r="S14" s="32">
        <f>lc_detailed!BE14</f>
        <v>0</v>
      </c>
      <c r="T14" s="32">
        <f t="shared" si="1"/>
        <v>0</v>
      </c>
      <c r="U14" s="32">
        <f t="shared" si="2"/>
        <v>0</v>
      </c>
      <c r="W14" s="27">
        <f>lc_detailed!AZ14</f>
        <v>0</v>
      </c>
      <c r="X14" s="33">
        <f>lc_detailed!BH14/$AS$3</f>
        <v>0</v>
      </c>
      <c r="Y14" s="33">
        <f>lc_detailed!BI14/$AS$3</f>
        <v>0</v>
      </c>
      <c r="Z14" s="33">
        <f>lc_detailed!BJ14/$AS$3</f>
        <v>0</v>
      </c>
      <c r="AA14" s="33">
        <f>lc_detailed!BK14/$AS$3</f>
        <v>0</v>
      </c>
      <c r="AB14" s="33">
        <f>lc_detailed!BL14/$AS$3</f>
        <v>0</v>
      </c>
      <c r="AC14" s="33">
        <f>lc_detailed!BM14/$AS$3</f>
        <v>0</v>
      </c>
      <c r="AD14" s="33">
        <f>lc_detailed!BN14/$AS$3</f>
        <v>0</v>
      </c>
      <c r="AE14" s="33">
        <f>lc_detailed!BO14/$AS$3</f>
        <v>0</v>
      </c>
      <c r="AF14" s="33">
        <f>lc_detailed!BP14/$AS$3</f>
        <v>0</v>
      </c>
      <c r="AG14" s="33">
        <f>lc_detailed!BQ14/$AS$3</f>
        <v>0</v>
      </c>
      <c r="AH14" s="33">
        <f>lc_detailed!BR14/$AS$3</f>
        <v>0</v>
      </c>
      <c r="AI14" s="33">
        <f>lc_detailed!BS14/$AS$3</f>
        <v>0</v>
      </c>
      <c r="AJ14" s="33">
        <f>lc_detailed!BT14/$AS$3</f>
        <v>0</v>
      </c>
      <c r="AK14" s="33">
        <f>lc_detailed!BV14/$AS$3</f>
        <v>0</v>
      </c>
      <c r="AL14" s="33">
        <f>lc_detailed!BW14/$AS$3</f>
        <v>0</v>
      </c>
      <c r="AM14" s="33">
        <f>lc_detailed!BU14/$AS$3</f>
        <v>0</v>
      </c>
      <c r="AN14" s="33">
        <f>lc_detailed!BB14</f>
        <v>0</v>
      </c>
      <c r="AO14" s="33">
        <f t="shared" si="0"/>
        <v>0</v>
      </c>
      <c r="AP14" s="33">
        <f t="shared" si="3"/>
        <v>0</v>
      </c>
    </row>
    <row r="15" spans="2:46" ht="17" customHeight="1" x14ac:dyDescent="0.2">
      <c r="B15" s="26">
        <f>lc_detailed!AZ15</f>
        <v>0</v>
      </c>
      <c r="C15" s="31">
        <f>lc_detailed!BH15/$AS$3</f>
        <v>0</v>
      </c>
      <c r="D15" s="31">
        <f>lc_detailed!BI15/$AS$3</f>
        <v>0</v>
      </c>
      <c r="E15" s="31">
        <f>lc_detailed!BJ15/$AS$3</f>
        <v>0</v>
      </c>
      <c r="F15" s="31">
        <f>lc_detailed!BK15/$AS$3</f>
        <v>0</v>
      </c>
      <c r="G15" s="31">
        <f>lc_detailed!BL15/$AS$3</f>
        <v>0</v>
      </c>
      <c r="H15" s="31">
        <f>lc_detailed!BM15/$AS$3</f>
        <v>0</v>
      </c>
      <c r="I15" s="31">
        <f>lc_detailed!BN15/$AS$3</f>
        <v>0</v>
      </c>
      <c r="J15" s="31">
        <f>lc_detailed!BO15/$AS$3</f>
        <v>0</v>
      </c>
      <c r="K15" s="31">
        <f>lc_detailed!BP15/$AS$3</f>
        <v>0</v>
      </c>
      <c r="L15" s="31">
        <f>lc_detailed!BQ15/$AS$3</f>
        <v>0</v>
      </c>
      <c r="M15" s="31">
        <f>lc_detailed!BR15/$AS$3</f>
        <v>0</v>
      </c>
      <c r="N15" s="31">
        <f>lc_detailed!BS15/$AS$3</f>
        <v>0</v>
      </c>
      <c r="O15" s="31">
        <f>lc_detailed!BT15/$AS$3</f>
        <v>0</v>
      </c>
      <c r="P15" s="31">
        <f>lc_detailed!CB15/$AS$3</f>
        <v>0</v>
      </c>
      <c r="Q15" s="31">
        <f>lc_detailed!CC15/$AS$3</f>
        <v>0</v>
      </c>
      <c r="R15" s="31">
        <f>lc_detailed!CA15/$AS$3</f>
        <v>0</v>
      </c>
      <c r="S15" s="32">
        <f>lc_detailed!BE15</f>
        <v>0</v>
      </c>
      <c r="T15" s="32">
        <f t="shared" si="1"/>
        <v>0</v>
      </c>
      <c r="U15" s="32">
        <f t="shared" si="2"/>
        <v>0</v>
      </c>
      <c r="W15" s="27">
        <f>lc_detailed!AZ15</f>
        <v>0</v>
      </c>
      <c r="X15" s="33">
        <f>lc_detailed!BH15/$AS$3</f>
        <v>0</v>
      </c>
      <c r="Y15" s="33">
        <f>lc_detailed!BI15/$AS$3</f>
        <v>0</v>
      </c>
      <c r="Z15" s="33">
        <f>lc_detailed!BJ15/$AS$3</f>
        <v>0</v>
      </c>
      <c r="AA15" s="33">
        <f>lc_detailed!BK15/$AS$3</f>
        <v>0</v>
      </c>
      <c r="AB15" s="33">
        <f>lc_detailed!BL15/$AS$3</f>
        <v>0</v>
      </c>
      <c r="AC15" s="33">
        <f>lc_detailed!BM15/$AS$3</f>
        <v>0</v>
      </c>
      <c r="AD15" s="33">
        <f>lc_detailed!BN15/$AS$3</f>
        <v>0</v>
      </c>
      <c r="AE15" s="33">
        <f>lc_detailed!BO15/$AS$3</f>
        <v>0</v>
      </c>
      <c r="AF15" s="33">
        <f>lc_detailed!BP15/$AS$3</f>
        <v>0</v>
      </c>
      <c r="AG15" s="33">
        <f>lc_detailed!BQ15/$AS$3</f>
        <v>0</v>
      </c>
      <c r="AH15" s="33">
        <f>lc_detailed!BR15/$AS$3</f>
        <v>0</v>
      </c>
      <c r="AI15" s="33">
        <f>lc_detailed!BS15/$AS$3</f>
        <v>0</v>
      </c>
      <c r="AJ15" s="33">
        <f>lc_detailed!BT15/$AS$3</f>
        <v>0</v>
      </c>
      <c r="AK15" s="33">
        <f>lc_detailed!BV15/$AS$3</f>
        <v>0</v>
      </c>
      <c r="AL15" s="33">
        <f>lc_detailed!BW15/$AS$3</f>
        <v>0</v>
      </c>
      <c r="AM15" s="33">
        <f>lc_detailed!BU15/$AS$3</f>
        <v>0</v>
      </c>
      <c r="AN15" s="33">
        <f>lc_detailed!BB15</f>
        <v>0</v>
      </c>
      <c r="AO15" s="33">
        <f t="shared" si="0"/>
        <v>0</v>
      </c>
      <c r="AP15" s="33">
        <f t="shared" si="3"/>
        <v>0</v>
      </c>
    </row>
    <row r="16" spans="2:46" ht="17" customHeight="1" x14ac:dyDescent="0.2">
      <c r="B16" s="26">
        <f>lc_detailed!AZ16</f>
        <v>0</v>
      </c>
      <c r="C16" s="31">
        <f>lc_detailed!BH16/$AS$3</f>
        <v>0</v>
      </c>
      <c r="D16" s="31">
        <f>lc_detailed!BI16/$AS$3</f>
        <v>0</v>
      </c>
      <c r="E16" s="31">
        <f>lc_detailed!BJ16/$AS$3</f>
        <v>0</v>
      </c>
      <c r="F16" s="31">
        <f>lc_detailed!BK16/$AS$3</f>
        <v>0</v>
      </c>
      <c r="G16" s="31">
        <f>lc_detailed!BL16/$AS$3</f>
        <v>0</v>
      </c>
      <c r="H16" s="31">
        <f>lc_detailed!BM16/$AS$3</f>
        <v>0</v>
      </c>
      <c r="I16" s="31">
        <f>lc_detailed!BN16/$AS$3</f>
        <v>0</v>
      </c>
      <c r="J16" s="31">
        <f>lc_detailed!BO16/$AS$3</f>
        <v>0</v>
      </c>
      <c r="K16" s="31">
        <f>lc_detailed!BP16/$AS$3</f>
        <v>0</v>
      </c>
      <c r="L16" s="31">
        <f>lc_detailed!BQ16/$AS$3</f>
        <v>0</v>
      </c>
      <c r="M16" s="31">
        <f>lc_detailed!BR16/$AS$3</f>
        <v>0</v>
      </c>
      <c r="N16" s="31">
        <f>lc_detailed!BS16/$AS$3</f>
        <v>0</v>
      </c>
      <c r="O16" s="31">
        <f>lc_detailed!BT16/$AS$3</f>
        <v>0</v>
      </c>
      <c r="P16" s="31">
        <f>lc_detailed!CB16/$AS$3</f>
        <v>0</v>
      </c>
      <c r="Q16" s="31">
        <f>lc_detailed!CC16/$AS$3</f>
        <v>0</v>
      </c>
      <c r="R16" s="31">
        <f>lc_detailed!CA16/$AS$3</f>
        <v>0</v>
      </c>
      <c r="S16" s="32">
        <f>lc_detailed!BE16</f>
        <v>0</v>
      </c>
      <c r="T16" s="32">
        <f t="shared" si="1"/>
        <v>0</v>
      </c>
      <c r="U16" s="32">
        <f t="shared" si="2"/>
        <v>0</v>
      </c>
      <c r="W16" s="27">
        <f>lc_detailed!AZ16</f>
        <v>0</v>
      </c>
      <c r="X16" s="33">
        <f>lc_detailed!BH16/$AS$3</f>
        <v>0</v>
      </c>
      <c r="Y16" s="33">
        <f>lc_detailed!BI16/$AS$3</f>
        <v>0</v>
      </c>
      <c r="Z16" s="33">
        <f>lc_detailed!BJ16/$AS$3</f>
        <v>0</v>
      </c>
      <c r="AA16" s="33">
        <f>lc_detailed!BK16/$AS$3</f>
        <v>0</v>
      </c>
      <c r="AB16" s="33">
        <f>lc_detailed!BL16/$AS$3</f>
        <v>0</v>
      </c>
      <c r="AC16" s="33">
        <f>lc_detailed!BM16/$AS$3</f>
        <v>0</v>
      </c>
      <c r="AD16" s="33">
        <f>lc_detailed!BN16/$AS$3</f>
        <v>0</v>
      </c>
      <c r="AE16" s="33">
        <f>lc_detailed!BO16/$AS$3</f>
        <v>0</v>
      </c>
      <c r="AF16" s="33">
        <f>lc_detailed!BP16/$AS$3</f>
        <v>0</v>
      </c>
      <c r="AG16" s="33">
        <f>lc_detailed!BQ16/$AS$3</f>
        <v>0</v>
      </c>
      <c r="AH16" s="33">
        <f>lc_detailed!BR16/$AS$3</f>
        <v>0</v>
      </c>
      <c r="AI16" s="33">
        <f>lc_detailed!BS16/$AS$3</f>
        <v>0</v>
      </c>
      <c r="AJ16" s="33">
        <f>lc_detailed!BT16/$AS$3</f>
        <v>0</v>
      </c>
      <c r="AK16" s="33">
        <f>lc_detailed!BV16/$AS$3</f>
        <v>0</v>
      </c>
      <c r="AL16" s="33">
        <f>lc_detailed!BW16/$AS$3</f>
        <v>0</v>
      </c>
      <c r="AM16" s="33">
        <f>lc_detailed!BU16/$AS$3</f>
        <v>0</v>
      </c>
      <c r="AN16" s="33">
        <f>lc_detailed!BB16</f>
        <v>0</v>
      </c>
      <c r="AO16" s="33">
        <f t="shared" si="0"/>
        <v>0</v>
      </c>
      <c r="AP16" s="33">
        <f t="shared" si="3"/>
        <v>0</v>
      </c>
    </row>
    <row r="17" spans="2:42" ht="17" customHeight="1" x14ac:dyDescent="0.2">
      <c r="B17" s="26">
        <f>lc_detailed!AZ17</f>
        <v>0</v>
      </c>
      <c r="C17" s="31">
        <f>lc_detailed!BH17/$AS$3</f>
        <v>0</v>
      </c>
      <c r="D17" s="31">
        <f>lc_detailed!BI17/$AS$3</f>
        <v>0</v>
      </c>
      <c r="E17" s="31">
        <f>lc_detailed!BJ17/$AS$3</f>
        <v>0</v>
      </c>
      <c r="F17" s="31">
        <f>lc_detailed!BK17/$AS$3</f>
        <v>0</v>
      </c>
      <c r="G17" s="31">
        <f>lc_detailed!BL17/$AS$3</f>
        <v>0</v>
      </c>
      <c r="H17" s="31">
        <f>lc_detailed!BM17/$AS$3</f>
        <v>0</v>
      </c>
      <c r="I17" s="31">
        <f>lc_detailed!BN17/$AS$3</f>
        <v>0</v>
      </c>
      <c r="J17" s="31">
        <f>lc_detailed!BO17/$AS$3</f>
        <v>0</v>
      </c>
      <c r="K17" s="31">
        <f>lc_detailed!BP17/$AS$3</f>
        <v>0</v>
      </c>
      <c r="L17" s="31">
        <f>lc_detailed!BQ17/$AS$3</f>
        <v>0</v>
      </c>
      <c r="M17" s="31">
        <f>lc_detailed!BR17/$AS$3</f>
        <v>0</v>
      </c>
      <c r="N17" s="31">
        <f>lc_detailed!BS17/$AS$3</f>
        <v>0</v>
      </c>
      <c r="O17" s="31">
        <f>lc_detailed!BT17/$AS$3</f>
        <v>0</v>
      </c>
      <c r="P17" s="31">
        <f>lc_detailed!CB17/$AS$3</f>
        <v>0</v>
      </c>
      <c r="Q17" s="31">
        <f>lc_detailed!CC17/$AS$3</f>
        <v>0</v>
      </c>
      <c r="R17" s="31">
        <f>lc_detailed!CA17/$AS$3</f>
        <v>0</v>
      </c>
      <c r="S17" s="32">
        <f>lc_detailed!BE17</f>
        <v>0</v>
      </c>
      <c r="T17" s="32">
        <f t="shared" si="1"/>
        <v>0</v>
      </c>
      <c r="U17" s="32">
        <f t="shared" si="2"/>
        <v>0</v>
      </c>
      <c r="W17" s="27">
        <f>lc_detailed!AZ17</f>
        <v>0</v>
      </c>
      <c r="X17" s="33">
        <f>lc_detailed!BH17/$AS$3</f>
        <v>0</v>
      </c>
      <c r="Y17" s="33">
        <f>lc_detailed!BI17/$AS$3</f>
        <v>0</v>
      </c>
      <c r="Z17" s="33">
        <f>lc_detailed!BJ17/$AS$3</f>
        <v>0</v>
      </c>
      <c r="AA17" s="33">
        <f>lc_detailed!BK17/$AS$3</f>
        <v>0</v>
      </c>
      <c r="AB17" s="33">
        <f>lc_detailed!BL17/$AS$3</f>
        <v>0</v>
      </c>
      <c r="AC17" s="33">
        <f>lc_detailed!BM17/$AS$3</f>
        <v>0</v>
      </c>
      <c r="AD17" s="33">
        <f>lc_detailed!BN17/$AS$3</f>
        <v>0</v>
      </c>
      <c r="AE17" s="33">
        <f>lc_detailed!BO17/$AS$3</f>
        <v>0</v>
      </c>
      <c r="AF17" s="33">
        <f>lc_detailed!BP17/$AS$3</f>
        <v>0</v>
      </c>
      <c r="AG17" s="33">
        <f>lc_detailed!BQ17/$AS$3</f>
        <v>0</v>
      </c>
      <c r="AH17" s="33">
        <f>lc_detailed!BR17/$AS$3</f>
        <v>0</v>
      </c>
      <c r="AI17" s="33">
        <f>lc_detailed!BS17/$AS$3</f>
        <v>0</v>
      </c>
      <c r="AJ17" s="33">
        <f>lc_detailed!BT17/$AS$3</f>
        <v>0</v>
      </c>
      <c r="AK17" s="33">
        <f>lc_detailed!BV17/$AS$3</f>
        <v>0</v>
      </c>
      <c r="AL17" s="33">
        <f>lc_detailed!BW17/$AS$3</f>
        <v>0</v>
      </c>
      <c r="AM17" s="33">
        <f>lc_detailed!BU17/$AS$3</f>
        <v>0</v>
      </c>
      <c r="AN17" s="33">
        <f>lc_detailed!BB17</f>
        <v>0</v>
      </c>
      <c r="AO17" s="33">
        <f t="shared" si="0"/>
        <v>0</v>
      </c>
      <c r="AP17" s="33">
        <f t="shared" si="3"/>
        <v>0</v>
      </c>
    </row>
    <row r="18" spans="2:42" ht="17" customHeight="1" x14ac:dyDescent="0.2">
      <c r="B18" s="26">
        <f>lc_detailed!AZ18</f>
        <v>0</v>
      </c>
      <c r="C18" s="31">
        <f>lc_detailed!BH18/$AS$3</f>
        <v>0</v>
      </c>
      <c r="D18" s="31">
        <f>lc_detailed!BI18/$AS$3</f>
        <v>0</v>
      </c>
      <c r="E18" s="31">
        <f>lc_detailed!BJ18/$AS$3</f>
        <v>0</v>
      </c>
      <c r="F18" s="31">
        <f>lc_detailed!BK18/$AS$3</f>
        <v>0</v>
      </c>
      <c r="G18" s="31">
        <f>lc_detailed!BL18/$AS$3</f>
        <v>0</v>
      </c>
      <c r="H18" s="31">
        <f>lc_detailed!BM18/$AS$3</f>
        <v>0</v>
      </c>
      <c r="I18" s="31">
        <f>lc_detailed!BN18/$AS$3</f>
        <v>0</v>
      </c>
      <c r="J18" s="31">
        <f>lc_detailed!BO18/$AS$3</f>
        <v>0</v>
      </c>
      <c r="K18" s="31">
        <f>lc_detailed!BP18/$AS$3</f>
        <v>0</v>
      </c>
      <c r="L18" s="31">
        <f>lc_detailed!BQ18/$AS$3</f>
        <v>0</v>
      </c>
      <c r="M18" s="31">
        <f>lc_detailed!BR18/$AS$3</f>
        <v>0</v>
      </c>
      <c r="N18" s="31">
        <f>lc_detailed!BS18/$AS$3</f>
        <v>0</v>
      </c>
      <c r="O18" s="31">
        <f>lc_detailed!BT18/$AS$3</f>
        <v>0</v>
      </c>
      <c r="P18" s="31">
        <f>lc_detailed!CB18/$AS$3</f>
        <v>0</v>
      </c>
      <c r="Q18" s="31">
        <f>lc_detailed!CC18/$AS$3</f>
        <v>0</v>
      </c>
      <c r="R18" s="31">
        <f>lc_detailed!CA18/$AS$3</f>
        <v>0</v>
      </c>
      <c r="S18" s="32">
        <f>lc_detailed!BE18</f>
        <v>0</v>
      </c>
      <c r="T18" s="32">
        <f t="shared" si="1"/>
        <v>0</v>
      </c>
      <c r="U18" s="32">
        <f t="shared" si="2"/>
        <v>0</v>
      </c>
      <c r="W18" s="27">
        <f>lc_detailed!AZ18</f>
        <v>0</v>
      </c>
      <c r="X18" s="33">
        <f>lc_detailed!BH18/$AS$3</f>
        <v>0</v>
      </c>
      <c r="Y18" s="33">
        <f>lc_detailed!BI18/$AS$3</f>
        <v>0</v>
      </c>
      <c r="Z18" s="33">
        <f>lc_detailed!BJ18/$AS$3</f>
        <v>0</v>
      </c>
      <c r="AA18" s="33">
        <f>lc_detailed!BK18/$AS$3</f>
        <v>0</v>
      </c>
      <c r="AB18" s="33">
        <f>lc_detailed!BL18/$AS$3</f>
        <v>0</v>
      </c>
      <c r="AC18" s="33">
        <f>lc_detailed!BM18/$AS$3</f>
        <v>0</v>
      </c>
      <c r="AD18" s="33">
        <f>lc_detailed!BN18/$AS$3</f>
        <v>0</v>
      </c>
      <c r="AE18" s="33">
        <f>lc_detailed!BO18/$AS$3</f>
        <v>0</v>
      </c>
      <c r="AF18" s="33">
        <f>lc_detailed!BP18/$AS$3</f>
        <v>0</v>
      </c>
      <c r="AG18" s="33">
        <f>lc_detailed!BQ18/$AS$3</f>
        <v>0</v>
      </c>
      <c r="AH18" s="33">
        <f>lc_detailed!BR18/$AS$3</f>
        <v>0</v>
      </c>
      <c r="AI18" s="33">
        <f>lc_detailed!BS18/$AS$3</f>
        <v>0</v>
      </c>
      <c r="AJ18" s="33">
        <f>lc_detailed!BT18/$AS$3</f>
        <v>0</v>
      </c>
      <c r="AK18" s="33">
        <f>lc_detailed!BV18/$AS$3</f>
        <v>0</v>
      </c>
      <c r="AL18" s="33">
        <f>lc_detailed!BW18/$AS$3</f>
        <v>0</v>
      </c>
      <c r="AM18" s="33">
        <f>lc_detailed!BU18/$AS$3</f>
        <v>0</v>
      </c>
      <c r="AN18" s="33">
        <f>lc_detailed!BB18</f>
        <v>0</v>
      </c>
      <c r="AO18" s="33">
        <f t="shared" si="0"/>
        <v>0</v>
      </c>
      <c r="AP18" s="33">
        <f t="shared" si="3"/>
        <v>0</v>
      </c>
    </row>
    <row r="19" spans="2:42" ht="17" customHeight="1" x14ac:dyDescent="0.2">
      <c r="B19" s="26">
        <f>lc_detailed!AZ19</f>
        <v>0</v>
      </c>
      <c r="C19" s="31">
        <f>lc_detailed!BH19/$AS$3</f>
        <v>0</v>
      </c>
      <c r="D19" s="31">
        <f>lc_detailed!BI19/$AS$3</f>
        <v>0</v>
      </c>
      <c r="E19" s="31">
        <f>lc_detailed!BJ19/$AS$3</f>
        <v>0</v>
      </c>
      <c r="F19" s="31">
        <f>lc_detailed!BK19/$AS$3</f>
        <v>0</v>
      </c>
      <c r="G19" s="31">
        <f>lc_detailed!BL19/$AS$3</f>
        <v>0</v>
      </c>
      <c r="H19" s="31">
        <f>lc_detailed!BM19/$AS$3</f>
        <v>0</v>
      </c>
      <c r="I19" s="31">
        <f>lc_detailed!BN19/$AS$3</f>
        <v>0</v>
      </c>
      <c r="J19" s="31">
        <f>lc_detailed!BO19/$AS$3</f>
        <v>0</v>
      </c>
      <c r="K19" s="31">
        <f>lc_detailed!BP19/$AS$3</f>
        <v>0</v>
      </c>
      <c r="L19" s="31">
        <f>lc_detailed!BQ19/$AS$3</f>
        <v>0</v>
      </c>
      <c r="M19" s="31">
        <f>lc_detailed!BR19/$AS$3</f>
        <v>0</v>
      </c>
      <c r="N19" s="31">
        <f>lc_detailed!BS19/$AS$3</f>
        <v>0</v>
      </c>
      <c r="O19" s="31">
        <f>lc_detailed!BT19/$AS$3</f>
        <v>0</v>
      </c>
      <c r="P19" s="31">
        <f>lc_detailed!CB19/$AS$3</f>
        <v>0</v>
      </c>
      <c r="Q19" s="31">
        <f>lc_detailed!CC19/$AS$3</f>
        <v>0</v>
      </c>
      <c r="R19" s="31">
        <f>lc_detailed!CA19/$AS$3</f>
        <v>0</v>
      </c>
      <c r="S19" s="32">
        <f>lc_detailed!BE19</f>
        <v>0</v>
      </c>
      <c r="T19" s="32">
        <f t="shared" si="1"/>
        <v>0</v>
      </c>
      <c r="U19" s="32">
        <f t="shared" si="2"/>
        <v>0</v>
      </c>
      <c r="W19" s="27">
        <f>lc_detailed!AZ19</f>
        <v>0</v>
      </c>
      <c r="X19" s="33">
        <f>lc_detailed!BH19/$AS$3</f>
        <v>0</v>
      </c>
      <c r="Y19" s="33">
        <f>lc_detailed!BI19/$AS$3</f>
        <v>0</v>
      </c>
      <c r="Z19" s="33">
        <f>lc_detailed!BJ19/$AS$3</f>
        <v>0</v>
      </c>
      <c r="AA19" s="33">
        <f>lc_detailed!BK19/$AS$3</f>
        <v>0</v>
      </c>
      <c r="AB19" s="33">
        <f>lc_detailed!BL19/$AS$3</f>
        <v>0</v>
      </c>
      <c r="AC19" s="33">
        <f>lc_detailed!BM19/$AS$3</f>
        <v>0</v>
      </c>
      <c r="AD19" s="33">
        <f>lc_detailed!BN19/$AS$3</f>
        <v>0</v>
      </c>
      <c r="AE19" s="33">
        <f>lc_detailed!BO19/$AS$3</f>
        <v>0</v>
      </c>
      <c r="AF19" s="33">
        <f>lc_detailed!BP19/$AS$3</f>
        <v>0</v>
      </c>
      <c r="AG19" s="33">
        <f>lc_detailed!BQ19/$AS$3</f>
        <v>0</v>
      </c>
      <c r="AH19" s="33">
        <f>lc_detailed!BR19/$AS$3</f>
        <v>0</v>
      </c>
      <c r="AI19" s="33">
        <f>lc_detailed!BS19/$AS$3</f>
        <v>0</v>
      </c>
      <c r="AJ19" s="33">
        <f>lc_detailed!BT19/$AS$3</f>
        <v>0</v>
      </c>
      <c r="AK19" s="33">
        <f>lc_detailed!BV19/$AS$3</f>
        <v>0</v>
      </c>
      <c r="AL19" s="33">
        <f>lc_detailed!BW19/$AS$3</f>
        <v>0</v>
      </c>
      <c r="AM19" s="33">
        <f>lc_detailed!BU19/$AS$3</f>
        <v>0</v>
      </c>
      <c r="AN19" s="33">
        <f>lc_detailed!BB19</f>
        <v>0</v>
      </c>
      <c r="AO19" s="33">
        <f t="shared" si="0"/>
        <v>0</v>
      </c>
      <c r="AP19" s="33">
        <f t="shared" si="3"/>
        <v>0</v>
      </c>
    </row>
    <row r="20" spans="2:42" ht="17" customHeight="1" x14ac:dyDescent="0.2">
      <c r="B20" s="26">
        <f>lc_detailed!AZ20</f>
        <v>0</v>
      </c>
      <c r="C20" s="31">
        <f>lc_detailed!BH20/$AS$3</f>
        <v>0</v>
      </c>
      <c r="D20" s="31">
        <f>lc_detailed!BI20/$AS$3</f>
        <v>0</v>
      </c>
      <c r="E20" s="31">
        <f>lc_detailed!BJ20/$AS$3</f>
        <v>0</v>
      </c>
      <c r="F20" s="31">
        <f>lc_detailed!BK20/$AS$3</f>
        <v>0</v>
      </c>
      <c r="G20" s="31">
        <f>lc_detailed!BL20/$AS$3</f>
        <v>0</v>
      </c>
      <c r="H20" s="31">
        <f>lc_detailed!BM20/$AS$3</f>
        <v>0</v>
      </c>
      <c r="I20" s="31">
        <f>lc_detailed!BN20/$AS$3</f>
        <v>0</v>
      </c>
      <c r="J20" s="31">
        <f>lc_detailed!BO20/$AS$3</f>
        <v>0</v>
      </c>
      <c r="K20" s="31">
        <f>lc_detailed!BP20/$AS$3</f>
        <v>0</v>
      </c>
      <c r="L20" s="31">
        <f>lc_detailed!BQ20/$AS$3</f>
        <v>0</v>
      </c>
      <c r="M20" s="31">
        <f>lc_detailed!BR20/$AS$3</f>
        <v>0</v>
      </c>
      <c r="N20" s="31">
        <f>lc_detailed!BS20/$AS$3</f>
        <v>0</v>
      </c>
      <c r="O20" s="31">
        <f>lc_detailed!BT20/$AS$3</f>
        <v>0</v>
      </c>
      <c r="P20" s="31">
        <f>lc_detailed!CB20/$AS$3</f>
        <v>0</v>
      </c>
      <c r="Q20" s="31">
        <f>lc_detailed!CC20/$AS$3</f>
        <v>0</v>
      </c>
      <c r="R20" s="31">
        <f>lc_detailed!CA20/$AS$3</f>
        <v>0</v>
      </c>
      <c r="S20" s="32">
        <f>lc_detailed!BE20</f>
        <v>0</v>
      </c>
      <c r="T20" s="32">
        <f t="shared" si="1"/>
        <v>0</v>
      </c>
      <c r="U20" s="32">
        <f t="shared" si="2"/>
        <v>0</v>
      </c>
      <c r="W20" s="27">
        <f>lc_detailed!AZ20</f>
        <v>0</v>
      </c>
      <c r="X20" s="33">
        <f>lc_detailed!BH20/$AS$3</f>
        <v>0</v>
      </c>
      <c r="Y20" s="33">
        <f>lc_detailed!BI20/$AS$3</f>
        <v>0</v>
      </c>
      <c r="Z20" s="33">
        <f>lc_detailed!BJ20/$AS$3</f>
        <v>0</v>
      </c>
      <c r="AA20" s="33">
        <f>lc_detailed!BK20/$AS$3</f>
        <v>0</v>
      </c>
      <c r="AB20" s="33">
        <f>lc_detailed!BL20/$AS$3</f>
        <v>0</v>
      </c>
      <c r="AC20" s="33">
        <f>lc_detailed!BM20/$AS$3</f>
        <v>0</v>
      </c>
      <c r="AD20" s="33">
        <f>lc_detailed!BN20/$AS$3</f>
        <v>0</v>
      </c>
      <c r="AE20" s="33">
        <f>lc_detailed!BO20/$AS$3</f>
        <v>0</v>
      </c>
      <c r="AF20" s="33">
        <f>lc_detailed!BP20/$AS$3</f>
        <v>0</v>
      </c>
      <c r="AG20" s="33">
        <f>lc_detailed!BQ20/$AS$3</f>
        <v>0</v>
      </c>
      <c r="AH20" s="33">
        <f>lc_detailed!BR20/$AS$3</f>
        <v>0</v>
      </c>
      <c r="AI20" s="33">
        <f>lc_detailed!BS20/$AS$3</f>
        <v>0</v>
      </c>
      <c r="AJ20" s="33">
        <f>lc_detailed!BT20/$AS$3</f>
        <v>0</v>
      </c>
      <c r="AK20" s="33">
        <f>lc_detailed!BV20/$AS$3</f>
        <v>0</v>
      </c>
      <c r="AL20" s="33">
        <f>lc_detailed!BW20/$AS$3</f>
        <v>0</v>
      </c>
      <c r="AM20" s="33">
        <f>lc_detailed!BU20/$AS$3</f>
        <v>0</v>
      </c>
      <c r="AN20" s="33">
        <f>lc_detailed!BB20</f>
        <v>0</v>
      </c>
      <c r="AO20" s="33">
        <f t="shared" si="0"/>
        <v>0</v>
      </c>
      <c r="AP20" s="33">
        <f t="shared" si="3"/>
        <v>0</v>
      </c>
    </row>
    <row r="21" spans="2:42" ht="17" customHeight="1" x14ac:dyDescent="0.2">
      <c r="B21" s="26">
        <f>lc_detailed!AZ21</f>
        <v>0</v>
      </c>
      <c r="C21" s="31">
        <f>lc_detailed!BH21/$AS$3</f>
        <v>0</v>
      </c>
      <c r="D21" s="31">
        <f>lc_detailed!BI21/$AS$3</f>
        <v>0</v>
      </c>
      <c r="E21" s="31">
        <f>lc_detailed!BJ21/$AS$3</f>
        <v>0</v>
      </c>
      <c r="F21" s="31">
        <f>lc_detailed!BK21/$AS$3</f>
        <v>0</v>
      </c>
      <c r="G21" s="31">
        <f>lc_detailed!BL21/$AS$3</f>
        <v>0</v>
      </c>
      <c r="H21" s="31">
        <f>lc_detailed!BM21/$AS$3</f>
        <v>0</v>
      </c>
      <c r="I21" s="31">
        <f>lc_detailed!BN21/$AS$3</f>
        <v>0</v>
      </c>
      <c r="J21" s="31">
        <f>lc_detailed!BO21/$AS$3</f>
        <v>0</v>
      </c>
      <c r="K21" s="31">
        <f>lc_detailed!BP21/$AS$3</f>
        <v>0</v>
      </c>
      <c r="L21" s="31">
        <f>lc_detailed!BQ21/$AS$3</f>
        <v>0</v>
      </c>
      <c r="M21" s="31">
        <f>lc_detailed!BR21/$AS$3</f>
        <v>0</v>
      </c>
      <c r="N21" s="31">
        <f>lc_detailed!BS21/$AS$3</f>
        <v>0</v>
      </c>
      <c r="O21" s="31">
        <f>lc_detailed!BT21/$AS$3</f>
        <v>0</v>
      </c>
      <c r="P21" s="31">
        <f>lc_detailed!CB21/$AS$3</f>
        <v>0</v>
      </c>
      <c r="Q21" s="31">
        <f>lc_detailed!CC21/$AS$3</f>
        <v>0</v>
      </c>
      <c r="R21" s="31">
        <f>lc_detailed!CA21/$AS$3</f>
        <v>0</v>
      </c>
      <c r="S21" s="32">
        <f>lc_detailed!BE21</f>
        <v>0</v>
      </c>
      <c r="T21" s="32">
        <f t="shared" si="1"/>
        <v>0</v>
      </c>
      <c r="U21" s="32">
        <f t="shared" si="2"/>
        <v>0</v>
      </c>
      <c r="W21" s="27">
        <f>lc_detailed!AZ21</f>
        <v>0</v>
      </c>
      <c r="X21" s="33">
        <f>lc_detailed!BH21/$AS$3</f>
        <v>0</v>
      </c>
      <c r="Y21" s="33">
        <f>lc_detailed!BI21/$AS$3</f>
        <v>0</v>
      </c>
      <c r="Z21" s="33">
        <f>lc_detailed!BJ21/$AS$3</f>
        <v>0</v>
      </c>
      <c r="AA21" s="33">
        <f>lc_detailed!BK21/$AS$3</f>
        <v>0</v>
      </c>
      <c r="AB21" s="33">
        <f>lc_detailed!BL21/$AS$3</f>
        <v>0</v>
      </c>
      <c r="AC21" s="33">
        <f>lc_detailed!BM21/$AS$3</f>
        <v>0</v>
      </c>
      <c r="AD21" s="33">
        <f>lc_detailed!BN21/$AS$3</f>
        <v>0</v>
      </c>
      <c r="AE21" s="33">
        <f>lc_detailed!BO21/$AS$3</f>
        <v>0</v>
      </c>
      <c r="AF21" s="33">
        <f>lc_detailed!BP21/$AS$3</f>
        <v>0</v>
      </c>
      <c r="AG21" s="33">
        <f>lc_detailed!BQ21/$AS$3</f>
        <v>0</v>
      </c>
      <c r="AH21" s="33">
        <f>lc_detailed!BR21/$AS$3</f>
        <v>0</v>
      </c>
      <c r="AI21" s="33">
        <f>lc_detailed!BS21/$AS$3</f>
        <v>0</v>
      </c>
      <c r="AJ21" s="33">
        <f>lc_detailed!BT21/$AS$3</f>
        <v>0</v>
      </c>
      <c r="AK21" s="33">
        <f>lc_detailed!BV21/$AS$3</f>
        <v>0</v>
      </c>
      <c r="AL21" s="33">
        <f>lc_detailed!BW21/$AS$3</f>
        <v>0</v>
      </c>
      <c r="AM21" s="33">
        <f>lc_detailed!BU21/$AS$3</f>
        <v>0</v>
      </c>
      <c r="AN21" s="33">
        <f>lc_detailed!BB21</f>
        <v>0</v>
      </c>
      <c r="AO21" s="33">
        <f t="shared" si="0"/>
        <v>0</v>
      </c>
      <c r="AP21" s="33">
        <f t="shared" si="3"/>
        <v>0</v>
      </c>
    </row>
    <row r="22" spans="2:42" ht="17" customHeight="1" x14ac:dyDescent="0.2">
      <c r="B22" s="26">
        <f>lc_detailed!AZ22</f>
        <v>0</v>
      </c>
      <c r="C22" s="31">
        <f>lc_detailed!BH22/$AS$3</f>
        <v>0</v>
      </c>
      <c r="D22" s="31">
        <f>lc_detailed!BI22/$AS$3</f>
        <v>0</v>
      </c>
      <c r="E22" s="31">
        <f>lc_detailed!BJ22/$AS$3</f>
        <v>0</v>
      </c>
      <c r="F22" s="31">
        <f>lc_detailed!BK22/$AS$3</f>
        <v>0</v>
      </c>
      <c r="G22" s="31">
        <f>lc_detailed!BL22/$AS$3</f>
        <v>0</v>
      </c>
      <c r="H22" s="31">
        <f>lc_detailed!BM22/$AS$3</f>
        <v>0</v>
      </c>
      <c r="I22" s="31">
        <f>lc_detailed!BN22/$AS$3</f>
        <v>0</v>
      </c>
      <c r="J22" s="31">
        <f>lc_detailed!BO22/$AS$3</f>
        <v>0</v>
      </c>
      <c r="K22" s="31">
        <f>lc_detailed!BP22/$AS$3</f>
        <v>0</v>
      </c>
      <c r="L22" s="31">
        <f>lc_detailed!BQ22/$AS$3</f>
        <v>0</v>
      </c>
      <c r="M22" s="31">
        <f>lc_detailed!BR22/$AS$3</f>
        <v>0</v>
      </c>
      <c r="N22" s="31">
        <f>lc_detailed!BS22/$AS$3</f>
        <v>0</v>
      </c>
      <c r="O22" s="31">
        <f>lc_detailed!BT22/$AS$3</f>
        <v>0</v>
      </c>
      <c r="P22" s="31">
        <f>lc_detailed!CB22/$AS$3</f>
        <v>0</v>
      </c>
      <c r="Q22" s="31">
        <f>lc_detailed!CC22/$AS$3</f>
        <v>0</v>
      </c>
      <c r="R22" s="31">
        <f>lc_detailed!CA22/$AS$3</f>
        <v>0</v>
      </c>
      <c r="S22" s="32">
        <f>lc_detailed!BE22</f>
        <v>0</v>
      </c>
      <c r="T22" s="32">
        <f t="shared" si="1"/>
        <v>0</v>
      </c>
      <c r="U22" s="32">
        <f t="shared" si="2"/>
        <v>0</v>
      </c>
      <c r="W22" s="27">
        <f>lc_detailed!AZ22</f>
        <v>0</v>
      </c>
      <c r="X22" s="33">
        <f>lc_detailed!BH22/$AS$3</f>
        <v>0</v>
      </c>
      <c r="Y22" s="33">
        <f>lc_detailed!BI22/$AS$3</f>
        <v>0</v>
      </c>
      <c r="Z22" s="33">
        <f>lc_detailed!BJ22/$AS$3</f>
        <v>0</v>
      </c>
      <c r="AA22" s="33">
        <f>lc_detailed!BK22/$AS$3</f>
        <v>0</v>
      </c>
      <c r="AB22" s="33">
        <f>lc_detailed!BL22/$AS$3</f>
        <v>0</v>
      </c>
      <c r="AC22" s="33">
        <f>lc_detailed!BM22/$AS$3</f>
        <v>0</v>
      </c>
      <c r="AD22" s="33">
        <f>lc_detailed!BN22/$AS$3</f>
        <v>0</v>
      </c>
      <c r="AE22" s="33">
        <f>lc_detailed!BO22/$AS$3</f>
        <v>0</v>
      </c>
      <c r="AF22" s="33">
        <f>lc_detailed!BP22/$AS$3</f>
        <v>0</v>
      </c>
      <c r="AG22" s="33">
        <f>lc_detailed!BQ22/$AS$3</f>
        <v>0</v>
      </c>
      <c r="AH22" s="33">
        <f>lc_detailed!BR22/$AS$3</f>
        <v>0</v>
      </c>
      <c r="AI22" s="33">
        <f>lc_detailed!BS22/$AS$3</f>
        <v>0</v>
      </c>
      <c r="AJ22" s="33">
        <f>lc_detailed!BT22/$AS$3</f>
        <v>0</v>
      </c>
      <c r="AK22" s="33">
        <f>lc_detailed!BV22/$AS$3</f>
        <v>0</v>
      </c>
      <c r="AL22" s="33">
        <f>lc_detailed!BW22/$AS$3</f>
        <v>0</v>
      </c>
      <c r="AM22" s="33">
        <f>lc_detailed!BU22/$AS$3</f>
        <v>0</v>
      </c>
      <c r="AN22" s="33">
        <f>lc_detailed!BB22</f>
        <v>0</v>
      </c>
      <c r="AO22" s="33">
        <f t="shared" si="0"/>
        <v>0</v>
      </c>
      <c r="AP22" s="33">
        <f t="shared" si="3"/>
        <v>0</v>
      </c>
    </row>
    <row r="23" spans="2:42" ht="17" customHeight="1" x14ac:dyDescent="0.2">
      <c r="B23" s="26">
        <f>lc_detailed!AZ23</f>
        <v>0</v>
      </c>
      <c r="C23" s="31">
        <f>lc_detailed!BH23/$AS$3</f>
        <v>0</v>
      </c>
      <c r="D23" s="31">
        <f>lc_detailed!BI23/$AS$3</f>
        <v>0</v>
      </c>
      <c r="E23" s="31">
        <f>lc_detailed!BJ23/$AS$3</f>
        <v>0</v>
      </c>
      <c r="F23" s="31">
        <f>lc_detailed!BK23/$AS$3</f>
        <v>0</v>
      </c>
      <c r="G23" s="31">
        <f>lc_detailed!BL23/$AS$3</f>
        <v>0</v>
      </c>
      <c r="H23" s="31">
        <f>lc_detailed!BM23/$AS$3</f>
        <v>0</v>
      </c>
      <c r="I23" s="31">
        <f>lc_detailed!BN23/$AS$3</f>
        <v>0</v>
      </c>
      <c r="J23" s="31">
        <f>lc_detailed!BO23/$AS$3</f>
        <v>0</v>
      </c>
      <c r="K23" s="31">
        <f>lc_detailed!BP23/$AS$3</f>
        <v>0</v>
      </c>
      <c r="L23" s="31">
        <f>lc_detailed!BQ23/$AS$3</f>
        <v>0</v>
      </c>
      <c r="M23" s="31">
        <f>lc_detailed!BR23/$AS$3</f>
        <v>0</v>
      </c>
      <c r="N23" s="31">
        <f>lc_detailed!BS23/$AS$3</f>
        <v>0</v>
      </c>
      <c r="O23" s="31">
        <f>lc_detailed!BT23/$AS$3</f>
        <v>0</v>
      </c>
      <c r="P23" s="31">
        <f>lc_detailed!CB23/$AS$3</f>
        <v>0</v>
      </c>
      <c r="Q23" s="31">
        <f>lc_detailed!CC23/$AS$3</f>
        <v>0</v>
      </c>
      <c r="R23" s="31">
        <f>lc_detailed!CA23/$AS$3</f>
        <v>0</v>
      </c>
      <c r="S23" s="32">
        <f>lc_detailed!BE23</f>
        <v>0</v>
      </c>
      <c r="T23" s="32">
        <f t="shared" si="1"/>
        <v>0</v>
      </c>
      <c r="U23" s="32">
        <f t="shared" si="2"/>
        <v>0</v>
      </c>
      <c r="W23" s="27">
        <f>lc_detailed!AZ23</f>
        <v>0</v>
      </c>
      <c r="X23" s="33">
        <f>lc_detailed!BH23/$AS$3</f>
        <v>0</v>
      </c>
      <c r="Y23" s="33">
        <f>lc_detailed!BI23/$AS$3</f>
        <v>0</v>
      </c>
      <c r="Z23" s="33">
        <f>lc_detailed!BJ23/$AS$3</f>
        <v>0</v>
      </c>
      <c r="AA23" s="33">
        <f>lc_detailed!BK23/$AS$3</f>
        <v>0</v>
      </c>
      <c r="AB23" s="33">
        <f>lc_detailed!BL23/$AS$3</f>
        <v>0</v>
      </c>
      <c r="AC23" s="33">
        <f>lc_detailed!BM23/$AS$3</f>
        <v>0</v>
      </c>
      <c r="AD23" s="33">
        <f>lc_detailed!BN23/$AS$3</f>
        <v>0</v>
      </c>
      <c r="AE23" s="33">
        <f>lc_detailed!BO23/$AS$3</f>
        <v>0</v>
      </c>
      <c r="AF23" s="33">
        <f>lc_detailed!BP23/$AS$3</f>
        <v>0</v>
      </c>
      <c r="AG23" s="33">
        <f>lc_detailed!BQ23/$AS$3</f>
        <v>0</v>
      </c>
      <c r="AH23" s="33">
        <f>lc_detailed!BR23/$AS$3</f>
        <v>0</v>
      </c>
      <c r="AI23" s="33">
        <f>lc_detailed!BS23/$AS$3</f>
        <v>0</v>
      </c>
      <c r="AJ23" s="33">
        <f>lc_detailed!BT23/$AS$3</f>
        <v>0</v>
      </c>
      <c r="AK23" s="33">
        <f>lc_detailed!BV23/$AS$3</f>
        <v>0</v>
      </c>
      <c r="AL23" s="33">
        <f>lc_detailed!BW23/$AS$3</f>
        <v>0</v>
      </c>
      <c r="AM23" s="33">
        <f>lc_detailed!BU23/$AS$3</f>
        <v>0</v>
      </c>
      <c r="AN23" s="33">
        <f>lc_detailed!BB23</f>
        <v>0</v>
      </c>
      <c r="AO23" s="33">
        <f t="shared" si="0"/>
        <v>0</v>
      </c>
      <c r="AP23" s="33">
        <f t="shared" si="3"/>
        <v>0</v>
      </c>
    </row>
    <row r="24" spans="2:42" ht="17" customHeight="1" x14ac:dyDescent="0.2">
      <c r="B24" s="26">
        <f>lc_detailed!AZ24</f>
        <v>0</v>
      </c>
      <c r="C24" s="31">
        <f>lc_detailed!BH24/$AS$3</f>
        <v>0</v>
      </c>
      <c r="D24" s="31">
        <f>lc_detailed!BI24/$AS$3</f>
        <v>0</v>
      </c>
      <c r="E24" s="31">
        <f>lc_detailed!BJ24/$AS$3</f>
        <v>0</v>
      </c>
      <c r="F24" s="31">
        <f>lc_detailed!BK24/$AS$3</f>
        <v>0</v>
      </c>
      <c r="G24" s="31">
        <f>lc_detailed!BL24/$AS$3</f>
        <v>0</v>
      </c>
      <c r="H24" s="31">
        <f>lc_detailed!BM24/$AS$3</f>
        <v>0</v>
      </c>
      <c r="I24" s="31">
        <f>lc_detailed!BN24/$AS$3</f>
        <v>0</v>
      </c>
      <c r="J24" s="31">
        <f>lc_detailed!BO24/$AS$3</f>
        <v>0</v>
      </c>
      <c r="K24" s="31">
        <f>lc_detailed!BP24/$AS$3</f>
        <v>0</v>
      </c>
      <c r="L24" s="31">
        <f>lc_detailed!BQ24/$AS$3</f>
        <v>0</v>
      </c>
      <c r="M24" s="31">
        <f>lc_detailed!BR24/$AS$3</f>
        <v>0</v>
      </c>
      <c r="N24" s="31">
        <f>lc_detailed!BS24/$AS$3</f>
        <v>0</v>
      </c>
      <c r="O24" s="31">
        <f>lc_detailed!BT24/$AS$3</f>
        <v>0</v>
      </c>
      <c r="P24" s="31">
        <f>lc_detailed!CB24/$AS$3</f>
        <v>0</v>
      </c>
      <c r="Q24" s="31">
        <f>lc_detailed!CC24/$AS$3</f>
        <v>0</v>
      </c>
      <c r="R24" s="31">
        <f>lc_detailed!CA24/$AS$3</f>
        <v>0</v>
      </c>
      <c r="S24" s="32">
        <f>lc_detailed!BE24</f>
        <v>0</v>
      </c>
      <c r="T24" s="32">
        <f t="shared" si="1"/>
        <v>0</v>
      </c>
      <c r="U24" s="32">
        <f t="shared" si="2"/>
        <v>0</v>
      </c>
      <c r="W24" s="27">
        <f>lc_detailed!AZ24</f>
        <v>0</v>
      </c>
      <c r="X24" s="33">
        <f>lc_detailed!BH24/$AS$3</f>
        <v>0</v>
      </c>
      <c r="Y24" s="33">
        <f>lc_detailed!BI24/$AS$3</f>
        <v>0</v>
      </c>
      <c r="Z24" s="33">
        <f>lc_detailed!BJ24/$AS$3</f>
        <v>0</v>
      </c>
      <c r="AA24" s="33">
        <f>lc_detailed!BK24/$AS$3</f>
        <v>0</v>
      </c>
      <c r="AB24" s="33">
        <f>lc_detailed!BL24/$AS$3</f>
        <v>0</v>
      </c>
      <c r="AC24" s="33">
        <f>lc_detailed!BM24/$AS$3</f>
        <v>0</v>
      </c>
      <c r="AD24" s="33">
        <f>lc_detailed!BN24/$AS$3</f>
        <v>0</v>
      </c>
      <c r="AE24" s="33">
        <f>lc_detailed!BO24/$AS$3</f>
        <v>0</v>
      </c>
      <c r="AF24" s="33">
        <f>lc_detailed!BP24/$AS$3</f>
        <v>0</v>
      </c>
      <c r="AG24" s="33">
        <f>lc_detailed!BQ24/$AS$3</f>
        <v>0</v>
      </c>
      <c r="AH24" s="33">
        <f>lc_detailed!BR24/$AS$3</f>
        <v>0</v>
      </c>
      <c r="AI24" s="33">
        <f>lc_detailed!BS24/$AS$3</f>
        <v>0</v>
      </c>
      <c r="AJ24" s="33">
        <f>lc_detailed!BT24/$AS$3</f>
        <v>0</v>
      </c>
      <c r="AK24" s="33">
        <f>lc_detailed!BV24/$AS$3</f>
        <v>0</v>
      </c>
      <c r="AL24" s="33">
        <f>lc_detailed!BW24/$AS$3</f>
        <v>0</v>
      </c>
      <c r="AM24" s="33">
        <f>lc_detailed!BU24/$AS$3</f>
        <v>0</v>
      </c>
      <c r="AN24" s="33">
        <f>lc_detailed!BB24</f>
        <v>0</v>
      </c>
      <c r="AO24" s="33">
        <f t="shared" si="0"/>
        <v>0</v>
      </c>
      <c r="AP24" s="33">
        <f t="shared" si="3"/>
        <v>0</v>
      </c>
    </row>
    <row r="25" spans="2:42" ht="17" customHeight="1" x14ac:dyDescent="0.2">
      <c r="B25" s="26">
        <f>lc_detailed!AZ25</f>
        <v>0</v>
      </c>
      <c r="C25" s="31">
        <f>lc_detailed!BH25/$AS$3</f>
        <v>0</v>
      </c>
      <c r="D25" s="31">
        <f>lc_detailed!BI25/$AS$3</f>
        <v>0</v>
      </c>
      <c r="E25" s="31">
        <f>lc_detailed!BJ25/$AS$3</f>
        <v>0</v>
      </c>
      <c r="F25" s="31">
        <f>lc_detailed!BK25/$AS$3</f>
        <v>0</v>
      </c>
      <c r="G25" s="31">
        <f>lc_detailed!BL25/$AS$3</f>
        <v>0</v>
      </c>
      <c r="H25" s="31">
        <f>lc_detailed!BM25/$AS$3</f>
        <v>0</v>
      </c>
      <c r="I25" s="31">
        <f>lc_detailed!BN25/$AS$3</f>
        <v>0</v>
      </c>
      <c r="J25" s="31">
        <f>lc_detailed!BO25/$AS$3</f>
        <v>0</v>
      </c>
      <c r="K25" s="31">
        <f>lc_detailed!BP25/$AS$3</f>
        <v>0</v>
      </c>
      <c r="L25" s="31">
        <f>lc_detailed!BQ25/$AS$3</f>
        <v>0</v>
      </c>
      <c r="M25" s="31">
        <f>lc_detailed!BR25/$AS$3</f>
        <v>0</v>
      </c>
      <c r="N25" s="31">
        <f>lc_detailed!BS25/$AS$3</f>
        <v>0</v>
      </c>
      <c r="O25" s="31">
        <f>lc_detailed!BT25/$AS$3</f>
        <v>0</v>
      </c>
      <c r="P25" s="31">
        <f>lc_detailed!CB25/$AS$3</f>
        <v>0</v>
      </c>
      <c r="Q25" s="31">
        <f>lc_detailed!CC25/$AS$3</f>
        <v>0</v>
      </c>
      <c r="R25" s="31">
        <f>lc_detailed!CA25/$AS$3</f>
        <v>0</v>
      </c>
      <c r="S25" s="32">
        <f>lc_detailed!BE25</f>
        <v>0</v>
      </c>
      <c r="T25" s="32">
        <f t="shared" si="1"/>
        <v>0</v>
      </c>
      <c r="U25" s="32">
        <f t="shared" si="2"/>
        <v>0</v>
      </c>
      <c r="W25" s="27">
        <f>lc_detailed!AZ25</f>
        <v>0</v>
      </c>
      <c r="X25" s="33">
        <f>lc_detailed!BH25/$AS$3</f>
        <v>0</v>
      </c>
      <c r="Y25" s="33">
        <f>lc_detailed!BI25/$AS$3</f>
        <v>0</v>
      </c>
      <c r="Z25" s="33">
        <f>lc_detailed!BJ25/$AS$3</f>
        <v>0</v>
      </c>
      <c r="AA25" s="33">
        <f>lc_detailed!BK25/$AS$3</f>
        <v>0</v>
      </c>
      <c r="AB25" s="33">
        <f>lc_detailed!BL25/$AS$3</f>
        <v>0</v>
      </c>
      <c r="AC25" s="33">
        <f>lc_detailed!BM25/$AS$3</f>
        <v>0</v>
      </c>
      <c r="AD25" s="33">
        <f>lc_detailed!BN25/$AS$3</f>
        <v>0</v>
      </c>
      <c r="AE25" s="33">
        <f>lc_detailed!BO25/$AS$3</f>
        <v>0</v>
      </c>
      <c r="AF25" s="33">
        <f>lc_detailed!BP25/$AS$3</f>
        <v>0</v>
      </c>
      <c r="AG25" s="33">
        <f>lc_detailed!BQ25/$AS$3</f>
        <v>0</v>
      </c>
      <c r="AH25" s="33">
        <f>lc_detailed!BR25/$AS$3</f>
        <v>0</v>
      </c>
      <c r="AI25" s="33">
        <f>lc_detailed!BS25/$AS$3</f>
        <v>0</v>
      </c>
      <c r="AJ25" s="33">
        <f>lc_detailed!BT25/$AS$3</f>
        <v>0</v>
      </c>
      <c r="AK25" s="33">
        <f>lc_detailed!BV25/$AS$3</f>
        <v>0</v>
      </c>
      <c r="AL25" s="33">
        <f>lc_detailed!BW25/$AS$3</f>
        <v>0</v>
      </c>
      <c r="AM25" s="33">
        <f>lc_detailed!BU25/$AS$3</f>
        <v>0</v>
      </c>
      <c r="AN25" s="33">
        <f>lc_detailed!BB25</f>
        <v>0</v>
      </c>
      <c r="AO25" s="33">
        <f t="shared" si="0"/>
        <v>0</v>
      </c>
      <c r="AP25" s="33">
        <f t="shared" si="3"/>
        <v>0</v>
      </c>
    </row>
    <row r="26" spans="2:42" ht="17" customHeight="1" x14ac:dyDescent="0.2">
      <c r="B26" s="26">
        <f>lc_detailed!AZ26</f>
        <v>0</v>
      </c>
      <c r="C26" s="31">
        <f>lc_detailed!BH26/$AS$3</f>
        <v>0</v>
      </c>
      <c r="D26" s="31">
        <f>lc_detailed!BI26/$AS$3</f>
        <v>0</v>
      </c>
      <c r="E26" s="31">
        <f>lc_detailed!BJ26/$AS$3</f>
        <v>0</v>
      </c>
      <c r="F26" s="31">
        <f>lc_detailed!BK26/$AS$3</f>
        <v>0</v>
      </c>
      <c r="G26" s="31">
        <f>lc_detailed!BL26/$AS$3</f>
        <v>0</v>
      </c>
      <c r="H26" s="31">
        <f>lc_detailed!BM26/$AS$3</f>
        <v>0</v>
      </c>
      <c r="I26" s="31">
        <f>lc_detailed!BN26/$AS$3</f>
        <v>0</v>
      </c>
      <c r="J26" s="31">
        <f>lc_detailed!BO26/$AS$3</f>
        <v>0</v>
      </c>
      <c r="K26" s="31">
        <f>lc_detailed!BP26/$AS$3</f>
        <v>0</v>
      </c>
      <c r="L26" s="31">
        <f>lc_detailed!BQ26/$AS$3</f>
        <v>0</v>
      </c>
      <c r="M26" s="31">
        <f>lc_detailed!BR26/$AS$3</f>
        <v>0</v>
      </c>
      <c r="N26" s="31">
        <f>lc_detailed!BS26/$AS$3</f>
        <v>0</v>
      </c>
      <c r="O26" s="31">
        <f>lc_detailed!BT26/$AS$3</f>
        <v>0</v>
      </c>
      <c r="P26" s="31">
        <f>lc_detailed!CB26/$AS$3</f>
        <v>0</v>
      </c>
      <c r="Q26" s="31">
        <f>lc_detailed!CC26/$AS$3</f>
        <v>0</v>
      </c>
      <c r="R26" s="31">
        <f>lc_detailed!CA26/$AS$3</f>
        <v>0</v>
      </c>
      <c r="S26" s="32">
        <f>lc_detailed!BE26</f>
        <v>0</v>
      </c>
      <c r="T26" s="32">
        <f t="shared" si="1"/>
        <v>0</v>
      </c>
      <c r="U26" s="32">
        <f t="shared" si="2"/>
        <v>0</v>
      </c>
      <c r="W26" s="27">
        <f>lc_detailed!AZ26</f>
        <v>0</v>
      </c>
      <c r="X26" s="33">
        <f>lc_detailed!BH26/$AS$3</f>
        <v>0</v>
      </c>
      <c r="Y26" s="33">
        <f>lc_detailed!BI26/$AS$3</f>
        <v>0</v>
      </c>
      <c r="Z26" s="33">
        <f>lc_detailed!BJ26/$AS$3</f>
        <v>0</v>
      </c>
      <c r="AA26" s="33">
        <f>lc_detailed!BK26/$AS$3</f>
        <v>0</v>
      </c>
      <c r="AB26" s="33">
        <f>lc_detailed!BL26/$AS$3</f>
        <v>0</v>
      </c>
      <c r="AC26" s="33">
        <f>lc_detailed!BM26/$AS$3</f>
        <v>0</v>
      </c>
      <c r="AD26" s="33">
        <f>lc_detailed!BN26/$AS$3</f>
        <v>0</v>
      </c>
      <c r="AE26" s="33">
        <f>lc_detailed!BO26/$AS$3</f>
        <v>0</v>
      </c>
      <c r="AF26" s="33">
        <f>lc_detailed!BP26/$AS$3</f>
        <v>0</v>
      </c>
      <c r="AG26" s="33">
        <f>lc_detailed!BQ26/$AS$3</f>
        <v>0</v>
      </c>
      <c r="AH26" s="33">
        <f>lc_detailed!BR26/$AS$3</f>
        <v>0</v>
      </c>
      <c r="AI26" s="33">
        <f>lc_detailed!BS26/$AS$3</f>
        <v>0</v>
      </c>
      <c r="AJ26" s="33">
        <f>lc_detailed!BT26/$AS$3</f>
        <v>0</v>
      </c>
      <c r="AK26" s="33">
        <f>lc_detailed!BV26/$AS$3</f>
        <v>0</v>
      </c>
      <c r="AL26" s="33">
        <f>lc_detailed!BW26/$AS$3</f>
        <v>0</v>
      </c>
      <c r="AM26" s="33">
        <f>lc_detailed!BU26/$AS$3</f>
        <v>0</v>
      </c>
      <c r="AN26" s="33">
        <f>lc_detailed!BB26</f>
        <v>0</v>
      </c>
      <c r="AO26" s="33">
        <f t="shared" si="0"/>
        <v>0</v>
      </c>
      <c r="AP26" s="33">
        <f t="shared" si="3"/>
        <v>0</v>
      </c>
    </row>
    <row r="27" spans="2:42" ht="17" customHeight="1" x14ac:dyDescent="0.2">
      <c r="B27" s="26">
        <f>lc_detailed!AZ27</f>
        <v>0</v>
      </c>
      <c r="C27" s="31">
        <f>lc_detailed!BH27/$AS$3</f>
        <v>0</v>
      </c>
      <c r="D27" s="31">
        <f>lc_detailed!BI27/$AS$3</f>
        <v>0</v>
      </c>
      <c r="E27" s="31">
        <f>lc_detailed!BJ27/$AS$3</f>
        <v>0</v>
      </c>
      <c r="F27" s="31">
        <f>lc_detailed!BK27/$AS$3</f>
        <v>0</v>
      </c>
      <c r="G27" s="31">
        <f>lc_detailed!BL27/$AS$3</f>
        <v>0</v>
      </c>
      <c r="H27" s="31">
        <f>lc_detailed!BM27/$AS$3</f>
        <v>0</v>
      </c>
      <c r="I27" s="31">
        <f>lc_detailed!BN27/$AS$3</f>
        <v>0</v>
      </c>
      <c r="J27" s="31">
        <f>lc_detailed!BO27/$AS$3</f>
        <v>0</v>
      </c>
      <c r="K27" s="31">
        <f>lc_detailed!BP27/$AS$3</f>
        <v>0</v>
      </c>
      <c r="L27" s="31">
        <f>lc_detailed!BQ27/$AS$3</f>
        <v>0</v>
      </c>
      <c r="M27" s="31">
        <f>lc_detailed!BR27/$AS$3</f>
        <v>0</v>
      </c>
      <c r="N27" s="31">
        <f>lc_detailed!BS27/$AS$3</f>
        <v>0</v>
      </c>
      <c r="O27" s="31">
        <f>lc_detailed!BT27/$AS$3</f>
        <v>0</v>
      </c>
      <c r="P27" s="31">
        <f>lc_detailed!CB27/$AS$3</f>
        <v>0</v>
      </c>
      <c r="Q27" s="31">
        <f>lc_detailed!CC27/$AS$3</f>
        <v>0</v>
      </c>
      <c r="R27" s="31">
        <f>lc_detailed!CA27/$AS$3</f>
        <v>0</v>
      </c>
      <c r="S27" s="32">
        <f>lc_detailed!BE27</f>
        <v>0</v>
      </c>
      <c r="T27" s="32">
        <f t="shared" si="1"/>
        <v>0</v>
      </c>
      <c r="U27" s="32">
        <f t="shared" si="2"/>
        <v>0</v>
      </c>
      <c r="W27" s="27">
        <f>lc_detailed!AZ27</f>
        <v>0</v>
      </c>
      <c r="X27" s="33">
        <f>lc_detailed!BH27/$AS$3</f>
        <v>0</v>
      </c>
      <c r="Y27" s="33">
        <f>lc_detailed!BI27/$AS$3</f>
        <v>0</v>
      </c>
      <c r="Z27" s="33">
        <f>lc_detailed!BJ27/$AS$3</f>
        <v>0</v>
      </c>
      <c r="AA27" s="33">
        <f>lc_detailed!BK27/$AS$3</f>
        <v>0</v>
      </c>
      <c r="AB27" s="33">
        <f>lc_detailed!BL27/$AS$3</f>
        <v>0</v>
      </c>
      <c r="AC27" s="33">
        <f>lc_detailed!BM27/$AS$3</f>
        <v>0</v>
      </c>
      <c r="AD27" s="33">
        <f>lc_detailed!BN27/$AS$3</f>
        <v>0</v>
      </c>
      <c r="AE27" s="33">
        <f>lc_detailed!BO27/$AS$3</f>
        <v>0</v>
      </c>
      <c r="AF27" s="33">
        <f>lc_detailed!BP27/$AS$3</f>
        <v>0</v>
      </c>
      <c r="AG27" s="33">
        <f>lc_detailed!BQ27/$AS$3</f>
        <v>0</v>
      </c>
      <c r="AH27" s="33">
        <f>lc_detailed!BR27/$AS$3</f>
        <v>0</v>
      </c>
      <c r="AI27" s="33">
        <f>lc_detailed!BS27/$AS$3</f>
        <v>0</v>
      </c>
      <c r="AJ27" s="33">
        <f>lc_detailed!BT27/$AS$3</f>
        <v>0</v>
      </c>
      <c r="AK27" s="33">
        <f>lc_detailed!BV27/$AS$3</f>
        <v>0</v>
      </c>
      <c r="AL27" s="33">
        <f>lc_detailed!BW27/$AS$3</f>
        <v>0</v>
      </c>
      <c r="AM27" s="33">
        <f>lc_detailed!BU27/$AS$3</f>
        <v>0</v>
      </c>
      <c r="AN27" s="33">
        <f>lc_detailed!BB27</f>
        <v>0</v>
      </c>
      <c r="AO27" s="33">
        <f t="shared" si="0"/>
        <v>0</v>
      </c>
      <c r="AP27" s="33">
        <f t="shared" si="3"/>
        <v>0</v>
      </c>
    </row>
    <row r="28" spans="2:42" ht="17" customHeight="1" x14ac:dyDescent="0.2">
      <c r="B28" s="26">
        <f>lc_detailed!AZ28</f>
        <v>0</v>
      </c>
      <c r="C28" s="31">
        <f>lc_detailed!BH28/$AS$3</f>
        <v>0</v>
      </c>
      <c r="D28" s="31">
        <f>lc_detailed!BI28/$AS$3</f>
        <v>0</v>
      </c>
      <c r="E28" s="31">
        <f>lc_detailed!BJ28/$AS$3</f>
        <v>0</v>
      </c>
      <c r="F28" s="31">
        <f>lc_detailed!BK28/$AS$3</f>
        <v>0</v>
      </c>
      <c r="G28" s="31">
        <f>lc_detailed!BL28/$AS$3</f>
        <v>0</v>
      </c>
      <c r="H28" s="31">
        <f>lc_detailed!BM28/$AS$3</f>
        <v>0</v>
      </c>
      <c r="I28" s="31">
        <f>lc_detailed!BN28/$AS$3</f>
        <v>0</v>
      </c>
      <c r="J28" s="31">
        <f>lc_detailed!BO28/$AS$3</f>
        <v>0</v>
      </c>
      <c r="K28" s="31">
        <f>lc_detailed!BP28/$AS$3</f>
        <v>0</v>
      </c>
      <c r="L28" s="31">
        <f>lc_detailed!BQ28/$AS$3</f>
        <v>0</v>
      </c>
      <c r="M28" s="31">
        <f>lc_detailed!BR28/$AS$3</f>
        <v>0</v>
      </c>
      <c r="N28" s="31">
        <f>lc_detailed!BS28/$AS$3</f>
        <v>0</v>
      </c>
      <c r="O28" s="31">
        <f>lc_detailed!BT28/$AS$3</f>
        <v>0</v>
      </c>
      <c r="P28" s="31">
        <f>lc_detailed!CB28/$AS$3</f>
        <v>0</v>
      </c>
      <c r="Q28" s="31">
        <f>lc_detailed!CC28/$AS$3</f>
        <v>0</v>
      </c>
      <c r="R28" s="31">
        <f>lc_detailed!CA28/$AS$3</f>
        <v>0</v>
      </c>
      <c r="S28" s="32">
        <f>lc_detailed!BE28</f>
        <v>0</v>
      </c>
      <c r="T28" s="32">
        <f t="shared" si="1"/>
        <v>0</v>
      </c>
      <c r="U28" s="32">
        <f t="shared" si="2"/>
        <v>0</v>
      </c>
      <c r="W28" s="27">
        <f>lc_detailed!AZ28</f>
        <v>0</v>
      </c>
      <c r="X28" s="33">
        <f>lc_detailed!BH28/$AS$3</f>
        <v>0</v>
      </c>
      <c r="Y28" s="33">
        <f>lc_detailed!BI28/$AS$3</f>
        <v>0</v>
      </c>
      <c r="Z28" s="33">
        <f>lc_detailed!BJ28/$AS$3</f>
        <v>0</v>
      </c>
      <c r="AA28" s="33">
        <f>lc_detailed!BK28/$AS$3</f>
        <v>0</v>
      </c>
      <c r="AB28" s="33">
        <f>lc_detailed!BL28/$AS$3</f>
        <v>0</v>
      </c>
      <c r="AC28" s="33">
        <f>lc_detailed!BM28/$AS$3</f>
        <v>0</v>
      </c>
      <c r="AD28" s="33">
        <f>lc_detailed!BN28/$AS$3</f>
        <v>0</v>
      </c>
      <c r="AE28" s="33">
        <f>lc_detailed!BO28/$AS$3</f>
        <v>0</v>
      </c>
      <c r="AF28" s="33">
        <f>lc_detailed!BP28/$AS$3</f>
        <v>0</v>
      </c>
      <c r="AG28" s="33">
        <f>lc_detailed!BQ28/$AS$3</f>
        <v>0</v>
      </c>
      <c r="AH28" s="33">
        <f>lc_detailed!BR28/$AS$3</f>
        <v>0</v>
      </c>
      <c r="AI28" s="33">
        <f>lc_detailed!BS28/$AS$3</f>
        <v>0</v>
      </c>
      <c r="AJ28" s="33">
        <f>lc_detailed!BT28/$AS$3</f>
        <v>0</v>
      </c>
      <c r="AK28" s="33">
        <f>lc_detailed!BV28/$AS$3</f>
        <v>0</v>
      </c>
      <c r="AL28" s="33">
        <f>lc_detailed!BW28/$AS$3</f>
        <v>0</v>
      </c>
      <c r="AM28" s="33">
        <f>lc_detailed!BU28/$AS$3</f>
        <v>0</v>
      </c>
      <c r="AN28" s="33">
        <f>lc_detailed!BB28</f>
        <v>0</v>
      </c>
      <c r="AO28" s="33">
        <f t="shared" si="0"/>
        <v>0</v>
      </c>
      <c r="AP28" s="33">
        <f t="shared" si="3"/>
        <v>0</v>
      </c>
    </row>
    <row r="29" spans="2:42" ht="17" customHeight="1" x14ac:dyDescent="0.2">
      <c r="B29" s="26">
        <f>lc_detailed!AZ29</f>
        <v>0</v>
      </c>
      <c r="C29" s="31">
        <f>lc_detailed!BH29/$AS$3</f>
        <v>0</v>
      </c>
      <c r="D29" s="31">
        <f>lc_detailed!BI29/$AS$3</f>
        <v>0</v>
      </c>
      <c r="E29" s="31">
        <f>lc_detailed!BJ29/$AS$3</f>
        <v>0</v>
      </c>
      <c r="F29" s="31">
        <f>lc_detailed!BK29/$AS$3</f>
        <v>0</v>
      </c>
      <c r="G29" s="31">
        <f>lc_detailed!BL29/$AS$3</f>
        <v>0</v>
      </c>
      <c r="H29" s="31">
        <f>lc_detailed!BM29/$AS$3</f>
        <v>0</v>
      </c>
      <c r="I29" s="31">
        <f>lc_detailed!BN29/$AS$3</f>
        <v>0</v>
      </c>
      <c r="J29" s="31">
        <f>lc_detailed!BO29/$AS$3</f>
        <v>0</v>
      </c>
      <c r="K29" s="31">
        <f>lc_detailed!BP29/$AS$3</f>
        <v>0</v>
      </c>
      <c r="L29" s="31">
        <f>lc_detailed!BQ29/$AS$3</f>
        <v>0</v>
      </c>
      <c r="M29" s="31">
        <f>lc_detailed!BR29/$AS$3</f>
        <v>0</v>
      </c>
      <c r="N29" s="31">
        <f>lc_detailed!BS29/$AS$3</f>
        <v>0</v>
      </c>
      <c r="O29" s="31">
        <f>lc_detailed!BT29/$AS$3</f>
        <v>0</v>
      </c>
      <c r="P29" s="31">
        <f>lc_detailed!CB29/$AS$3</f>
        <v>0</v>
      </c>
      <c r="Q29" s="31">
        <f>lc_detailed!CC29/$AS$3</f>
        <v>0</v>
      </c>
      <c r="R29" s="31">
        <f>lc_detailed!CA29/$AS$3</f>
        <v>0</v>
      </c>
      <c r="S29" s="32">
        <f>lc_detailed!BE29</f>
        <v>0</v>
      </c>
      <c r="T29" s="32">
        <f t="shared" si="1"/>
        <v>0</v>
      </c>
      <c r="U29" s="32">
        <f t="shared" si="2"/>
        <v>0</v>
      </c>
      <c r="W29" s="27">
        <f>lc_detailed!AZ29</f>
        <v>0</v>
      </c>
      <c r="X29" s="33">
        <f>lc_detailed!BH29/$AS$3</f>
        <v>0</v>
      </c>
      <c r="Y29" s="33">
        <f>lc_detailed!BI29/$AS$3</f>
        <v>0</v>
      </c>
      <c r="Z29" s="33">
        <f>lc_detailed!BJ29/$AS$3</f>
        <v>0</v>
      </c>
      <c r="AA29" s="33">
        <f>lc_detailed!BK29/$AS$3</f>
        <v>0</v>
      </c>
      <c r="AB29" s="33">
        <f>lc_detailed!BL29/$AS$3</f>
        <v>0</v>
      </c>
      <c r="AC29" s="33">
        <f>lc_detailed!BM29/$AS$3</f>
        <v>0</v>
      </c>
      <c r="AD29" s="33">
        <f>lc_detailed!BN29/$AS$3</f>
        <v>0</v>
      </c>
      <c r="AE29" s="33">
        <f>lc_detailed!BO29/$AS$3</f>
        <v>0</v>
      </c>
      <c r="AF29" s="33">
        <f>lc_detailed!BP29/$AS$3</f>
        <v>0</v>
      </c>
      <c r="AG29" s="33">
        <f>lc_detailed!BQ29/$AS$3</f>
        <v>0</v>
      </c>
      <c r="AH29" s="33">
        <f>lc_detailed!BR29/$AS$3</f>
        <v>0</v>
      </c>
      <c r="AI29" s="33">
        <f>lc_detailed!BS29/$AS$3</f>
        <v>0</v>
      </c>
      <c r="AJ29" s="33">
        <f>lc_detailed!BT29/$AS$3</f>
        <v>0</v>
      </c>
      <c r="AK29" s="33">
        <f>lc_detailed!BV29/$AS$3</f>
        <v>0</v>
      </c>
      <c r="AL29" s="33">
        <f>lc_detailed!BW29/$AS$3</f>
        <v>0</v>
      </c>
      <c r="AM29" s="33">
        <f>lc_detailed!BU29/$AS$3</f>
        <v>0</v>
      </c>
      <c r="AN29" s="33">
        <f>lc_detailed!BB29</f>
        <v>0</v>
      </c>
      <c r="AO29" s="33">
        <f t="shared" si="0"/>
        <v>0</v>
      </c>
      <c r="AP29" s="33">
        <f t="shared" si="3"/>
        <v>0</v>
      </c>
    </row>
    <row r="30" spans="2:42" ht="17" customHeight="1" x14ac:dyDescent="0.2">
      <c r="B30" s="26">
        <f>lc_detailed!AZ30</f>
        <v>0</v>
      </c>
      <c r="C30" s="31">
        <f>lc_detailed!BH30/$AS$3</f>
        <v>0</v>
      </c>
      <c r="D30" s="31">
        <f>lc_detailed!BI30/$AS$3</f>
        <v>0</v>
      </c>
      <c r="E30" s="31">
        <f>lc_detailed!BJ30/$AS$3</f>
        <v>0</v>
      </c>
      <c r="F30" s="31">
        <f>lc_detailed!BK30/$AS$3</f>
        <v>0</v>
      </c>
      <c r="G30" s="31">
        <f>lc_detailed!BL30/$AS$3</f>
        <v>0</v>
      </c>
      <c r="H30" s="31">
        <f>lc_detailed!BM30/$AS$3</f>
        <v>0</v>
      </c>
      <c r="I30" s="31">
        <f>lc_detailed!BN30/$AS$3</f>
        <v>0</v>
      </c>
      <c r="J30" s="31">
        <f>lc_detailed!BO30/$AS$3</f>
        <v>0</v>
      </c>
      <c r="K30" s="31">
        <f>lc_detailed!BP30/$AS$3</f>
        <v>0</v>
      </c>
      <c r="L30" s="31">
        <f>lc_detailed!BQ30/$AS$3</f>
        <v>0</v>
      </c>
      <c r="M30" s="31">
        <f>lc_detailed!BR30/$AS$3</f>
        <v>0</v>
      </c>
      <c r="N30" s="31">
        <f>lc_detailed!BS30/$AS$3</f>
        <v>0</v>
      </c>
      <c r="O30" s="31">
        <f>lc_detailed!BT30/$AS$3</f>
        <v>0</v>
      </c>
      <c r="P30" s="31">
        <f>lc_detailed!CB30/$AS$3</f>
        <v>0</v>
      </c>
      <c r="Q30" s="31">
        <f>lc_detailed!CC30/$AS$3</f>
        <v>0</v>
      </c>
      <c r="R30" s="31">
        <f>lc_detailed!CA30/$AS$3</f>
        <v>0</v>
      </c>
      <c r="S30" s="32">
        <f>lc_detailed!BE30</f>
        <v>0</v>
      </c>
      <c r="T30" s="32">
        <f t="shared" si="1"/>
        <v>0</v>
      </c>
      <c r="U30" s="32">
        <f t="shared" si="2"/>
        <v>0</v>
      </c>
      <c r="W30" s="27">
        <f>lc_detailed!AZ30</f>
        <v>0</v>
      </c>
      <c r="X30" s="33">
        <f>lc_detailed!BH30/$AS$3</f>
        <v>0</v>
      </c>
      <c r="Y30" s="33">
        <f>lc_detailed!BI30/$AS$3</f>
        <v>0</v>
      </c>
      <c r="Z30" s="33">
        <f>lc_detailed!BJ30/$AS$3</f>
        <v>0</v>
      </c>
      <c r="AA30" s="33">
        <f>lc_detailed!BK30/$AS$3</f>
        <v>0</v>
      </c>
      <c r="AB30" s="33">
        <f>lc_detailed!BL30/$AS$3</f>
        <v>0</v>
      </c>
      <c r="AC30" s="33">
        <f>lc_detailed!BM30/$AS$3</f>
        <v>0</v>
      </c>
      <c r="AD30" s="33">
        <f>lc_detailed!BN30/$AS$3</f>
        <v>0</v>
      </c>
      <c r="AE30" s="33">
        <f>lc_detailed!BO30/$AS$3</f>
        <v>0</v>
      </c>
      <c r="AF30" s="33">
        <f>lc_detailed!BP30/$AS$3</f>
        <v>0</v>
      </c>
      <c r="AG30" s="33">
        <f>lc_detailed!BQ30/$AS$3</f>
        <v>0</v>
      </c>
      <c r="AH30" s="33">
        <f>lc_detailed!BR30/$AS$3</f>
        <v>0</v>
      </c>
      <c r="AI30" s="33">
        <f>lc_detailed!BS30/$AS$3</f>
        <v>0</v>
      </c>
      <c r="AJ30" s="33">
        <f>lc_detailed!BT30/$AS$3</f>
        <v>0</v>
      </c>
      <c r="AK30" s="33">
        <f>lc_detailed!BV30/$AS$3</f>
        <v>0</v>
      </c>
      <c r="AL30" s="33">
        <f>lc_detailed!BW30/$AS$3</f>
        <v>0</v>
      </c>
      <c r="AM30" s="33">
        <f>lc_detailed!BU30/$AS$3</f>
        <v>0</v>
      </c>
      <c r="AN30" s="33">
        <f>lc_detailed!BB30</f>
        <v>0</v>
      </c>
      <c r="AO30" s="33">
        <f t="shared" si="0"/>
        <v>0</v>
      </c>
      <c r="AP30" s="33">
        <f t="shared" si="3"/>
        <v>0</v>
      </c>
    </row>
    <row r="31" spans="2:42" ht="17" customHeight="1" x14ac:dyDescent="0.2">
      <c r="B31" s="26">
        <f>lc_detailed!AZ31</f>
        <v>0</v>
      </c>
      <c r="C31" s="31">
        <f>lc_detailed!BH31/$AS$3</f>
        <v>0</v>
      </c>
      <c r="D31" s="31">
        <f>lc_detailed!BI31/$AS$3</f>
        <v>0</v>
      </c>
      <c r="E31" s="31">
        <f>lc_detailed!BJ31/$AS$3</f>
        <v>0</v>
      </c>
      <c r="F31" s="31">
        <f>lc_detailed!BK31/$AS$3</f>
        <v>0</v>
      </c>
      <c r="G31" s="31">
        <f>lc_detailed!BL31/$AS$3</f>
        <v>0</v>
      </c>
      <c r="H31" s="31">
        <f>lc_detailed!BM31/$AS$3</f>
        <v>0</v>
      </c>
      <c r="I31" s="31">
        <f>lc_detailed!BN31/$AS$3</f>
        <v>0</v>
      </c>
      <c r="J31" s="31">
        <f>lc_detailed!BO31/$AS$3</f>
        <v>0</v>
      </c>
      <c r="K31" s="31">
        <f>lc_detailed!BP31/$AS$3</f>
        <v>0</v>
      </c>
      <c r="L31" s="31">
        <f>lc_detailed!BQ31/$AS$3</f>
        <v>0</v>
      </c>
      <c r="M31" s="31">
        <f>lc_detailed!BR31/$AS$3</f>
        <v>0</v>
      </c>
      <c r="N31" s="31">
        <f>lc_detailed!BS31/$AS$3</f>
        <v>0</v>
      </c>
      <c r="O31" s="31">
        <f>lc_detailed!BT31/$AS$3</f>
        <v>0</v>
      </c>
      <c r="P31" s="31">
        <f>lc_detailed!CB31/$AS$3</f>
        <v>0</v>
      </c>
      <c r="Q31" s="31">
        <f>lc_detailed!CC31/$AS$3</f>
        <v>0</v>
      </c>
      <c r="R31" s="31">
        <f>lc_detailed!CA31/$AS$3</f>
        <v>0</v>
      </c>
      <c r="S31" s="32">
        <f>lc_detailed!BE31</f>
        <v>0</v>
      </c>
      <c r="T31" s="32">
        <f t="shared" si="1"/>
        <v>0</v>
      </c>
      <c r="U31" s="32">
        <f t="shared" si="2"/>
        <v>0</v>
      </c>
      <c r="W31" s="27">
        <f>lc_detailed!AZ31</f>
        <v>0</v>
      </c>
      <c r="X31" s="33">
        <f>lc_detailed!BH31/$AS$3</f>
        <v>0</v>
      </c>
      <c r="Y31" s="33">
        <f>lc_detailed!BI31/$AS$3</f>
        <v>0</v>
      </c>
      <c r="Z31" s="33">
        <f>lc_detailed!BJ31/$AS$3</f>
        <v>0</v>
      </c>
      <c r="AA31" s="33">
        <f>lc_detailed!BK31/$AS$3</f>
        <v>0</v>
      </c>
      <c r="AB31" s="33">
        <f>lc_detailed!BL31/$AS$3</f>
        <v>0</v>
      </c>
      <c r="AC31" s="33">
        <f>lc_detailed!BM31/$AS$3</f>
        <v>0</v>
      </c>
      <c r="AD31" s="33">
        <f>lc_detailed!BN31/$AS$3</f>
        <v>0</v>
      </c>
      <c r="AE31" s="33">
        <f>lc_detailed!BO31/$AS$3</f>
        <v>0</v>
      </c>
      <c r="AF31" s="33">
        <f>lc_detailed!BP31/$AS$3</f>
        <v>0</v>
      </c>
      <c r="AG31" s="33">
        <f>lc_detailed!BQ31/$AS$3</f>
        <v>0</v>
      </c>
      <c r="AH31" s="33">
        <f>lc_detailed!BR31/$AS$3</f>
        <v>0</v>
      </c>
      <c r="AI31" s="33">
        <f>lc_detailed!BS31/$AS$3</f>
        <v>0</v>
      </c>
      <c r="AJ31" s="33">
        <f>lc_detailed!BT31/$AS$3</f>
        <v>0</v>
      </c>
      <c r="AK31" s="33">
        <f>lc_detailed!BV31/$AS$3</f>
        <v>0</v>
      </c>
      <c r="AL31" s="33">
        <f>lc_detailed!BW31/$AS$3</f>
        <v>0</v>
      </c>
      <c r="AM31" s="33">
        <f>lc_detailed!BU31/$AS$3</f>
        <v>0</v>
      </c>
      <c r="AN31" s="33">
        <f>lc_detailed!BB31</f>
        <v>0</v>
      </c>
      <c r="AO31" s="33">
        <f t="shared" si="0"/>
        <v>0</v>
      </c>
      <c r="AP31" s="33">
        <f t="shared" si="3"/>
        <v>0</v>
      </c>
    </row>
    <row r="32" spans="2:42" ht="17" customHeight="1" x14ac:dyDescent="0.2">
      <c r="B32" s="26">
        <f>lc_detailed!AZ32</f>
        <v>0</v>
      </c>
      <c r="C32" s="31">
        <f>lc_detailed!BH32/$AS$3</f>
        <v>0</v>
      </c>
      <c r="D32" s="31">
        <f>lc_detailed!BI32/$AS$3</f>
        <v>0</v>
      </c>
      <c r="E32" s="31">
        <f>lc_detailed!BJ32/$AS$3</f>
        <v>0</v>
      </c>
      <c r="F32" s="31">
        <f>lc_detailed!BK32/$AS$3</f>
        <v>0</v>
      </c>
      <c r="G32" s="31">
        <f>lc_detailed!BL32/$AS$3</f>
        <v>0</v>
      </c>
      <c r="H32" s="31">
        <f>lc_detailed!BM32/$AS$3</f>
        <v>0</v>
      </c>
      <c r="I32" s="31">
        <f>lc_detailed!BN32/$AS$3</f>
        <v>0</v>
      </c>
      <c r="J32" s="31">
        <f>lc_detailed!BO32/$AS$3</f>
        <v>0</v>
      </c>
      <c r="K32" s="31">
        <f>lc_detailed!BP32/$AS$3</f>
        <v>0</v>
      </c>
      <c r="L32" s="31">
        <f>lc_detailed!BQ32/$AS$3</f>
        <v>0</v>
      </c>
      <c r="M32" s="31">
        <f>lc_detailed!BR32/$AS$3</f>
        <v>0</v>
      </c>
      <c r="N32" s="31">
        <f>lc_detailed!BS32/$AS$3</f>
        <v>0</v>
      </c>
      <c r="O32" s="31">
        <f>lc_detailed!BT32/$AS$3</f>
        <v>0</v>
      </c>
      <c r="P32" s="31">
        <f>lc_detailed!CB32/$AS$3</f>
        <v>0</v>
      </c>
      <c r="Q32" s="31">
        <f>lc_detailed!CC32/$AS$3</f>
        <v>0</v>
      </c>
      <c r="R32" s="31">
        <f>lc_detailed!CA32/$AS$3</f>
        <v>0</v>
      </c>
      <c r="S32" s="32">
        <f>lc_detailed!BE32</f>
        <v>0</v>
      </c>
      <c r="T32" s="32">
        <f t="shared" si="1"/>
        <v>0</v>
      </c>
      <c r="U32" s="32">
        <f t="shared" si="2"/>
        <v>0</v>
      </c>
      <c r="W32" s="27">
        <f>lc_detailed!AZ32</f>
        <v>0</v>
      </c>
      <c r="X32" s="33">
        <f>lc_detailed!BH32/$AS$3</f>
        <v>0</v>
      </c>
      <c r="Y32" s="33">
        <f>lc_detailed!BI32/$AS$3</f>
        <v>0</v>
      </c>
      <c r="Z32" s="33">
        <f>lc_detailed!BJ32/$AS$3</f>
        <v>0</v>
      </c>
      <c r="AA32" s="33">
        <f>lc_detailed!BK32/$AS$3</f>
        <v>0</v>
      </c>
      <c r="AB32" s="33">
        <f>lc_detailed!BL32/$AS$3</f>
        <v>0</v>
      </c>
      <c r="AC32" s="33">
        <f>lc_detailed!BM32/$AS$3</f>
        <v>0</v>
      </c>
      <c r="AD32" s="33">
        <f>lc_detailed!BN32/$AS$3</f>
        <v>0</v>
      </c>
      <c r="AE32" s="33">
        <f>lc_detailed!BO32/$AS$3</f>
        <v>0</v>
      </c>
      <c r="AF32" s="33">
        <f>lc_detailed!BP32/$AS$3</f>
        <v>0</v>
      </c>
      <c r="AG32" s="33">
        <f>lc_detailed!BQ32/$AS$3</f>
        <v>0</v>
      </c>
      <c r="AH32" s="33">
        <f>lc_detailed!BR32/$AS$3</f>
        <v>0</v>
      </c>
      <c r="AI32" s="33">
        <f>lc_detailed!BS32/$AS$3</f>
        <v>0</v>
      </c>
      <c r="AJ32" s="33">
        <f>lc_detailed!BT32/$AS$3</f>
        <v>0</v>
      </c>
      <c r="AK32" s="33">
        <f>lc_detailed!BV32/$AS$3</f>
        <v>0</v>
      </c>
      <c r="AL32" s="33">
        <f>lc_detailed!BW32/$AS$3</f>
        <v>0</v>
      </c>
      <c r="AM32" s="33">
        <f>lc_detailed!BU32/$AS$3</f>
        <v>0</v>
      </c>
      <c r="AN32" s="33">
        <f>lc_detailed!BB32</f>
        <v>0</v>
      </c>
      <c r="AO32" s="33">
        <f t="shared" si="0"/>
        <v>0</v>
      </c>
      <c r="AP32" s="33">
        <f t="shared" si="3"/>
        <v>0</v>
      </c>
    </row>
    <row r="33" spans="2:42" ht="17" customHeight="1" x14ac:dyDescent="0.2">
      <c r="B33" s="26">
        <f>lc_detailed!AZ33</f>
        <v>0</v>
      </c>
      <c r="C33" s="31">
        <f>lc_detailed!BH33/$AS$3</f>
        <v>0</v>
      </c>
      <c r="D33" s="31">
        <f>lc_detailed!BI33/$AS$3</f>
        <v>0</v>
      </c>
      <c r="E33" s="31">
        <f>lc_detailed!BJ33/$AS$3</f>
        <v>0</v>
      </c>
      <c r="F33" s="31">
        <f>lc_detailed!BK33/$AS$3</f>
        <v>0</v>
      </c>
      <c r="G33" s="31">
        <f>lc_detailed!BL33/$AS$3</f>
        <v>0</v>
      </c>
      <c r="H33" s="31">
        <f>lc_detailed!BM33/$AS$3</f>
        <v>0</v>
      </c>
      <c r="I33" s="31">
        <f>lc_detailed!BN33/$AS$3</f>
        <v>0</v>
      </c>
      <c r="J33" s="31">
        <f>lc_detailed!BO33/$AS$3</f>
        <v>0</v>
      </c>
      <c r="K33" s="31">
        <f>lc_detailed!BP33/$AS$3</f>
        <v>0</v>
      </c>
      <c r="L33" s="31">
        <f>lc_detailed!BQ33/$AS$3</f>
        <v>0</v>
      </c>
      <c r="M33" s="31">
        <f>lc_detailed!BR33/$AS$3</f>
        <v>0</v>
      </c>
      <c r="N33" s="31">
        <f>lc_detailed!BS33/$AS$3</f>
        <v>0</v>
      </c>
      <c r="O33" s="31">
        <f>lc_detailed!BT33/$AS$3</f>
        <v>0</v>
      </c>
      <c r="P33" s="31">
        <f>lc_detailed!CB33/$AS$3</f>
        <v>0</v>
      </c>
      <c r="Q33" s="31">
        <f>lc_detailed!CC33/$AS$3</f>
        <v>0</v>
      </c>
      <c r="R33" s="31">
        <f>lc_detailed!CA33/$AS$3</f>
        <v>0</v>
      </c>
      <c r="S33" s="32">
        <f>lc_detailed!BE33</f>
        <v>0</v>
      </c>
      <c r="T33" s="32">
        <f t="shared" si="1"/>
        <v>0</v>
      </c>
      <c r="U33" s="32">
        <f t="shared" si="2"/>
        <v>0</v>
      </c>
      <c r="W33" s="27">
        <f>lc_detailed!AZ33</f>
        <v>0</v>
      </c>
      <c r="X33" s="33">
        <f>lc_detailed!BH33/$AS$3</f>
        <v>0</v>
      </c>
      <c r="Y33" s="33">
        <f>lc_detailed!BI33/$AS$3</f>
        <v>0</v>
      </c>
      <c r="Z33" s="33">
        <f>lc_detailed!BJ33/$AS$3</f>
        <v>0</v>
      </c>
      <c r="AA33" s="33">
        <f>lc_detailed!BK33/$AS$3</f>
        <v>0</v>
      </c>
      <c r="AB33" s="33">
        <f>lc_detailed!BL33/$AS$3</f>
        <v>0</v>
      </c>
      <c r="AC33" s="33">
        <f>lc_detailed!BM33/$AS$3</f>
        <v>0</v>
      </c>
      <c r="AD33" s="33">
        <f>lc_detailed!BN33/$AS$3</f>
        <v>0</v>
      </c>
      <c r="AE33" s="33">
        <f>lc_detailed!BO33/$AS$3</f>
        <v>0</v>
      </c>
      <c r="AF33" s="33">
        <f>lc_detailed!BP33/$AS$3</f>
        <v>0</v>
      </c>
      <c r="AG33" s="33">
        <f>lc_detailed!BQ33/$AS$3</f>
        <v>0</v>
      </c>
      <c r="AH33" s="33">
        <f>lc_detailed!BR33/$AS$3</f>
        <v>0</v>
      </c>
      <c r="AI33" s="33">
        <f>lc_detailed!BS33/$AS$3</f>
        <v>0</v>
      </c>
      <c r="AJ33" s="33">
        <f>lc_detailed!BT33/$AS$3</f>
        <v>0</v>
      </c>
      <c r="AK33" s="33">
        <f>lc_detailed!BV33/$AS$3</f>
        <v>0</v>
      </c>
      <c r="AL33" s="33">
        <f>lc_detailed!BW33/$AS$3</f>
        <v>0</v>
      </c>
      <c r="AM33" s="33">
        <f>lc_detailed!BU33/$AS$3</f>
        <v>0</v>
      </c>
      <c r="AN33" s="33">
        <f>lc_detailed!BB33</f>
        <v>0</v>
      </c>
      <c r="AO33" s="33">
        <f t="shared" si="0"/>
        <v>0</v>
      </c>
      <c r="AP33" s="33">
        <f t="shared" si="3"/>
        <v>0</v>
      </c>
    </row>
    <row r="34" spans="2:42" ht="17" customHeight="1" x14ac:dyDescent="0.2">
      <c r="B34" s="26">
        <f>lc_detailed!AZ34</f>
        <v>0</v>
      </c>
      <c r="C34" s="31">
        <f>lc_detailed!BH34/$AS$3</f>
        <v>0</v>
      </c>
      <c r="D34" s="31">
        <f>lc_detailed!BI34/$AS$3</f>
        <v>0</v>
      </c>
      <c r="E34" s="31">
        <f>lc_detailed!BJ34/$AS$3</f>
        <v>0</v>
      </c>
      <c r="F34" s="31">
        <f>lc_detailed!BK34/$AS$3</f>
        <v>0</v>
      </c>
      <c r="G34" s="31">
        <f>lc_detailed!BL34/$AS$3</f>
        <v>0</v>
      </c>
      <c r="H34" s="31">
        <f>lc_detailed!BM34/$AS$3</f>
        <v>0</v>
      </c>
      <c r="I34" s="31">
        <f>lc_detailed!BN34/$AS$3</f>
        <v>0</v>
      </c>
      <c r="J34" s="31">
        <f>lc_detailed!BO34/$AS$3</f>
        <v>0</v>
      </c>
      <c r="K34" s="31">
        <f>lc_detailed!BP34/$AS$3</f>
        <v>0</v>
      </c>
      <c r="L34" s="31">
        <f>lc_detailed!BQ34/$AS$3</f>
        <v>0</v>
      </c>
      <c r="M34" s="31">
        <f>lc_detailed!BR34/$AS$3</f>
        <v>0</v>
      </c>
      <c r="N34" s="31">
        <f>lc_detailed!BS34/$AS$3</f>
        <v>0</v>
      </c>
      <c r="O34" s="31">
        <f>lc_detailed!BT34/$AS$3</f>
        <v>0</v>
      </c>
      <c r="P34" s="31">
        <f>lc_detailed!CB34/$AS$3</f>
        <v>0</v>
      </c>
      <c r="Q34" s="31">
        <f>lc_detailed!CC34/$AS$3</f>
        <v>0</v>
      </c>
      <c r="R34" s="31">
        <f>lc_detailed!CA34/$AS$3</f>
        <v>0</v>
      </c>
      <c r="S34" s="32">
        <f>lc_detailed!BE34</f>
        <v>0</v>
      </c>
      <c r="T34" s="32">
        <f t="shared" si="1"/>
        <v>0</v>
      </c>
      <c r="U34" s="32">
        <f t="shared" si="2"/>
        <v>0</v>
      </c>
      <c r="W34" s="27">
        <f>lc_detailed!AZ34</f>
        <v>0</v>
      </c>
      <c r="X34" s="33">
        <f>lc_detailed!BH34/$AS$3</f>
        <v>0</v>
      </c>
      <c r="Y34" s="33">
        <f>lc_detailed!BI34/$AS$3</f>
        <v>0</v>
      </c>
      <c r="Z34" s="33">
        <f>lc_detailed!BJ34/$AS$3</f>
        <v>0</v>
      </c>
      <c r="AA34" s="33">
        <f>lc_detailed!BK34/$AS$3</f>
        <v>0</v>
      </c>
      <c r="AB34" s="33">
        <f>lc_detailed!BL34/$AS$3</f>
        <v>0</v>
      </c>
      <c r="AC34" s="33">
        <f>lc_detailed!BM34/$AS$3</f>
        <v>0</v>
      </c>
      <c r="AD34" s="33">
        <f>lc_detailed!BN34/$AS$3</f>
        <v>0</v>
      </c>
      <c r="AE34" s="33">
        <f>lc_detailed!BO34/$AS$3</f>
        <v>0</v>
      </c>
      <c r="AF34" s="33">
        <f>lc_detailed!BP34/$AS$3</f>
        <v>0</v>
      </c>
      <c r="AG34" s="33">
        <f>lc_detailed!BQ34/$AS$3</f>
        <v>0</v>
      </c>
      <c r="AH34" s="33">
        <f>lc_detailed!BR34/$AS$3</f>
        <v>0</v>
      </c>
      <c r="AI34" s="33">
        <f>lc_detailed!BS34/$AS$3</f>
        <v>0</v>
      </c>
      <c r="AJ34" s="33">
        <f>lc_detailed!BT34/$AS$3</f>
        <v>0</v>
      </c>
      <c r="AK34" s="33">
        <f>lc_detailed!BV34/$AS$3</f>
        <v>0</v>
      </c>
      <c r="AL34" s="33">
        <f>lc_detailed!BW34/$AS$3</f>
        <v>0</v>
      </c>
      <c r="AM34" s="33">
        <f>lc_detailed!BU34/$AS$3</f>
        <v>0</v>
      </c>
      <c r="AN34" s="33">
        <f>lc_detailed!BB34</f>
        <v>0</v>
      </c>
      <c r="AO34" s="33">
        <f t="shared" si="0"/>
        <v>0</v>
      </c>
      <c r="AP34" s="33">
        <f t="shared" si="3"/>
        <v>0</v>
      </c>
    </row>
    <row r="35" spans="2:42" ht="17" customHeight="1" x14ac:dyDescent="0.2">
      <c r="B35" s="26">
        <f>lc_detailed!AZ35</f>
        <v>0</v>
      </c>
      <c r="C35" s="31">
        <f>lc_detailed!BH35/$AS$3</f>
        <v>0</v>
      </c>
      <c r="D35" s="31">
        <f>lc_detailed!BI35/$AS$3</f>
        <v>0</v>
      </c>
      <c r="E35" s="31">
        <f>lc_detailed!BJ35/$AS$3</f>
        <v>0</v>
      </c>
      <c r="F35" s="31">
        <f>lc_detailed!BK35/$AS$3</f>
        <v>0</v>
      </c>
      <c r="G35" s="31">
        <f>lc_detailed!BL35/$AS$3</f>
        <v>0</v>
      </c>
      <c r="H35" s="31">
        <f>lc_detailed!BM35/$AS$3</f>
        <v>0</v>
      </c>
      <c r="I35" s="31">
        <f>lc_detailed!BN35/$AS$3</f>
        <v>0</v>
      </c>
      <c r="J35" s="31">
        <f>lc_detailed!BO35/$AS$3</f>
        <v>0</v>
      </c>
      <c r="K35" s="31">
        <f>lc_detailed!BP35/$AS$3</f>
        <v>0</v>
      </c>
      <c r="L35" s="31">
        <f>lc_detailed!BQ35/$AS$3</f>
        <v>0</v>
      </c>
      <c r="M35" s="31">
        <f>lc_detailed!BR35/$AS$3</f>
        <v>0</v>
      </c>
      <c r="N35" s="31">
        <f>lc_detailed!BS35/$AS$3</f>
        <v>0</v>
      </c>
      <c r="O35" s="31">
        <f>lc_detailed!BT35/$AS$3</f>
        <v>0</v>
      </c>
      <c r="P35" s="31">
        <f>lc_detailed!CB35/$AS$3</f>
        <v>0</v>
      </c>
      <c r="Q35" s="31">
        <f>lc_detailed!CC35/$AS$3</f>
        <v>0</v>
      </c>
      <c r="R35" s="31">
        <f>lc_detailed!CA35/$AS$3</f>
        <v>0</v>
      </c>
      <c r="S35" s="32">
        <f>lc_detailed!BE35</f>
        <v>0</v>
      </c>
      <c r="T35" s="32">
        <f t="shared" si="1"/>
        <v>0</v>
      </c>
      <c r="U35" s="32">
        <f t="shared" si="2"/>
        <v>0</v>
      </c>
      <c r="W35" s="27">
        <f>lc_detailed!AZ35</f>
        <v>0</v>
      </c>
      <c r="X35" s="33">
        <f>lc_detailed!BH35/$AS$3</f>
        <v>0</v>
      </c>
      <c r="Y35" s="33">
        <f>lc_detailed!BI35/$AS$3</f>
        <v>0</v>
      </c>
      <c r="Z35" s="33">
        <f>lc_detailed!BJ35/$AS$3</f>
        <v>0</v>
      </c>
      <c r="AA35" s="33">
        <f>lc_detailed!BK35/$AS$3</f>
        <v>0</v>
      </c>
      <c r="AB35" s="33">
        <f>lc_detailed!BL35/$AS$3</f>
        <v>0</v>
      </c>
      <c r="AC35" s="33">
        <f>lc_detailed!BM35/$AS$3</f>
        <v>0</v>
      </c>
      <c r="AD35" s="33">
        <f>lc_detailed!BN35/$AS$3</f>
        <v>0</v>
      </c>
      <c r="AE35" s="33">
        <f>lc_detailed!BO35/$AS$3</f>
        <v>0</v>
      </c>
      <c r="AF35" s="33">
        <f>lc_detailed!BP35/$AS$3</f>
        <v>0</v>
      </c>
      <c r="AG35" s="33">
        <f>lc_detailed!BQ35/$AS$3</f>
        <v>0</v>
      </c>
      <c r="AH35" s="33">
        <f>lc_detailed!BR35/$AS$3</f>
        <v>0</v>
      </c>
      <c r="AI35" s="33">
        <f>lc_detailed!BS35/$AS$3</f>
        <v>0</v>
      </c>
      <c r="AJ35" s="33">
        <f>lc_detailed!BT35/$AS$3</f>
        <v>0</v>
      </c>
      <c r="AK35" s="33">
        <f>lc_detailed!BV35/$AS$3</f>
        <v>0</v>
      </c>
      <c r="AL35" s="33">
        <f>lc_detailed!BW35/$AS$3</f>
        <v>0</v>
      </c>
      <c r="AM35" s="33">
        <f>lc_detailed!BU35/$AS$3</f>
        <v>0</v>
      </c>
      <c r="AN35" s="33">
        <f>lc_detailed!BB35</f>
        <v>0</v>
      </c>
      <c r="AO35" s="33">
        <f t="shared" si="0"/>
        <v>0</v>
      </c>
      <c r="AP35" s="33">
        <f t="shared" si="3"/>
        <v>0</v>
      </c>
    </row>
    <row r="36" spans="2:42" ht="17" customHeight="1" x14ac:dyDescent="0.2">
      <c r="B36" s="26">
        <f>lc_detailed!AZ36</f>
        <v>0</v>
      </c>
      <c r="C36" s="31">
        <f>lc_detailed!BH36/$AS$3</f>
        <v>0</v>
      </c>
      <c r="D36" s="31">
        <f>lc_detailed!BI36/$AS$3</f>
        <v>0</v>
      </c>
      <c r="E36" s="31">
        <f>lc_detailed!BJ36/$AS$3</f>
        <v>0</v>
      </c>
      <c r="F36" s="31">
        <f>lc_detailed!BK36/$AS$3</f>
        <v>0</v>
      </c>
      <c r="G36" s="31">
        <f>lc_detailed!BL36/$AS$3</f>
        <v>0</v>
      </c>
      <c r="H36" s="31">
        <f>lc_detailed!BM36/$AS$3</f>
        <v>0</v>
      </c>
      <c r="I36" s="31">
        <f>lc_detailed!BN36/$AS$3</f>
        <v>0</v>
      </c>
      <c r="J36" s="31">
        <f>lc_detailed!BO36/$AS$3</f>
        <v>0</v>
      </c>
      <c r="K36" s="31">
        <f>lc_detailed!BP36/$AS$3</f>
        <v>0</v>
      </c>
      <c r="L36" s="31">
        <f>lc_detailed!BQ36/$AS$3</f>
        <v>0</v>
      </c>
      <c r="M36" s="31">
        <f>lc_detailed!BR36/$AS$3</f>
        <v>0</v>
      </c>
      <c r="N36" s="31">
        <f>lc_detailed!BS36/$AS$3</f>
        <v>0</v>
      </c>
      <c r="O36" s="31">
        <f>lc_detailed!BT36/$AS$3</f>
        <v>0</v>
      </c>
      <c r="P36" s="31">
        <f>lc_detailed!CB36/$AS$3</f>
        <v>0</v>
      </c>
      <c r="Q36" s="31">
        <f>lc_detailed!CC36/$AS$3</f>
        <v>0</v>
      </c>
      <c r="R36" s="31">
        <f>lc_detailed!CA36/$AS$3</f>
        <v>0</v>
      </c>
      <c r="S36" s="32">
        <f>lc_detailed!BE36</f>
        <v>0</v>
      </c>
      <c r="T36" s="32">
        <f t="shared" ref="T36:T59" si="4">SUM(C36:Q36)</f>
        <v>0</v>
      </c>
      <c r="U36" s="32">
        <f t="shared" si="2"/>
        <v>0</v>
      </c>
      <c r="W36" s="27">
        <f>lc_detailed!AZ36</f>
        <v>0</v>
      </c>
      <c r="X36" s="33">
        <f>lc_detailed!BH36/$AS$3</f>
        <v>0</v>
      </c>
      <c r="Y36" s="33">
        <f>lc_detailed!BI36/$AS$3</f>
        <v>0</v>
      </c>
      <c r="Z36" s="33">
        <f>lc_detailed!BJ36/$AS$3</f>
        <v>0</v>
      </c>
      <c r="AA36" s="33">
        <f>lc_detailed!BK36/$AS$3</f>
        <v>0</v>
      </c>
      <c r="AB36" s="33">
        <f>lc_detailed!BL36/$AS$3</f>
        <v>0</v>
      </c>
      <c r="AC36" s="33">
        <f>lc_detailed!BM36/$AS$3</f>
        <v>0</v>
      </c>
      <c r="AD36" s="33">
        <f>lc_detailed!BN36/$AS$3</f>
        <v>0</v>
      </c>
      <c r="AE36" s="33">
        <f>lc_detailed!BO36/$AS$3</f>
        <v>0</v>
      </c>
      <c r="AF36" s="33">
        <f>lc_detailed!BP36/$AS$3</f>
        <v>0</v>
      </c>
      <c r="AG36" s="33">
        <f>lc_detailed!BQ36/$AS$3</f>
        <v>0</v>
      </c>
      <c r="AH36" s="33">
        <f>lc_detailed!BR36/$AS$3</f>
        <v>0</v>
      </c>
      <c r="AI36" s="33">
        <f>lc_detailed!BS36/$AS$3</f>
        <v>0</v>
      </c>
      <c r="AJ36" s="33">
        <f>lc_detailed!BT36/$AS$3</f>
        <v>0</v>
      </c>
      <c r="AK36" s="33">
        <f>lc_detailed!BV36/$AS$3</f>
        <v>0</v>
      </c>
      <c r="AL36" s="33">
        <f>lc_detailed!BW36/$AS$3</f>
        <v>0</v>
      </c>
      <c r="AM36" s="33">
        <f>lc_detailed!BU36/$AS$3</f>
        <v>0</v>
      </c>
      <c r="AN36" s="33">
        <f>lc_detailed!BB36</f>
        <v>0</v>
      </c>
      <c r="AO36" s="33">
        <f t="shared" ref="AO36:AO59" si="5">SUM(X36:AL36)</f>
        <v>0</v>
      </c>
      <c r="AP36" s="33">
        <f t="shared" si="3"/>
        <v>0</v>
      </c>
    </row>
    <row r="37" spans="2:42" ht="17" customHeight="1" x14ac:dyDescent="0.2">
      <c r="B37" s="26">
        <f>lc_detailed!AZ37</f>
        <v>0</v>
      </c>
      <c r="C37" s="31">
        <f>lc_detailed!BH37/$AS$3</f>
        <v>0</v>
      </c>
      <c r="D37" s="31">
        <f>lc_detailed!BI37/$AS$3</f>
        <v>0</v>
      </c>
      <c r="E37" s="31">
        <f>lc_detailed!BJ37/$AS$3</f>
        <v>0</v>
      </c>
      <c r="F37" s="31">
        <f>lc_detailed!BK37/$AS$3</f>
        <v>0</v>
      </c>
      <c r="G37" s="31">
        <f>lc_detailed!BL37/$AS$3</f>
        <v>0</v>
      </c>
      <c r="H37" s="31">
        <f>lc_detailed!BM37/$AS$3</f>
        <v>0</v>
      </c>
      <c r="I37" s="31">
        <f>lc_detailed!BN37/$AS$3</f>
        <v>0</v>
      </c>
      <c r="J37" s="31">
        <f>lc_detailed!BO37/$AS$3</f>
        <v>0</v>
      </c>
      <c r="K37" s="31">
        <f>lc_detailed!BP37/$AS$3</f>
        <v>0</v>
      </c>
      <c r="L37" s="31">
        <f>lc_detailed!BQ37/$AS$3</f>
        <v>0</v>
      </c>
      <c r="M37" s="31">
        <f>lc_detailed!BR37/$AS$3</f>
        <v>0</v>
      </c>
      <c r="N37" s="31">
        <f>lc_detailed!BS37/$AS$3</f>
        <v>0</v>
      </c>
      <c r="O37" s="31">
        <f>lc_detailed!BT37/$AS$3</f>
        <v>0</v>
      </c>
      <c r="P37" s="31">
        <f>lc_detailed!CB37/$AS$3</f>
        <v>0</v>
      </c>
      <c r="Q37" s="31">
        <f>lc_detailed!CC37/$AS$3</f>
        <v>0</v>
      </c>
      <c r="R37" s="31">
        <f>lc_detailed!CA37/$AS$3</f>
        <v>0</v>
      </c>
      <c r="S37" s="32">
        <f>lc_detailed!BE37</f>
        <v>0</v>
      </c>
      <c r="T37" s="32">
        <f t="shared" si="4"/>
        <v>0</v>
      </c>
      <c r="U37" s="32">
        <f t="shared" si="2"/>
        <v>0</v>
      </c>
      <c r="W37" s="27">
        <f>lc_detailed!AZ37</f>
        <v>0</v>
      </c>
      <c r="X37" s="33">
        <f>lc_detailed!BH37/$AS$3</f>
        <v>0</v>
      </c>
      <c r="Y37" s="33">
        <f>lc_detailed!BI37/$AS$3</f>
        <v>0</v>
      </c>
      <c r="Z37" s="33">
        <f>lc_detailed!BJ37/$AS$3</f>
        <v>0</v>
      </c>
      <c r="AA37" s="33">
        <f>lc_detailed!BK37/$AS$3</f>
        <v>0</v>
      </c>
      <c r="AB37" s="33">
        <f>lc_detailed!BL37/$AS$3</f>
        <v>0</v>
      </c>
      <c r="AC37" s="33">
        <f>lc_detailed!BM37/$AS$3</f>
        <v>0</v>
      </c>
      <c r="AD37" s="33">
        <f>lc_detailed!BN37/$AS$3</f>
        <v>0</v>
      </c>
      <c r="AE37" s="33">
        <f>lc_detailed!BO37/$AS$3</f>
        <v>0</v>
      </c>
      <c r="AF37" s="33">
        <f>lc_detailed!BP37/$AS$3</f>
        <v>0</v>
      </c>
      <c r="AG37" s="33">
        <f>lc_detailed!BQ37/$AS$3</f>
        <v>0</v>
      </c>
      <c r="AH37" s="33">
        <f>lc_detailed!BR37/$AS$3</f>
        <v>0</v>
      </c>
      <c r="AI37" s="33">
        <f>lc_detailed!BS37/$AS$3</f>
        <v>0</v>
      </c>
      <c r="AJ37" s="33">
        <f>lc_detailed!BT37/$AS$3</f>
        <v>0</v>
      </c>
      <c r="AK37" s="33">
        <f>lc_detailed!BV37/$AS$3</f>
        <v>0</v>
      </c>
      <c r="AL37" s="33">
        <f>lc_detailed!BW37/$AS$3</f>
        <v>0</v>
      </c>
      <c r="AM37" s="33">
        <f>lc_detailed!BU37/$AS$3</f>
        <v>0</v>
      </c>
      <c r="AN37" s="33">
        <f>lc_detailed!BB37</f>
        <v>0</v>
      </c>
      <c r="AO37" s="33">
        <f t="shared" si="5"/>
        <v>0</v>
      </c>
      <c r="AP37" s="33">
        <f t="shared" si="3"/>
        <v>0</v>
      </c>
    </row>
    <row r="38" spans="2:42" ht="17" customHeight="1" x14ac:dyDescent="0.2">
      <c r="B38" s="26">
        <f>lc_detailed!AZ38</f>
        <v>0</v>
      </c>
      <c r="C38" s="31">
        <f>lc_detailed!BH38/$AS$3</f>
        <v>0</v>
      </c>
      <c r="D38" s="31">
        <f>lc_detailed!BI38/$AS$3</f>
        <v>0</v>
      </c>
      <c r="E38" s="31">
        <f>lc_detailed!BJ38/$AS$3</f>
        <v>0</v>
      </c>
      <c r="F38" s="31">
        <f>lc_detailed!BK38/$AS$3</f>
        <v>0</v>
      </c>
      <c r="G38" s="31">
        <f>lc_detailed!BL38/$AS$3</f>
        <v>0</v>
      </c>
      <c r="H38" s="31">
        <f>lc_detailed!BM38/$AS$3</f>
        <v>0</v>
      </c>
      <c r="I38" s="31">
        <f>lc_detailed!BN38/$AS$3</f>
        <v>0</v>
      </c>
      <c r="J38" s="31">
        <f>lc_detailed!BO38/$AS$3</f>
        <v>0</v>
      </c>
      <c r="K38" s="31">
        <f>lc_detailed!BP38/$AS$3</f>
        <v>0</v>
      </c>
      <c r="L38" s="31">
        <f>lc_detailed!BQ38/$AS$3</f>
        <v>0</v>
      </c>
      <c r="M38" s="31">
        <f>lc_detailed!BR38/$AS$3</f>
        <v>0</v>
      </c>
      <c r="N38" s="31">
        <f>lc_detailed!BS38/$AS$3</f>
        <v>0</v>
      </c>
      <c r="O38" s="31">
        <f>lc_detailed!BT38/$AS$3</f>
        <v>0</v>
      </c>
      <c r="P38" s="31">
        <f>lc_detailed!CB38/$AS$3</f>
        <v>0</v>
      </c>
      <c r="Q38" s="31">
        <f>lc_detailed!CC38/$AS$3</f>
        <v>0</v>
      </c>
      <c r="R38" s="31">
        <f>lc_detailed!CA38/$AS$3</f>
        <v>0</v>
      </c>
      <c r="S38" s="32">
        <f>lc_detailed!BE38</f>
        <v>0</v>
      </c>
      <c r="T38" s="32">
        <f t="shared" si="4"/>
        <v>0</v>
      </c>
      <c r="U38" s="32">
        <f t="shared" si="2"/>
        <v>0</v>
      </c>
      <c r="W38" s="27">
        <f>lc_detailed!AZ38</f>
        <v>0</v>
      </c>
      <c r="X38" s="33">
        <f>lc_detailed!BH38/$AS$3</f>
        <v>0</v>
      </c>
      <c r="Y38" s="33">
        <f>lc_detailed!BI38/$AS$3</f>
        <v>0</v>
      </c>
      <c r="Z38" s="33">
        <f>lc_detailed!BJ38/$AS$3</f>
        <v>0</v>
      </c>
      <c r="AA38" s="33">
        <f>lc_detailed!BK38/$AS$3</f>
        <v>0</v>
      </c>
      <c r="AB38" s="33">
        <f>lc_detailed!BL38/$AS$3</f>
        <v>0</v>
      </c>
      <c r="AC38" s="33">
        <f>lc_detailed!BM38/$AS$3</f>
        <v>0</v>
      </c>
      <c r="AD38" s="33">
        <f>lc_detailed!BN38/$AS$3</f>
        <v>0</v>
      </c>
      <c r="AE38" s="33">
        <f>lc_detailed!BO38/$AS$3</f>
        <v>0</v>
      </c>
      <c r="AF38" s="33">
        <f>lc_detailed!BP38/$AS$3</f>
        <v>0</v>
      </c>
      <c r="AG38" s="33">
        <f>lc_detailed!BQ38/$AS$3</f>
        <v>0</v>
      </c>
      <c r="AH38" s="33">
        <f>lc_detailed!BR38/$AS$3</f>
        <v>0</v>
      </c>
      <c r="AI38" s="33">
        <f>lc_detailed!BS38/$AS$3</f>
        <v>0</v>
      </c>
      <c r="AJ38" s="33">
        <f>lc_detailed!BT38/$AS$3</f>
        <v>0</v>
      </c>
      <c r="AK38" s="33">
        <f>lc_detailed!BV38/$AS$3</f>
        <v>0</v>
      </c>
      <c r="AL38" s="33">
        <f>lc_detailed!BW38/$AS$3</f>
        <v>0</v>
      </c>
      <c r="AM38" s="33">
        <f>lc_detailed!BU38/$AS$3</f>
        <v>0</v>
      </c>
      <c r="AN38" s="33">
        <f>lc_detailed!BB38</f>
        <v>0</v>
      </c>
      <c r="AO38" s="33">
        <f t="shared" si="5"/>
        <v>0</v>
      </c>
      <c r="AP38" s="33">
        <f t="shared" si="3"/>
        <v>0</v>
      </c>
    </row>
    <row r="39" spans="2:42" ht="17" customHeight="1" x14ac:dyDescent="0.2">
      <c r="B39" s="26">
        <f>lc_detailed!AZ39</f>
        <v>0</v>
      </c>
      <c r="C39" s="31">
        <f>lc_detailed!BH39/$AS$3</f>
        <v>0</v>
      </c>
      <c r="D39" s="31">
        <f>lc_detailed!BI39/$AS$3</f>
        <v>0</v>
      </c>
      <c r="E39" s="31">
        <f>lc_detailed!BJ39/$AS$3</f>
        <v>0</v>
      </c>
      <c r="F39" s="31">
        <f>lc_detailed!BK39/$AS$3</f>
        <v>0</v>
      </c>
      <c r="G39" s="31">
        <f>lc_detailed!BL39/$AS$3</f>
        <v>0</v>
      </c>
      <c r="H39" s="31">
        <f>lc_detailed!BM39/$AS$3</f>
        <v>0</v>
      </c>
      <c r="I39" s="31">
        <f>lc_detailed!BN39/$AS$3</f>
        <v>0</v>
      </c>
      <c r="J39" s="31">
        <f>lc_detailed!BO39/$AS$3</f>
        <v>0</v>
      </c>
      <c r="K39" s="31">
        <f>lc_detailed!BP39/$AS$3</f>
        <v>0</v>
      </c>
      <c r="L39" s="31">
        <f>lc_detailed!BQ39/$AS$3</f>
        <v>0</v>
      </c>
      <c r="M39" s="31">
        <f>lc_detailed!BR39/$AS$3</f>
        <v>0</v>
      </c>
      <c r="N39" s="31">
        <f>lc_detailed!BS39/$AS$3</f>
        <v>0</v>
      </c>
      <c r="O39" s="31">
        <f>lc_detailed!BT39/$AS$3</f>
        <v>0</v>
      </c>
      <c r="P39" s="31">
        <f>lc_detailed!CB39/$AS$3</f>
        <v>0</v>
      </c>
      <c r="Q39" s="31">
        <f>lc_detailed!CC39/$AS$3</f>
        <v>0</v>
      </c>
      <c r="R39" s="31">
        <f>lc_detailed!CA39/$AS$3</f>
        <v>0</v>
      </c>
      <c r="S39" s="32">
        <f>lc_detailed!BE39</f>
        <v>0</v>
      </c>
      <c r="T39" s="32">
        <f t="shared" si="4"/>
        <v>0</v>
      </c>
      <c r="U39" s="32">
        <f t="shared" si="2"/>
        <v>0</v>
      </c>
      <c r="W39" s="27">
        <f>lc_detailed!AZ39</f>
        <v>0</v>
      </c>
      <c r="X39" s="33">
        <f>lc_detailed!BH39/$AS$3</f>
        <v>0</v>
      </c>
      <c r="Y39" s="33">
        <f>lc_detailed!BI39/$AS$3</f>
        <v>0</v>
      </c>
      <c r="Z39" s="33">
        <f>lc_detailed!BJ39/$AS$3</f>
        <v>0</v>
      </c>
      <c r="AA39" s="33">
        <f>lc_detailed!BK39/$AS$3</f>
        <v>0</v>
      </c>
      <c r="AB39" s="33">
        <f>lc_detailed!BL39/$AS$3</f>
        <v>0</v>
      </c>
      <c r="AC39" s="33">
        <f>lc_detailed!BM39/$AS$3</f>
        <v>0</v>
      </c>
      <c r="AD39" s="33">
        <f>lc_detailed!BN39/$AS$3</f>
        <v>0</v>
      </c>
      <c r="AE39" s="33">
        <f>lc_detailed!BO39/$AS$3</f>
        <v>0</v>
      </c>
      <c r="AF39" s="33">
        <f>lc_detailed!BP39/$AS$3</f>
        <v>0</v>
      </c>
      <c r="AG39" s="33">
        <f>lc_detailed!BQ39/$AS$3</f>
        <v>0</v>
      </c>
      <c r="AH39" s="33">
        <f>lc_detailed!BR39/$AS$3</f>
        <v>0</v>
      </c>
      <c r="AI39" s="33">
        <f>lc_detailed!BS39/$AS$3</f>
        <v>0</v>
      </c>
      <c r="AJ39" s="33">
        <f>lc_detailed!BT39/$AS$3</f>
        <v>0</v>
      </c>
      <c r="AK39" s="33">
        <f>lc_detailed!BV39/$AS$3</f>
        <v>0</v>
      </c>
      <c r="AL39" s="33">
        <f>lc_detailed!BW39/$AS$3</f>
        <v>0</v>
      </c>
      <c r="AM39" s="33">
        <f>lc_detailed!BU39/$AS$3</f>
        <v>0</v>
      </c>
      <c r="AN39" s="33">
        <f>lc_detailed!BB39</f>
        <v>0</v>
      </c>
      <c r="AO39" s="33">
        <f t="shared" si="5"/>
        <v>0</v>
      </c>
      <c r="AP39" s="33">
        <f t="shared" si="3"/>
        <v>0</v>
      </c>
    </row>
    <row r="40" spans="2:42" ht="17" customHeight="1" x14ac:dyDescent="0.2">
      <c r="B40" s="26">
        <f>lc_detailed!AZ40</f>
        <v>0</v>
      </c>
      <c r="C40" s="31">
        <f>lc_detailed!BH40/$AS$3</f>
        <v>0</v>
      </c>
      <c r="D40" s="31">
        <f>lc_detailed!BI40/$AS$3</f>
        <v>0</v>
      </c>
      <c r="E40" s="31">
        <f>lc_detailed!BJ40/$AS$3</f>
        <v>0</v>
      </c>
      <c r="F40" s="31">
        <f>lc_detailed!BK40/$AS$3</f>
        <v>0</v>
      </c>
      <c r="G40" s="31">
        <f>lc_detailed!BL40/$AS$3</f>
        <v>0</v>
      </c>
      <c r="H40" s="31">
        <f>lc_detailed!BM40/$AS$3</f>
        <v>0</v>
      </c>
      <c r="I40" s="31">
        <f>lc_detailed!BN40/$AS$3</f>
        <v>0</v>
      </c>
      <c r="J40" s="31">
        <f>lc_detailed!BO40/$AS$3</f>
        <v>0</v>
      </c>
      <c r="K40" s="31">
        <f>lc_detailed!BP40/$AS$3</f>
        <v>0</v>
      </c>
      <c r="L40" s="31">
        <f>lc_detailed!BQ40/$AS$3</f>
        <v>0</v>
      </c>
      <c r="M40" s="31">
        <f>lc_detailed!BR40/$AS$3</f>
        <v>0</v>
      </c>
      <c r="N40" s="31">
        <f>lc_detailed!BS40/$AS$3</f>
        <v>0</v>
      </c>
      <c r="O40" s="31">
        <f>lc_detailed!BT40/$AS$3</f>
        <v>0</v>
      </c>
      <c r="P40" s="31">
        <f>lc_detailed!CB40/$AS$3</f>
        <v>0</v>
      </c>
      <c r="Q40" s="31">
        <f>lc_detailed!CC40/$AS$3</f>
        <v>0</v>
      </c>
      <c r="R40" s="31">
        <f>lc_detailed!CA40/$AS$3</f>
        <v>0</v>
      </c>
      <c r="S40" s="32">
        <f>lc_detailed!BE40</f>
        <v>0</v>
      </c>
      <c r="T40" s="32">
        <f t="shared" si="4"/>
        <v>0</v>
      </c>
      <c r="U40" s="32">
        <f t="shared" si="2"/>
        <v>0</v>
      </c>
      <c r="W40" s="27">
        <f>lc_detailed!AZ40</f>
        <v>0</v>
      </c>
      <c r="X40" s="33">
        <f>lc_detailed!BH40/$AS$3</f>
        <v>0</v>
      </c>
      <c r="Y40" s="33">
        <f>lc_detailed!BI40/$AS$3</f>
        <v>0</v>
      </c>
      <c r="Z40" s="33">
        <f>lc_detailed!BJ40/$AS$3</f>
        <v>0</v>
      </c>
      <c r="AA40" s="33">
        <f>lc_detailed!BK40/$AS$3</f>
        <v>0</v>
      </c>
      <c r="AB40" s="33">
        <f>lc_detailed!BL40/$AS$3</f>
        <v>0</v>
      </c>
      <c r="AC40" s="33">
        <f>lc_detailed!BM40/$AS$3</f>
        <v>0</v>
      </c>
      <c r="AD40" s="33">
        <f>lc_detailed!BN40/$AS$3</f>
        <v>0</v>
      </c>
      <c r="AE40" s="33">
        <f>lc_detailed!BO40/$AS$3</f>
        <v>0</v>
      </c>
      <c r="AF40" s="33">
        <f>lc_detailed!BP40/$AS$3</f>
        <v>0</v>
      </c>
      <c r="AG40" s="33">
        <f>lc_detailed!BQ40/$AS$3</f>
        <v>0</v>
      </c>
      <c r="AH40" s="33">
        <f>lc_detailed!BR40/$AS$3</f>
        <v>0</v>
      </c>
      <c r="AI40" s="33">
        <f>lc_detailed!BS40/$AS$3</f>
        <v>0</v>
      </c>
      <c r="AJ40" s="33">
        <f>lc_detailed!BT40/$AS$3</f>
        <v>0</v>
      </c>
      <c r="AK40" s="33">
        <f>lc_detailed!BV40/$AS$3</f>
        <v>0</v>
      </c>
      <c r="AL40" s="33">
        <f>lc_detailed!BW40/$AS$3</f>
        <v>0</v>
      </c>
      <c r="AM40" s="33">
        <f>lc_detailed!BU40/$AS$3</f>
        <v>0</v>
      </c>
      <c r="AN40" s="33">
        <f>lc_detailed!BB40</f>
        <v>0</v>
      </c>
      <c r="AO40" s="33">
        <f t="shared" si="5"/>
        <v>0</v>
      </c>
      <c r="AP40" s="33">
        <f t="shared" si="3"/>
        <v>0</v>
      </c>
    </row>
    <row r="41" spans="2:42" ht="17" customHeight="1" x14ac:dyDescent="0.2">
      <c r="B41" s="26">
        <f>lc_detailed!AZ41</f>
        <v>0</v>
      </c>
      <c r="C41" s="31">
        <f>lc_detailed!BH41/$AS$3</f>
        <v>0</v>
      </c>
      <c r="D41" s="31">
        <f>lc_detailed!BI41/$AS$3</f>
        <v>0</v>
      </c>
      <c r="E41" s="31">
        <f>lc_detailed!BJ41/$AS$3</f>
        <v>0</v>
      </c>
      <c r="F41" s="31">
        <f>lc_detailed!BK41/$AS$3</f>
        <v>0</v>
      </c>
      <c r="G41" s="31">
        <f>lc_detailed!BL41/$AS$3</f>
        <v>0</v>
      </c>
      <c r="H41" s="31">
        <f>lc_detailed!BM41/$AS$3</f>
        <v>0</v>
      </c>
      <c r="I41" s="31">
        <f>lc_detailed!BN41/$AS$3</f>
        <v>0</v>
      </c>
      <c r="J41" s="31">
        <f>lc_detailed!BO41/$AS$3</f>
        <v>0</v>
      </c>
      <c r="K41" s="31">
        <f>lc_detailed!BP41/$AS$3</f>
        <v>0</v>
      </c>
      <c r="L41" s="31">
        <f>lc_detailed!BQ41/$AS$3</f>
        <v>0</v>
      </c>
      <c r="M41" s="31">
        <f>lc_detailed!BR41/$AS$3</f>
        <v>0</v>
      </c>
      <c r="N41" s="31">
        <f>lc_detailed!BS41/$AS$3</f>
        <v>0</v>
      </c>
      <c r="O41" s="31">
        <f>lc_detailed!BT41/$AS$3</f>
        <v>0</v>
      </c>
      <c r="P41" s="31">
        <f>lc_detailed!CB41/$AS$3</f>
        <v>0</v>
      </c>
      <c r="Q41" s="31">
        <f>lc_detailed!CC41/$AS$3</f>
        <v>0</v>
      </c>
      <c r="R41" s="31">
        <f>lc_detailed!CA41/$AS$3</f>
        <v>0</v>
      </c>
      <c r="S41" s="32">
        <f>lc_detailed!BE41</f>
        <v>0</v>
      </c>
      <c r="T41" s="32">
        <f t="shared" si="4"/>
        <v>0</v>
      </c>
      <c r="U41" s="32">
        <f t="shared" si="2"/>
        <v>0</v>
      </c>
      <c r="W41" s="27">
        <f>lc_detailed!AZ41</f>
        <v>0</v>
      </c>
      <c r="X41" s="33">
        <f>lc_detailed!BH41/$AS$3</f>
        <v>0</v>
      </c>
      <c r="Y41" s="33">
        <f>lc_detailed!BI41/$AS$3</f>
        <v>0</v>
      </c>
      <c r="Z41" s="33">
        <f>lc_detailed!BJ41/$AS$3</f>
        <v>0</v>
      </c>
      <c r="AA41" s="33">
        <f>lc_detailed!BK41/$AS$3</f>
        <v>0</v>
      </c>
      <c r="AB41" s="33">
        <f>lc_detailed!BL41/$AS$3</f>
        <v>0</v>
      </c>
      <c r="AC41" s="33">
        <f>lc_detailed!BM41/$AS$3</f>
        <v>0</v>
      </c>
      <c r="AD41" s="33">
        <f>lc_detailed!BN41/$AS$3</f>
        <v>0</v>
      </c>
      <c r="AE41" s="33">
        <f>lc_detailed!BO41/$AS$3</f>
        <v>0</v>
      </c>
      <c r="AF41" s="33">
        <f>lc_detailed!BP41/$AS$3</f>
        <v>0</v>
      </c>
      <c r="AG41" s="33">
        <f>lc_detailed!BQ41/$AS$3</f>
        <v>0</v>
      </c>
      <c r="AH41" s="33">
        <f>lc_detailed!BR41/$AS$3</f>
        <v>0</v>
      </c>
      <c r="AI41" s="33">
        <f>lc_detailed!BS41/$AS$3</f>
        <v>0</v>
      </c>
      <c r="AJ41" s="33">
        <f>lc_detailed!BT41/$AS$3</f>
        <v>0</v>
      </c>
      <c r="AK41" s="33">
        <f>lc_detailed!BV41/$AS$3</f>
        <v>0</v>
      </c>
      <c r="AL41" s="33">
        <f>lc_detailed!BW41/$AS$3</f>
        <v>0</v>
      </c>
      <c r="AM41" s="33">
        <f>lc_detailed!BU41/$AS$3</f>
        <v>0</v>
      </c>
      <c r="AN41" s="33">
        <f>lc_detailed!BB41</f>
        <v>0</v>
      </c>
      <c r="AO41" s="33">
        <f t="shared" si="5"/>
        <v>0</v>
      </c>
      <c r="AP41" s="33">
        <f t="shared" si="3"/>
        <v>0</v>
      </c>
    </row>
    <row r="42" spans="2:42" ht="17" customHeight="1" x14ac:dyDescent="0.2">
      <c r="B42" s="26">
        <f>lc_detailed!AZ42</f>
        <v>0</v>
      </c>
      <c r="C42" s="31">
        <f>lc_detailed!BH42/$AS$3</f>
        <v>0</v>
      </c>
      <c r="D42" s="31">
        <f>lc_detailed!BI42/$AS$3</f>
        <v>0</v>
      </c>
      <c r="E42" s="31">
        <f>lc_detailed!BJ42/$AS$3</f>
        <v>0</v>
      </c>
      <c r="F42" s="31">
        <f>lc_detailed!BK42/$AS$3</f>
        <v>0</v>
      </c>
      <c r="G42" s="31">
        <f>lc_detailed!BL42/$AS$3</f>
        <v>0</v>
      </c>
      <c r="H42" s="31">
        <f>lc_detailed!BM42/$AS$3</f>
        <v>0</v>
      </c>
      <c r="I42" s="31">
        <f>lc_detailed!BN42/$AS$3</f>
        <v>0</v>
      </c>
      <c r="J42" s="31">
        <f>lc_detailed!BO42/$AS$3</f>
        <v>0</v>
      </c>
      <c r="K42" s="31">
        <f>lc_detailed!BP42/$AS$3</f>
        <v>0</v>
      </c>
      <c r="L42" s="31">
        <f>lc_detailed!BQ42/$AS$3</f>
        <v>0</v>
      </c>
      <c r="M42" s="31">
        <f>lc_detailed!BR42/$AS$3</f>
        <v>0</v>
      </c>
      <c r="N42" s="31">
        <f>lc_detailed!BS42/$AS$3</f>
        <v>0</v>
      </c>
      <c r="O42" s="31">
        <f>lc_detailed!BT42/$AS$3</f>
        <v>0</v>
      </c>
      <c r="P42" s="31">
        <f>lc_detailed!CB42/$AS$3</f>
        <v>0</v>
      </c>
      <c r="Q42" s="31">
        <f>lc_detailed!CC42/$AS$3</f>
        <v>0</v>
      </c>
      <c r="R42" s="31">
        <f>lc_detailed!CA42/$AS$3</f>
        <v>0</v>
      </c>
      <c r="S42" s="32">
        <f>lc_detailed!BE42</f>
        <v>0</v>
      </c>
      <c r="T42" s="32">
        <f t="shared" si="4"/>
        <v>0</v>
      </c>
      <c r="U42" s="32">
        <f t="shared" si="2"/>
        <v>0</v>
      </c>
      <c r="W42" s="27">
        <f>lc_detailed!AZ42</f>
        <v>0</v>
      </c>
      <c r="X42" s="33">
        <f>lc_detailed!BH42/$AS$3</f>
        <v>0</v>
      </c>
      <c r="Y42" s="33">
        <f>lc_detailed!BI42/$AS$3</f>
        <v>0</v>
      </c>
      <c r="Z42" s="33">
        <f>lc_detailed!BJ42/$AS$3</f>
        <v>0</v>
      </c>
      <c r="AA42" s="33">
        <f>lc_detailed!BK42/$AS$3</f>
        <v>0</v>
      </c>
      <c r="AB42" s="33">
        <f>lc_detailed!BL42/$AS$3</f>
        <v>0</v>
      </c>
      <c r="AC42" s="33">
        <f>lc_detailed!BM42/$AS$3</f>
        <v>0</v>
      </c>
      <c r="AD42" s="33">
        <f>lc_detailed!BN42/$AS$3</f>
        <v>0</v>
      </c>
      <c r="AE42" s="33">
        <f>lc_detailed!BO42/$AS$3</f>
        <v>0</v>
      </c>
      <c r="AF42" s="33">
        <f>lc_detailed!BP42/$AS$3</f>
        <v>0</v>
      </c>
      <c r="AG42" s="33">
        <f>lc_detailed!BQ42/$AS$3</f>
        <v>0</v>
      </c>
      <c r="AH42" s="33">
        <f>lc_detailed!BR42/$AS$3</f>
        <v>0</v>
      </c>
      <c r="AI42" s="33">
        <f>lc_detailed!BS42/$AS$3</f>
        <v>0</v>
      </c>
      <c r="AJ42" s="33">
        <f>lc_detailed!BT42/$AS$3</f>
        <v>0</v>
      </c>
      <c r="AK42" s="33">
        <f>lc_detailed!BV42/$AS$3</f>
        <v>0</v>
      </c>
      <c r="AL42" s="33">
        <f>lc_detailed!BW42/$AS$3</f>
        <v>0</v>
      </c>
      <c r="AM42" s="33">
        <f>lc_detailed!BU42/$AS$3</f>
        <v>0</v>
      </c>
      <c r="AN42" s="33">
        <f>lc_detailed!BB42</f>
        <v>0</v>
      </c>
      <c r="AO42" s="33">
        <f t="shared" si="5"/>
        <v>0</v>
      </c>
      <c r="AP42" s="33">
        <f t="shared" si="3"/>
        <v>0</v>
      </c>
    </row>
    <row r="43" spans="2:42" ht="17" customHeight="1" x14ac:dyDescent="0.2">
      <c r="B43" s="26">
        <f>lc_detailed!AZ43</f>
        <v>0</v>
      </c>
      <c r="C43" s="31">
        <f>lc_detailed!BH43/$AS$3</f>
        <v>0</v>
      </c>
      <c r="D43" s="31">
        <f>lc_detailed!BI43/$AS$3</f>
        <v>0</v>
      </c>
      <c r="E43" s="31">
        <f>lc_detailed!BJ43/$AS$3</f>
        <v>0</v>
      </c>
      <c r="F43" s="31">
        <f>lc_detailed!BK43/$AS$3</f>
        <v>0</v>
      </c>
      <c r="G43" s="31">
        <f>lc_detailed!BL43/$AS$3</f>
        <v>0</v>
      </c>
      <c r="H43" s="31">
        <f>lc_detailed!BM43/$AS$3</f>
        <v>0</v>
      </c>
      <c r="I43" s="31">
        <f>lc_detailed!BN43/$AS$3</f>
        <v>0</v>
      </c>
      <c r="J43" s="31">
        <f>lc_detailed!BO43/$AS$3</f>
        <v>0</v>
      </c>
      <c r="K43" s="31">
        <f>lc_detailed!BP43/$AS$3</f>
        <v>0</v>
      </c>
      <c r="L43" s="31">
        <f>lc_detailed!BQ43/$AS$3</f>
        <v>0</v>
      </c>
      <c r="M43" s="31">
        <f>lc_detailed!BR43/$AS$3</f>
        <v>0</v>
      </c>
      <c r="N43" s="31">
        <f>lc_detailed!BS43/$AS$3</f>
        <v>0</v>
      </c>
      <c r="O43" s="31">
        <f>lc_detailed!BT43/$AS$3</f>
        <v>0</v>
      </c>
      <c r="P43" s="31">
        <f>lc_detailed!CB43/$AS$3</f>
        <v>0</v>
      </c>
      <c r="Q43" s="31">
        <f>lc_detailed!CC43/$AS$3</f>
        <v>0</v>
      </c>
      <c r="R43" s="31">
        <f>lc_detailed!CA43/$AS$3</f>
        <v>0</v>
      </c>
      <c r="S43" s="32">
        <f>lc_detailed!BE43</f>
        <v>0</v>
      </c>
      <c r="T43" s="32">
        <f t="shared" si="4"/>
        <v>0</v>
      </c>
      <c r="U43" s="32">
        <f t="shared" si="2"/>
        <v>0</v>
      </c>
      <c r="W43" s="27">
        <f>lc_detailed!AZ43</f>
        <v>0</v>
      </c>
      <c r="X43" s="33">
        <f>lc_detailed!BH43/$AS$3</f>
        <v>0</v>
      </c>
      <c r="Y43" s="33">
        <f>lc_detailed!BI43/$AS$3</f>
        <v>0</v>
      </c>
      <c r="Z43" s="33">
        <f>lc_detailed!BJ43/$AS$3</f>
        <v>0</v>
      </c>
      <c r="AA43" s="33">
        <f>lc_detailed!BK43/$AS$3</f>
        <v>0</v>
      </c>
      <c r="AB43" s="33">
        <f>lc_detailed!BL43/$AS$3</f>
        <v>0</v>
      </c>
      <c r="AC43" s="33">
        <f>lc_detailed!BM43/$AS$3</f>
        <v>0</v>
      </c>
      <c r="AD43" s="33">
        <f>lc_detailed!BN43/$AS$3</f>
        <v>0</v>
      </c>
      <c r="AE43" s="33">
        <f>lc_detailed!BO43/$AS$3</f>
        <v>0</v>
      </c>
      <c r="AF43" s="33">
        <f>lc_detailed!BP43/$AS$3</f>
        <v>0</v>
      </c>
      <c r="AG43" s="33">
        <f>lc_detailed!BQ43/$AS$3</f>
        <v>0</v>
      </c>
      <c r="AH43" s="33">
        <f>lc_detailed!BR43/$AS$3</f>
        <v>0</v>
      </c>
      <c r="AI43" s="33">
        <f>lc_detailed!BS43/$AS$3</f>
        <v>0</v>
      </c>
      <c r="AJ43" s="33">
        <f>lc_detailed!BT43/$AS$3</f>
        <v>0</v>
      </c>
      <c r="AK43" s="33">
        <f>lc_detailed!BV43/$AS$3</f>
        <v>0</v>
      </c>
      <c r="AL43" s="33">
        <f>lc_detailed!BW43/$AS$3</f>
        <v>0</v>
      </c>
      <c r="AM43" s="33">
        <f>lc_detailed!BU43/$AS$3</f>
        <v>0</v>
      </c>
      <c r="AN43" s="33">
        <f>lc_detailed!BB43</f>
        <v>0</v>
      </c>
      <c r="AO43" s="33">
        <f t="shared" si="5"/>
        <v>0</v>
      </c>
      <c r="AP43" s="33">
        <f t="shared" si="3"/>
        <v>0</v>
      </c>
    </row>
    <row r="44" spans="2:42" ht="17" customHeight="1" x14ac:dyDescent="0.2">
      <c r="B44" s="26">
        <f>lc_detailed!AZ44</f>
        <v>0</v>
      </c>
      <c r="C44" s="31">
        <f>lc_detailed!BH44/$AS$3</f>
        <v>0</v>
      </c>
      <c r="D44" s="31">
        <f>lc_detailed!BI44/$AS$3</f>
        <v>0</v>
      </c>
      <c r="E44" s="31">
        <f>lc_detailed!BJ44/$AS$3</f>
        <v>0</v>
      </c>
      <c r="F44" s="31">
        <f>lc_detailed!BK44/$AS$3</f>
        <v>0</v>
      </c>
      <c r="G44" s="31">
        <f>lc_detailed!BL44/$AS$3</f>
        <v>0</v>
      </c>
      <c r="H44" s="31">
        <f>lc_detailed!BM44/$AS$3</f>
        <v>0</v>
      </c>
      <c r="I44" s="31">
        <f>lc_detailed!BN44/$AS$3</f>
        <v>0</v>
      </c>
      <c r="J44" s="31">
        <f>lc_detailed!BO44/$AS$3</f>
        <v>0</v>
      </c>
      <c r="K44" s="31">
        <f>lc_detailed!BP44/$AS$3</f>
        <v>0</v>
      </c>
      <c r="L44" s="31">
        <f>lc_detailed!BQ44/$AS$3</f>
        <v>0</v>
      </c>
      <c r="M44" s="31">
        <f>lc_detailed!BR44/$AS$3</f>
        <v>0</v>
      </c>
      <c r="N44" s="31">
        <f>lc_detailed!BS44/$AS$3</f>
        <v>0</v>
      </c>
      <c r="O44" s="31">
        <f>lc_detailed!BT44/$AS$3</f>
        <v>0</v>
      </c>
      <c r="P44" s="31">
        <f>lc_detailed!CB44/$AS$3</f>
        <v>0</v>
      </c>
      <c r="Q44" s="31">
        <f>lc_detailed!CC44/$AS$3</f>
        <v>0</v>
      </c>
      <c r="R44" s="31">
        <f>lc_detailed!CA44/$AS$3</f>
        <v>0</v>
      </c>
      <c r="S44" s="32">
        <f>lc_detailed!BE44</f>
        <v>0</v>
      </c>
      <c r="T44" s="32">
        <f t="shared" si="4"/>
        <v>0</v>
      </c>
      <c r="U44" s="32">
        <f t="shared" si="2"/>
        <v>0</v>
      </c>
      <c r="W44" s="27">
        <f>lc_detailed!AZ44</f>
        <v>0</v>
      </c>
      <c r="X44" s="33">
        <f>lc_detailed!BH44/$AS$3</f>
        <v>0</v>
      </c>
      <c r="Y44" s="33">
        <f>lc_detailed!BI44/$AS$3</f>
        <v>0</v>
      </c>
      <c r="Z44" s="33">
        <f>lc_detailed!BJ44/$AS$3</f>
        <v>0</v>
      </c>
      <c r="AA44" s="33">
        <f>lc_detailed!BK44/$AS$3</f>
        <v>0</v>
      </c>
      <c r="AB44" s="33">
        <f>lc_detailed!BL44/$AS$3</f>
        <v>0</v>
      </c>
      <c r="AC44" s="33">
        <f>lc_detailed!BM44/$AS$3</f>
        <v>0</v>
      </c>
      <c r="AD44" s="33">
        <f>lc_detailed!BN44/$AS$3</f>
        <v>0</v>
      </c>
      <c r="AE44" s="33">
        <f>lc_detailed!BO44/$AS$3</f>
        <v>0</v>
      </c>
      <c r="AF44" s="33">
        <f>lc_detailed!BP44/$AS$3</f>
        <v>0</v>
      </c>
      <c r="AG44" s="33">
        <f>lc_detailed!BQ44/$AS$3</f>
        <v>0</v>
      </c>
      <c r="AH44" s="33">
        <f>lc_detailed!BR44/$AS$3</f>
        <v>0</v>
      </c>
      <c r="AI44" s="33">
        <f>lc_detailed!BS44/$AS$3</f>
        <v>0</v>
      </c>
      <c r="AJ44" s="33">
        <f>lc_detailed!BT44/$AS$3</f>
        <v>0</v>
      </c>
      <c r="AK44" s="33">
        <f>lc_detailed!BV44/$AS$3</f>
        <v>0</v>
      </c>
      <c r="AL44" s="33">
        <f>lc_detailed!BW44/$AS$3</f>
        <v>0</v>
      </c>
      <c r="AM44" s="33">
        <f>lc_detailed!BU44/$AS$3</f>
        <v>0</v>
      </c>
      <c r="AN44" s="33">
        <f>lc_detailed!BB44</f>
        <v>0</v>
      </c>
      <c r="AO44" s="33">
        <f t="shared" si="5"/>
        <v>0</v>
      </c>
      <c r="AP44" s="33">
        <f t="shared" si="3"/>
        <v>0</v>
      </c>
    </row>
    <row r="45" spans="2:42" ht="17" customHeight="1" x14ac:dyDescent="0.2">
      <c r="B45" s="26">
        <f>lc_detailed!AZ45</f>
        <v>0</v>
      </c>
      <c r="C45" s="31">
        <f>lc_detailed!BH45/$AS$3</f>
        <v>0</v>
      </c>
      <c r="D45" s="31">
        <f>lc_detailed!BI45/$AS$3</f>
        <v>0</v>
      </c>
      <c r="E45" s="31">
        <f>lc_detailed!BJ45/$AS$3</f>
        <v>0</v>
      </c>
      <c r="F45" s="31">
        <f>lc_detailed!BK45/$AS$3</f>
        <v>0</v>
      </c>
      <c r="G45" s="31">
        <f>lc_detailed!BL45/$AS$3</f>
        <v>0</v>
      </c>
      <c r="H45" s="31">
        <f>lc_detailed!BM45/$AS$3</f>
        <v>0</v>
      </c>
      <c r="I45" s="31">
        <f>lc_detailed!BN45/$AS$3</f>
        <v>0</v>
      </c>
      <c r="J45" s="31">
        <f>lc_detailed!BO45/$AS$3</f>
        <v>0</v>
      </c>
      <c r="K45" s="31">
        <f>lc_detailed!BP45/$AS$3</f>
        <v>0</v>
      </c>
      <c r="L45" s="31">
        <f>lc_detailed!BQ45/$AS$3</f>
        <v>0</v>
      </c>
      <c r="M45" s="31">
        <f>lc_detailed!BR45/$AS$3</f>
        <v>0</v>
      </c>
      <c r="N45" s="31">
        <f>lc_detailed!BS45/$AS$3</f>
        <v>0</v>
      </c>
      <c r="O45" s="31">
        <f>lc_detailed!BT45/$AS$3</f>
        <v>0</v>
      </c>
      <c r="P45" s="31">
        <f>lc_detailed!CB45/$AS$3</f>
        <v>0</v>
      </c>
      <c r="Q45" s="31">
        <f>lc_detailed!CC45/$AS$3</f>
        <v>0</v>
      </c>
      <c r="R45" s="31">
        <f>lc_detailed!CA45/$AS$3</f>
        <v>0</v>
      </c>
      <c r="S45" s="32">
        <f>lc_detailed!BE45</f>
        <v>0</v>
      </c>
      <c r="T45" s="32">
        <f t="shared" si="4"/>
        <v>0</v>
      </c>
      <c r="U45" s="32">
        <f t="shared" si="2"/>
        <v>0</v>
      </c>
      <c r="W45" s="27">
        <f>lc_detailed!AZ45</f>
        <v>0</v>
      </c>
      <c r="X45" s="33">
        <f>lc_detailed!BH45/$AS$3</f>
        <v>0</v>
      </c>
      <c r="Y45" s="33">
        <f>lc_detailed!BI45/$AS$3</f>
        <v>0</v>
      </c>
      <c r="Z45" s="33">
        <f>lc_detailed!BJ45/$AS$3</f>
        <v>0</v>
      </c>
      <c r="AA45" s="33">
        <f>lc_detailed!BK45/$AS$3</f>
        <v>0</v>
      </c>
      <c r="AB45" s="33">
        <f>lc_detailed!BL45/$AS$3</f>
        <v>0</v>
      </c>
      <c r="AC45" s="33">
        <f>lc_detailed!BM45/$AS$3</f>
        <v>0</v>
      </c>
      <c r="AD45" s="33">
        <f>lc_detailed!BN45/$AS$3</f>
        <v>0</v>
      </c>
      <c r="AE45" s="33">
        <f>lc_detailed!BO45/$AS$3</f>
        <v>0</v>
      </c>
      <c r="AF45" s="33">
        <f>lc_detailed!BP45/$AS$3</f>
        <v>0</v>
      </c>
      <c r="AG45" s="33">
        <f>lc_detailed!BQ45/$AS$3</f>
        <v>0</v>
      </c>
      <c r="AH45" s="33">
        <f>lc_detailed!BR45/$AS$3</f>
        <v>0</v>
      </c>
      <c r="AI45" s="33">
        <f>lc_detailed!BS45/$AS$3</f>
        <v>0</v>
      </c>
      <c r="AJ45" s="33">
        <f>lc_detailed!BT45/$AS$3</f>
        <v>0</v>
      </c>
      <c r="AK45" s="33">
        <f>lc_detailed!BV45/$AS$3</f>
        <v>0</v>
      </c>
      <c r="AL45" s="33">
        <f>lc_detailed!BW45/$AS$3</f>
        <v>0</v>
      </c>
      <c r="AM45" s="33">
        <f>lc_detailed!BU45/$AS$3</f>
        <v>0</v>
      </c>
      <c r="AN45" s="33">
        <f>lc_detailed!BB45</f>
        <v>0</v>
      </c>
      <c r="AO45" s="33">
        <f t="shared" si="5"/>
        <v>0</v>
      </c>
      <c r="AP45" s="33">
        <f t="shared" si="3"/>
        <v>0</v>
      </c>
    </row>
    <row r="46" spans="2:42" ht="17" customHeight="1" x14ac:dyDescent="0.2">
      <c r="B46" s="26">
        <f>lc_detailed!AZ46</f>
        <v>0</v>
      </c>
      <c r="C46" s="31">
        <f>lc_detailed!BH46/$AS$3</f>
        <v>0</v>
      </c>
      <c r="D46" s="31">
        <f>lc_detailed!BI46/$AS$3</f>
        <v>0</v>
      </c>
      <c r="E46" s="31">
        <f>lc_detailed!BJ46/$AS$3</f>
        <v>0</v>
      </c>
      <c r="F46" s="31">
        <f>lc_detailed!BK46/$AS$3</f>
        <v>0</v>
      </c>
      <c r="G46" s="31">
        <f>lc_detailed!BL46/$AS$3</f>
        <v>0</v>
      </c>
      <c r="H46" s="31">
        <f>lc_detailed!BM46/$AS$3</f>
        <v>0</v>
      </c>
      <c r="I46" s="31">
        <f>lc_detailed!BN46/$AS$3</f>
        <v>0</v>
      </c>
      <c r="J46" s="31">
        <f>lc_detailed!BO46/$AS$3</f>
        <v>0</v>
      </c>
      <c r="K46" s="31">
        <f>lc_detailed!BP46/$AS$3</f>
        <v>0</v>
      </c>
      <c r="L46" s="31">
        <f>lc_detailed!BQ46/$AS$3</f>
        <v>0</v>
      </c>
      <c r="M46" s="31">
        <f>lc_detailed!BR46/$AS$3</f>
        <v>0</v>
      </c>
      <c r="N46" s="31">
        <f>lc_detailed!BS46/$AS$3</f>
        <v>0</v>
      </c>
      <c r="O46" s="31">
        <f>lc_detailed!BT46/$AS$3</f>
        <v>0</v>
      </c>
      <c r="P46" s="31">
        <f>lc_detailed!CB46/$AS$3</f>
        <v>0</v>
      </c>
      <c r="Q46" s="31">
        <f>lc_detailed!CC46/$AS$3</f>
        <v>0</v>
      </c>
      <c r="R46" s="31">
        <f>lc_detailed!CA46/$AS$3</f>
        <v>0</v>
      </c>
      <c r="S46" s="32">
        <f>lc_detailed!BE46</f>
        <v>0</v>
      </c>
      <c r="T46" s="32">
        <f t="shared" si="4"/>
        <v>0</v>
      </c>
      <c r="U46" s="32">
        <f t="shared" si="2"/>
        <v>0</v>
      </c>
      <c r="W46" s="27">
        <f>lc_detailed!AZ46</f>
        <v>0</v>
      </c>
      <c r="X46" s="33">
        <f>lc_detailed!BH46/$AS$3</f>
        <v>0</v>
      </c>
      <c r="Y46" s="33">
        <f>lc_detailed!BI46/$AS$3</f>
        <v>0</v>
      </c>
      <c r="Z46" s="33">
        <f>lc_detailed!BJ46/$AS$3</f>
        <v>0</v>
      </c>
      <c r="AA46" s="33">
        <f>lc_detailed!BK46/$AS$3</f>
        <v>0</v>
      </c>
      <c r="AB46" s="33">
        <f>lc_detailed!BL46/$AS$3</f>
        <v>0</v>
      </c>
      <c r="AC46" s="33">
        <f>lc_detailed!BM46/$AS$3</f>
        <v>0</v>
      </c>
      <c r="AD46" s="33">
        <f>lc_detailed!BN46/$AS$3</f>
        <v>0</v>
      </c>
      <c r="AE46" s="33">
        <f>lc_detailed!BO46/$AS$3</f>
        <v>0</v>
      </c>
      <c r="AF46" s="33">
        <f>lc_detailed!BP46/$AS$3</f>
        <v>0</v>
      </c>
      <c r="AG46" s="33">
        <f>lc_detailed!BQ46/$AS$3</f>
        <v>0</v>
      </c>
      <c r="AH46" s="33">
        <f>lc_detailed!BR46/$AS$3</f>
        <v>0</v>
      </c>
      <c r="AI46" s="33">
        <f>lc_detailed!BS46/$AS$3</f>
        <v>0</v>
      </c>
      <c r="AJ46" s="33">
        <f>lc_detailed!BT46/$AS$3</f>
        <v>0</v>
      </c>
      <c r="AK46" s="33">
        <f>lc_detailed!BV46/$AS$3</f>
        <v>0</v>
      </c>
      <c r="AL46" s="33">
        <f>lc_detailed!BW46/$AS$3</f>
        <v>0</v>
      </c>
      <c r="AM46" s="33">
        <f>lc_detailed!BU46/$AS$3</f>
        <v>0</v>
      </c>
      <c r="AN46" s="33">
        <f>lc_detailed!BB46</f>
        <v>0</v>
      </c>
      <c r="AO46" s="33">
        <f t="shared" si="5"/>
        <v>0</v>
      </c>
      <c r="AP46" s="33">
        <f t="shared" si="3"/>
        <v>0</v>
      </c>
    </row>
    <row r="47" spans="2:42" ht="17" customHeight="1" x14ac:dyDescent="0.2">
      <c r="B47" s="26">
        <f>lc_detailed!AZ47</f>
        <v>0</v>
      </c>
      <c r="C47" s="31">
        <f>lc_detailed!BH47/$AS$3</f>
        <v>0</v>
      </c>
      <c r="D47" s="31">
        <f>lc_detailed!BI47/$AS$3</f>
        <v>0</v>
      </c>
      <c r="E47" s="31">
        <f>lc_detailed!BJ47/$AS$3</f>
        <v>0</v>
      </c>
      <c r="F47" s="31">
        <f>lc_detailed!BK47/$AS$3</f>
        <v>0</v>
      </c>
      <c r="G47" s="31">
        <f>lc_detailed!BL47/$AS$3</f>
        <v>0</v>
      </c>
      <c r="H47" s="31">
        <f>lc_detailed!BM47/$AS$3</f>
        <v>0</v>
      </c>
      <c r="I47" s="31">
        <f>lc_detailed!BN47/$AS$3</f>
        <v>0</v>
      </c>
      <c r="J47" s="31">
        <f>lc_detailed!BO47/$AS$3</f>
        <v>0</v>
      </c>
      <c r="K47" s="31">
        <f>lc_detailed!BP47/$AS$3</f>
        <v>0</v>
      </c>
      <c r="L47" s="31">
        <f>lc_detailed!BQ47/$AS$3</f>
        <v>0</v>
      </c>
      <c r="M47" s="31">
        <f>lc_detailed!BR47/$AS$3</f>
        <v>0</v>
      </c>
      <c r="N47" s="31">
        <f>lc_detailed!BS47/$AS$3</f>
        <v>0</v>
      </c>
      <c r="O47" s="31">
        <f>lc_detailed!BT47/$AS$3</f>
        <v>0</v>
      </c>
      <c r="P47" s="31">
        <f>lc_detailed!CB47/$AS$3</f>
        <v>0</v>
      </c>
      <c r="Q47" s="31">
        <f>lc_detailed!CC47/$AS$3</f>
        <v>0</v>
      </c>
      <c r="R47" s="31">
        <f>lc_detailed!CA47/$AS$3</f>
        <v>0</v>
      </c>
      <c r="S47" s="32">
        <f>lc_detailed!BE47</f>
        <v>0</v>
      </c>
      <c r="T47" s="32">
        <f t="shared" si="4"/>
        <v>0</v>
      </c>
      <c r="U47" s="32">
        <f t="shared" si="2"/>
        <v>0</v>
      </c>
      <c r="W47" s="27">
        <f>lc_detailed!AZ47</f>
        <v>0</v>
      </c>
      <c r="X47" s="33">
        <f>lc_detailed!BH47/$AS$3</f>
        <v>0</v>
      </c>
      <c r="Y47" s="33">
        <f>lc_detailed!BI47/$AS$3</f>
        <v>0</v>
      </c>
      <c r="Z47" s="33">
        <f>lc_detailed!BJ47/$AS$3</f>
        <v>0</v>
      </c>
      <c r="AA47" s="33">
        <f>lc_detailed!BK47/$AS$3</f>
        <v>0</v>
      </c>
      <c r="AB47" s="33">
        <f>lc_detailed!BL47/$AS$3</f>
        <v>0</v>
      </c>
      <c r="AC47" s="33">
        <f>lc_detailed!BM47/$AS$3</f>
        <v>0</v>
      </c>
      <c r="AD47" s="33">
        <f>lc_detailed!BN47/$AS$3</f>
        <v>0</v>
      </c>
      <c r="AE47" s="33">
        <f>lc_detailed!BO47/$AS$3</f>
        <v>0</v>
      </c>
      <c r="AF47" s="33">
        <f>lc_detailed!BP47/$AS$3</f>
        <v>0</v>
      </c>
      <c r="AG47" s="33">
        <f>lc_detailed!BQ47/$AS$3</f>
        <v>0</v>
      </c>
      <c r="AH47" s="33">
        <f>lc_detailed!BR47/$AS$3</f>
        <v>0</v>
      </c>
      <c r="AI47" s="33">
        <f>lc_detailed!BS47/$AS$3</f>
        <v>0</v>
      </c>
      <c r="AJ47" s="33">
        <f>lc_detailed!BT47/$AS$3</f>
        <v>0</v>
      </c>
      <c r="AK47" s="33">
        <f>lc_detailed!BV47/$AS$3</f>
        <v>0</v>
      </c>
      <c r="AL47" s="33">
        <f>lc_detailed!BW47/$AS$3</f>
        <v>0</v>
      </c>
      <c r="AM47" s="33">
        <f>lc_detailed!BU47/$AS$3</f>
        <v>0</v>
      </c>
      <c r="AN47" s="33">
        <f>lc_detailed!BB47</f>
        <v>0</v>
      </c>
      <c r="AO47" s="33">
        <f t="shared" si="5"/>
        <v>0</v>
      </c>
      <c r="AP47" s="33">
        <f t="shared" si="3"/>
        <v>0</v>
      </c>
    </row>
    <row r="48" spans="2:42" ht="17" customHeight="1" x14ac:dyDescent="0.2">
      <c r="B48" s="26">
        <f>lc_detailed!AZ48</f>
        <v>0</v>
      </c>
      <c r="C48" s="31">
        <f>lc_detailed!BH48/$AS$3</f>
        <v>0</v>
      </c>
      <c r="D48" s="31">
        <f>lc_detailed!BI48/$AS$3</f>
        <v>0</v>
      </c>
      <c r="E48" s="31">
        <f>lc_detailed!BJ48/$AS$3</f>
        <v>0</v>
      </c>
      <c r="F48" s="31">
        <f>lc_detailed!BK48/$AS$3</f>
        <v>0</v>
      </c>
      <c r="G48" s="31">
        <f>lc_detailed!BL48/$AS$3</f>
        <v>0</v>
      </c>
      <c r="H48" s="31">
        <f>lc_detailed!BM48/$AS$3</f>
        <v>0</v>
      </c>
      <c r="I48" s="31">
        <f>lc_detailed!BN48/$AS$3</f>
        <v>0</v>
      </c>
      <c r="J48" s="31">
        <f>lc_detailed!BO48/$AS$3</f>
        <v>0</v>
      </c>
      <c r="K48" s="31">
        <f>lc_detailed!BP48/$AS$3</f>
        <v>0</v>
      </c>
      <c r="L48" s="31">
        <f>lc_detailed!BQ48/$AS$3</f>
        <v>0</v>
      </c>
      <c r="M48" s="31">
        <f>lc_detailed!BR48/$AS$3</f>
        <v>0</v>
      </c>
      <c r="N48" s="31">
        <f>lc_detailed!BS48/$AS$3</f>
        <v>0</v>
      </c>
      <c r="O48" s="31">
        <f>lc_detailed!BT48/$AS$3</f>
        <v>0</v>
      </c>
      <c r="P48" s="31">
        <f>lc_detailed!CB48/$AS$3</f>
        <v>0</v>
      </c>
      <c r="Q48" s="31">
        <f>lc_detailed!CC48/$AS$3</f>
        <v>0</v>
      </c>
      <c r="R48" s="31">
        <f>lc_detailed!CA48/$AS$3</f>
        <v>0</v>
      </c>
      <c r="S48" s="32">
        <f>lc_detailed!BE48</f>
        <v>0</v>
      </c>
      <c r="T48" s="32">
        <f t="shared" si="4"/>
        <v>0</v>
      </c>
      <c r="U48" s="32">
        <f t="shared" si="2"/>
        <v>0</v>
      </c>
      <c r="W48" s="27">
        <f>lc_detailed!AZ48</f>
        <v>0</v>
      </c>
      <c r="X48" s="33">
        <f>lc_detailed!BH48/$AS$3</f>
        <v>0</v>
      </c>
      <c r="Y48" s="33">
        <f>lc_detailed!BI48/$AS$3</f>
        <v>0</v>
      </c>
      <c r="Z48" s="33">
        <f>lc_detailed!BJ48/$AS$3</f>
        <v>0</v>
      </c>
      <c r="AA48" s="33">
        <f>lc_detailed!BK48/$AS$3</f>
        <v>0</v>
      </c>
      <c r="AB48" s="33">
        <f>lc_detailed!BL48/$AS$3</f>
        <v>0</v>
      </c>
      <c r="AC48" s="33">
        <f>lc_detailed!BM48/$AS$3</f>
        <v>0</v>
      </c>
      <c r="AD48" s="33">
        <f>lc_detailed!BN48/$AS$3</f>
        <v>0</v>
      </c>
      <c r="AE48" s="33">
        <f>lc_detailed!BO48/$AS$3</f>
        <v>0</v>
      </c>
      <c r="AF48" s="33">
        <f>lc_detailed!BP48/$AS$3</f>
        <v>0</v>
      </c>
      <c r="AG48" s="33">
        <f>lc_detailed!BQ48/$AS$3</f>
        <v>0</v>
      </c>
      <c r="AH48" s="33">
        <f>lc_detailed!BR48/$AS$3</f>
        <v>0</v>
      </c>
      <c r="AI48" s="33">
        <f>lc_detailed!BS48/$AS$3</f>
        <v>0</v>
      </c>
      <c r="AJ48" s="33">
        <f>lc_detailed!BT48/$AS$3</f>
        <v>0</v>
      </c>
      <c r="AK48" s="33">
        <f>lc_detailed!BV48/$AS$3</f>
        <v>0</v>
      </c>
      <c r="AL48" s="33">
        <f>lc_detailed!BW48/$AS$3</f>
        <v>0</v>
      </c>
      <c r="AM48" s="33">
        <f>lc_detailed!BU48/$AS$3</f>
        <v>0</v>
      </c>
      <c r="AN48" s="33">
        <f>lc_detailed!BB48</f>
        <v>0</v>
      </c>
      <c r="AO48" s="33">
        <f t="shared" si="5"/>
        <v>0</v>
      </c>
      <c r="AP48" s="33">
        <f t="shared" si="3"/>
        <v>0</v>
      </c>
    </row>
    <row r="49" spans="2:42" ht="17" customHeight="1" x14ac:dyDescent="0.2">
      <c r="B49" s="26">
        <f>lc_detailed!AZ49</f>
        <v>0</v>
      </c>
      <c r="C49" s="31">
        <f>lc_detailed!BH49/$AS$3</f>
        <v>0</v>
      </c>
      <c r="D49" s="31">
        <f>lc_detailed!BI49/$AS$3</f>
        <v>0</v>
      </c>
      <c r="E49" s="31">
        <f>lc_detailed!BJ49/$AS$3</f>
        <v>0</v>
      </c>
      <c r="F49" s="31">
        <f>lc_detailed!BK49/$AS$3</f>
        <v>0</v>
      </c>
      <c r="G49" s="31">
        <f>lc_detailed!BL49/$AS$3</f>
        <v>0</v>
      </c>
      <c r="H49" s="31">
        <f>lc_detailed!BM49/$AS$3</f>
        <v>0</v>
      </c>
      <c r="I49" s="31">
        <f>lc_detailed!BN49/$AS$3</f>
        <v>0</v>
      </c>
      <c r="J49" s="31">
        <f>lc_detailed!BO49/$AS$3</f>
        <v>0</v>
      </c>
      <c r="K49" s="31">
        <f>lc_detailed!BP49/$AS$3</f>
        <v>0</v>
      </c>
      <c r="L49" s="31">
        <f>lc_detailed!BQ49/$AS$3</f>
        <v>0</v>
      </c>
      <c r="M49" s="31">
        <f>lc_detailed!BR49/$AS$3</f>
        <v>0</v>
      </c>
      <c r="N49" s="31">
        <f>lc_detailed!BS49/$AS$3</f>
        <v>0</v>
      </c>
      <c r="O49" s="31">
        <f>lc_detailed!BT49/$AS$3</f>
        <v>0</v>
      </c>
      <c r="P49" s="31">
        <f>lc_detailed!CB49/$AS$3</f>
        <v>0</v>
      </c>
      <c r="Q49" s="31">
        <f>lc_detailed!CC49/$AS$3</f>
        <v>0</v>
      </c>
      <c r="R49" s="31">
        <f>lc_detailed!CA49/$AS$3</f>
        <v>0</v>
      </c>
      <c r="S49" s="32">
        <f>lc_detailed!BE49</f>
        <v>0</v>
      </c>
      <c r="T49" s="32">
        <f t="shared" si="4"/>
        <v>0</v>
      </c>
      <c r="U49" s="32">
        <f t="shared" si="2"/>
        <v>0</v>
      </c>
      <c r="W49" s="27">
        <f>lc_detailed!AZ49</f>
        <v>0</v>
      </c>
      <c r="X49" s="33">
        <f>lc_detailed!BH49/$AS$3</f>
        <v>0</v>
      </c>
      <c r="Y49" s="33">
        <f>lc_detailed!BI49/$AS$3</f>
        <v>0</v>
      </c>
      <c r="Z49" s="33">
        <f>lc_detailed!BJ49/$AS$3</f>
        <v>0</v>
      </c>
      <c r="AA49" s="33">
        <f>lc_detailed!BK49/$AS$3</f>
        <v>0</v>
      </c>
      <c r="AB49" s="33">
        <f>lc_detailed!BL49/$AS$3</f>
        <v>0</v>
      </c>
      <c r="AC49" s="33">
        <f>lc_detailed!BM49/$AS$3</f>
        <v>0</v>
      </c>
      <c r="AD49" s="33">
        <f>lc_detailed!BN49/$AS$3</f>
        <v>0</v>
      </c>
      <c r="AE49" s="33">
        <f>lc_detailed!BO49/$AS$3</f>
        <v>0</v>
      </c>
      <c r="AF49" s="33">
        <f>lc_detailed!BP49/$AS$3</f>
        <v>0</v>
      </c>
      <c r="AG49" s="33">
        <f>lc_detailed!BQ49/$AS$3</f>
        <v>0</v>
      </c>
      <c r="AH49" s="33">
        <f>lc_detailed!BR49/$AS$3</f>
        <v>0</v>
      </c>
      <c r="AI49" s="33">
        <f>lc_detailed!BS49/$AS$3</f>
        <v>0</v>
      </c>
      <c r="AJ49" s="33">
        <f>lc_detailed!BT49/$AS$3</f>
        <v>0</v>
      </c>
      <c r="AK49" s="33">
        <f>lc_detailed!BV49/$AS$3</f>
        <v>0</v>
      </c>
      <c r="AL49" s="33">
        <f>lc_detailed!BW49/$AS$3</f>
        <v>0</v>
      </c>
      <c r="AM49" s="33">
        <f>lc_detailed!BU49/$AS$3</f>
        <v>0</v>
      </c>
      <c r="AN49" s="33">
        <f>lc_detailed!BB49</f>
        <v>0</v>
      </c>
      <c r="AO49" s="33">
        <f t="shared" si="5"/>
        <v>0</v>
      </c>
      <c r="AP49" s="33">
        <f t="shared" si="3"/>
        <v>0</v>
      </c>
    </row>
    <row r="50" spans="2:42" ht="17" customHeight="1" x14ac:dyDescent="0.2">
      <c r="B50" s="26">
        <f>lc_detailed!AZ50</f>
        <v>0</v>
      </c>
      <c r="C50" s="31">
        <f>lc_detailed!BH50/$AS$3</f>
        <v>0</v>
      </c>
      <c r="D50" s="31">
        <f>lc_detailed!BI50/$AS$3</f>
        <v>0</v>
      </c>
      <c r="E50" s="31">
        <f>lc_detailed!BJ50/$AS$3</f>
        <v>0</v>
      </c>
      <c r="F50" s="31">
        <f>lc_detailed!BK50/$AS$3</f>
        <v>0</v>
      </c>
      <c r="G50" s="31">
        <f>lc_detailed!BL50/$AS$3</f>
        <v>0</v>
      </c>
      <c r="H50" s="31">
        <f>lc_detailed!BM50/$AS$3</f>
        <v>0</v>
      </c>
      <c r="I50" s="31">
        <f>lc_detailed!BN50/$AS$3</f>
        <v>0</v>
      </c>
      <c r="J50" s="31">
        <f>lc_detailed!BO50/$AS$3</f>
        <v>0</v>
      </c>
      <c r="K50" s="31">
        <f>lc_detailed!BP50/$AS$3</f>
        <v>0</v>
      </c>
      <c r="L50" s="31">
        <f>lc_detailed!BQ50/$AS$3</f>
        <v>0</v>
      </c>
      <c r="M50" s="31">
        <f>lc_detailed!BR50/$AS$3</f>
        <v>0</v>
      </c>
      <c r="N50" s="31">
        <f>lc_detailed!BS50/$AS$3</f>
        <v>0</v>
      </c>
      <c r="O50" s="31">
        <f>lc_detailed!BT50/$AS$3</f>
        <v>0</v>
      </c>
      <c r="P50" s="31">
        <f>lc_detailed!CB50/$AS$3</f>
        <v>0</v>
      </c>
      <c r="Q50" s="31">
        <f>lc_detailed!CC50/$AS$3</f>
        <v>0</v>
      </c>
      <c r="R50" s="31">
        <f>lc_detailed!CA50/$AS$3</f>
        <v>0</v>
      </c>
      <c r="S50" s="32">
        <f>lc_detailed!BE50</f>
        <v>0</v>
      </c>
      <c r="T50" s="32">
        <f t="shared" si="4"/>
        <v>0</v>
      </c>
      <c r="U50" s="32">
        <f t="shared" si="2"/>
        <v>0</v>
      </c>
      <c r="W50" s="27">
        <f>lc_detailed!AZ50</f>
        <v>0</v>
      </c>
      <c r="X50" s="33">
        <f>lc_detailed!BH50/$AS$3</f>
        <v>0</v>
      </c>
      <c r="Y50" s="33">
        <f>lc_detailed!BI50/$AS$3</f>
        <v>0</v>
      </c>
      <c r="Z50" s="33">
        <f>lc_detailed!BJ50/$AS$3</f>
        <v>0</v>
      </c>
      <c r="AA50" s="33">
        <f>lc_detailed!BK50/$AS$3</f>
        <v>0</v>
      </c>
      <c r="AB50" s="33">
        <f>lc_detailed!BL50/$AS$3</f>
        <v>0</v>
      </c>
      <c r="AC50" s="33">
        <f>lc_detailed!BM50/$AS$3</f>
        <v>0</v>
      </c>
      <c r="AD50" s="33">
        <f>lc_detailed!BN50/$AS$3</f>
        <v>0</v>
      </c>
      <c r="AE50" s="33">
        <f>lc_detailed!BO50/$AS$3</f>
        <v>0</v>
      </c>
      <c r="AF50" s="33">
        <f>lc_detailed!BP50/$AS$3</f>
        <v>0</v>
      </c>
      <c r="AG50" s="33">
        <f>lc_detailed!BQ50/$AS$3</f>
        <v>0</v>
      </c>
      <c r="AH50" s="33">
        <f>lc_detailed!BR50/$AS$3</f>
        <v>0</v>
      </c>
      <c r="AI50" s="33">
        <f>lc_detailed!BS50/$AS$3</f>
        <v>0</v>
      </c>
      <c r="AJ50" s="33">
        <f>lc_detailed!BT50/$AS$3</f>
        <v>0</v>
      </c>
      <c r="AK50" s="33">
        <f>lc_detailed!BV50/$AS$3</f>
        <v>0</v>
      </c>
      <c r="AL50" s="33">
        <f>lc_detailed!BW50/$AS$3</f>
        <v>0</v>
      </c>
      <c r="AM50" s="33">
        <f>lc_detailed!BU50/$AS$3</f>
        <v>0</v>
      </c>
      <c r="AN50" s="33">
        <f>lc_detailed!BB50</f>
        <v>0</v>
      </c>
      <c r="AO50" s="33">
        <f t="shared" si="5"/>
        <v>0</v>
      </c>
      <c r="AP50" s="33">
        <f t="shared" si="3"/>
        <v>0</v>
      </c>
    </row>
    <row r="51" spans="2:42" ht="17" customHeight="1" x14ac:dyDescent="0.2">
      <c r="B51" s="26">
        <f>lc_detailed!AZ51</f>
        <v>0</v>
      </c>
      <c r="C51" s="31">
        <f>lc_detailed!BH51/$AS$3</f>
        <v>0</v>
      </c>
      <c r="D51" s="31">
        <f>lc_detailed!BI51/$AS$3</f>
        <v>0</v>
      </c>
      <c r="E51" s="31">
        <f>lc_detailed!BJ51/$AS$3</f>
        <v>0</v>
      </c>
      <c r="F51" s="31">
        <f>lc_detailed!BK51/$AS$3</f>
        <v>0</v>
      </c>
      <c r="G51" s="31">
        <f>lc_detailed!BL51/$AS$3</f>
        <v>0</v>
      </c>
      <c r="H51" s="31">
        <f>lc_detailed!BM51/$AS$3</f>
        <v>0</v>
      </c>
      <c r="I51" s="31">
        <f>lc_detailed!BN51/$AS$3</f>
        <v>0</v>
      </c>
      <c r="J51" s="31">
        <f>lc_detailed!BO51/$AS$3</f>
        <v>0</v>
      </c>
      <c r="K51" s="31">
        <f>lc_detailed!BP51/$AS$3</f>
        <v>0</v>
      </c>
      <c r="L51" s="31">
        <f>lc_detailed!BQ51/$AS$3</f>
        <v>0</v>
      </c>
      <c r="M51" s="31">
        <f>lc_detailed!BR51/$AS$3</f>
        <v>0</v>
      </c>
      <c r="N51" s="31">
        <f>lc_detailed!BS51/$AS$3</f>
        <v>0</v>
      </c>
      <c r="O51" s="31">
        <f>lc_detailed!BT51/$AS$3</f>
        <v>0</v>
      </c>
      <c r="P51" s="31">
        <f>lc_detailed!CB51/$AS$3</f>
        <v>0</v>
      </c>
      <c r="Q51" s="31">
        <f>lc_detailed!CC51/$AS$3</f>
        <v>0</v>
      </c>
      <c r="R51" s="31">
        <f>lc_detailed!CA51/$AS$3</f>
        <v>0</v>
      </c>
      <c r="S51" s="32">
        <f>lc_detailed!BE51</f>
        <v>0</v>
      </c>
      <c r="T51" s="32">
        <f t="shared" si="4"/>
        <v>0</v>
      </c>
      <c r="U51" s="32">
        <f t="shared" si="2"/>
        <v>0</v>
      </c>
      <c r="W51" s="27">
        <f>lc_detailed!AZ51</f>
        <v>0</v>
      </c>
      <c r="X51" s="33">
        <f>lc_detailed!BH51/$AS$3</f>
        <v>0</v>
      </c>
      <c r="Y51" s="33">
        <f>lc_detailed!BI51/$AS$3</f>
        <v>0</v>
      </c>
      <c r="Z51" s="33">
        <f>lc_detailed!BJ51/$AS$3</f>
        <v>0</v>
      </c>
      <c r="AA51" s="33">
        <f>lc_detailed!BK51/$AS$3</f>
        <v>0</v>
      </c>
      <c r="AB51" s="33">
        <f>lc_detailed!BL51/$AS$3</f>
        <v>0</v>
      </c>
      <c r="AC51" s="33">
        <f>lc_detailed!BM51/$AS$3</f>
        <v>0</v>
      </c>
      <c r="AD51" s="33">
        <f>lc_detailed!BN51/$AS$3</f>
        <v>0</v>
      </c>
      <c r="AE51" s="33">
        <f>lc_detailed!BO51/$AS$3</f>
        <v>0</v>
      </c>
      <c r="AF51" s="33">
        <f>lc_detailed!BP51/$AS$3</f>
        <v>0</v>
      </c>
      <c r="AG51" s="33">
        <f>lc_detailed!BQ51/$AS$3</f>
        <v>0</v>
      </c>
      <c r="AH51" s="33">
        <f>lc_detailed!BR51/$AS$3</f>
        <v>0</v>
      </c>
      <c r="AI51" s="33">
        <f>lc_detailed!BS51/$AS$3</f>
        <v>0</v>
      </c>
      <c r="AJ51" s="33">
        <f>lc_detailed!BT51/$AS$3</f>
        <v>0</v>
      </c>
      <c r="AK51" s="33">
        <f>lc_detailed!BV51/$AS$3</f>
        <v>0</v>
      </c>
      <c r="AL51" s="33">
        <f>lc_detailed!BW51/$AS$3</f>
        <v>0</v>
      </c>
      <c r="AM51" s="33">
        <f>lc_detailed!BU51/$AS$3</f>
        <v>0</v>
      </c>
      <c r="AN51" s="33">
        <f>lc_detailed!BB51</f>
        <v>0</v>
      </c>
      <c r="AO51" s="33">
        <f t="shared" si="5"/>
        <v>0</v>
      </c>
      <c r="AP51" s="33">
        <f t="shared" si="3"/>
        <v>0</v>
      </c>
    </row>
    <row r="52" spans="2:42" ht="17" customHeight="1" x14ac:dyDescent="0.2">
      <c r="B52" s="26">
        <f>lc_detailed!AZ52</f>
        <v>0</v>
      </c>
      <c r="C52" s="31">
        <f>lc_detailed!BH52/$AS$3</f>
        <v>0</v>
      </c>
      <c r="D52" s="31">
        <f>lc_detailed!BI52/$AS$3</f>
        <v>0</v>
      </c>
      <c r="E52" s="31">
        <f>lc_detailed!BJ52/$AS$3</f>
        <v>0</v>
      </c>
      <c r="F52" s="31">
        <f>lc_detailed!BK52/$AS$3</f>
        <v>0</v>
      </c>
      <c r="G52" s="31">
        <f>lc_detailed!BL52/$AS$3</f>
        <v>0</v>
      </c>
      <c r="H52" s="31">
        <f>lc_detailed!BM52/$AS$3</f>
        <v>0</v>
      </c>
      <c r="I52" s="31">
        <f>lc_detailed!BN52/$AS$3</f>
        <v>0</v>
      </c>
      <c r="J52" s="31">
        <f>lc_detailed!BO52/$AS$3</f>
        <v>0</v>
      </c>
      <c r="K52" s="31">
        <f>lc_detailed!BP52/$AS$3</f>
        <v>0</v>
      </c>
      <c r="L52" s="31">
        <f>lc_detailed!BQ52/$AS$3</f>
        <v>0</v>
      </c>
      <c r="M52" s="31">
        <f>lc_detailed!BR52/$AS$3</f>
        <v>0</v>
      </c>
      <c r="N52" s="31">
        <f>lc_detailed!BS52/$AS$3</f>
        <v>0</v>
      </c>
      <c r="O52" s="31">
        <f>lc_detailed!BT52/$AS$3</f>
        <v>0</v>
      </c>
      <c r="P52" s="31">
        <f>lc_detailed!CB52/$AS$3</f>
        <v>0</v>
      </c>
      <c r="Q52" s="31">
        <f>lc_detailed!CC52/$AS$3</f>
        <v>0</v>
      </c>
      <c r="R52" s="31">
        <f>lc_detailed!CA52/$AS$3</f>
        <v>0</v>
      </c>
      <c r="S52" s="32">
        <f>lc_detailed!BE52</f>
        <v>0</v>
      </c>
      <c r="T52" s="32">
        <f t="shared" si="4"/>
        <v>0</v>
      </c>
      <c r="U52" s="32">
        <f t="shared" si="2"/>
        <v>0</v>
      </c>
      <c r="W52" s="27">
        <f>lc_detailed!AZ52</f>
        <v>0</v>
      </c>
      <c r="X52" s="33">
        <f>lc_detailed!BH52/$AS$3</f>
        <v>0</v>
      </c>
      <c r="Y52" s="33">
        <f>lc_detailed!BI52/$AS$3</f>
        <v>0</v>
      </c>
      <c r="Z52" s="33">
        <f>lc_detailed!BJ52/$AS$3</f>
        <v>0</v>
      </c>
      <c r="AA52" s="33">
        <f>lc_detailed!BK52/$AS$3</f>
        <v>0</v>
      </c>
      <c r="AB52" s="33">
        <f>lc_detailed!BL52/$AS$3</f>
        <v>0</v>
      </c>
      <c r="AC52" s="33">
        <f>lc_detailed!BM52/$AS$3</f>
        <v>0</v>
      </c>
      <c r="AD52" s="33">
        <f>lc_detailed!BN52/$AS$3</f>
        <v>0</v>
      </c>
      <c r="AE52" s="33">
        <f>lc_detailed!BO52/$AS$3</f>
        <v>0</v>
      </c>
      <c r="AF52" s="33">
        <f>lc_detailed!BP52/$AS$3</f>
        <v>0</v>
      </c>
      <c r="AG52" s="33">
        <f>lc_detailed!BQ52/$AS$3</f>
        <v>0</v>
      </c>
      <c r="AH52" s="33">
        <f>lc_detailed!BR52/$AS$3</f>
        <v>0</v>
      </c>
      <c r="AI52" s="33">
        <f>lc_detailed!BS52/$AS$3</f>
        <v>0</v>
      </c>
      <c r="AJ52" s="33">
        <f>lc_detailed!BT52/$AS$3</f>
        <v>0</v>
      </c>
      <c r="AK52" s="33">
        <f>lc_detailed!BV52/$AS$3</f>
        <v>0</v>
      </c>
      <c r="AL52" s="33">
        <f>lc_detailed!BW52/$AS$3</f>
        <v>0</v>
      </c>
      <c r="AM52" s="33">
        <f>lc_detailed!BU52/$AS$3</f>
        <v>0</v>
      </c>
      <c r="AN52" s="33">
        <f>lc_detailed!BB52</f>
        <v>0</v>
      </c>
      <c r="AO52" s="33">
        <f t="shared" si="5"/>
        <v>0</v>
      </c>
      <c r="AP52" s="33">
        <f t="shared" si="3"/>
        <v>0</v>
      </c>
    </row>
    <row r="53" spans="2:42" ht="17" customHeight="1" x14ac:dyDescent="0.2">
      <c r="B53" s="26">
        <f>lc_detailed!AZ53</f>
        <v>0</v>
      </c>
      <c r="C53" s="31">
        <f>lc_detailed!BH53/$AS$3</f>
        <v>0</v>
      </c>
      <c r="D53" s="31">
        <f>lc_detailed!BI53/$AS$3</f>
        <v>0</v>
      </c>
      <c r="E53" s="31">
        <f>lc_detailed!BJ53/$AS$3</f>
        <v>0</v>
      </c>
      <c r="F53" s="31">
        <f>lc_detailed!BK53/$AS$3</f>
        <v>0</v>
      </c>
      <c r="G53" s="31">
        <f>lc_detailed!BL53/$AS$3</f>
        <v>0</v>
      </c>
      <c r="H53" s="31">
        <f>lc_detailed!BM53/$AS$3</f>
        <v>0</v>
      </c>
      <c r="I53" s="31">
        <f>lc_detailed!BN53/$AS$3</f>
        <v>0</v>
      </c>
      <c r="J53" s="31">
        <f>lc_detailed!BO53/$AS$3</f>
        <v>0</v>
      </c>
      <c r="K53" s="31">
        <f>lc_detailed!BP53/$AS$3</f>
        <v>0</v>
      </c>
      <c r="L53" s="31">
        <f>lc_detailed!BQ53/$AS$3</f>
        <v>0</v>
      </c>
      <c r="M53" s="31">
        <f>lc_detailed!BR53/$AS$3</f>
        <v>0</v>
      </c>
      <c r="N53" s="31">
        <f>lc_detailed!BS53/$AS$3</f>
        <v>0</v>
      </c>
      <c r="O53" s="31">
        <f>lc_detailed!BT53/$AS$3</f>
        <v>0</v>
      </c>
      <c r="P53" s="31">
        <f>lc_detailed!CB53/$AS$3</f>
        <v>0</v>
      </c>
      <c r="Q53" s="31">
        <f>lc_detailed!CC53/$AS$3</f>
        <v>0</v>
      </c>
      <c r="R53" s="31">
        <f>lc_detailed!CA53/$AS$3</f>
        <v>0</v>
      </c>
      <c r="S53" s="32">
        <f>lc_detailed!BE53</f>
        <v>0</v>
      </c>
      <c r="T53" s="32">
        <f t="shared" si="4"/>
        <v>0</v>
      </c>
      <c r="U53" s="32">
        <f t="shared" si="2"/>
        <v>0</v>
      </c>
      <c r="W53" s="27">
        <f>lc_detailed!AZ53</f>
        <v>0</v>
      </c>
      <c r="X53" s="33">
        <f>lc_detailed!BH53/$AS$3</f>
        <v>0</v>
      </c>
      <c r="Y53" s="33">
        <f>lc_detailed!BI53/$AS$3</f>
        <v>0</v>
      </c>
      <c r="Z53" s="33">
        <f>lc_detailed!BJ53/$AS$3</f>
        <v>0</v>
      </c>
      <c r="AA53" s="33">
        <f>lc_detailed!BK53/$AS$3</f>
        <v>0</v>
      </c>
      <c r="AB53" s="33">
        <f>lc_detailed!BL53/$AS$3</f>
        <v>0</v>
      </c>
      <c r="AC53" s="33">
        <f>lc_detailed!BM53/$AS$3</f>
        <v>0</v>
      </c>
      <c r="AD53" s="33">
        <f>lc_detailed!BN53/$AS$3</f>
        <v>0</v>
      </c>
      <c r="AE53" s="33">
        <f>lc_detailed!BO53/$AS$3</f>
        <v>0</v>
      </c>
      <c r="AF53" s="33">
        <f>lc_detailed!BP53/$AS$3</f>
        <v>0</v>
      </c>
      <c r="AG53" s="33">
        <f>lc_detailed!BQ53/$AS$3</f>
        <v>0</v>
      </c>
      <c r="AH53" s="33">
        <f>lc_detailed!BR53/$AS$3</f>
        <v>0</v>
      </c>
      <c r="AI53" s="33">
        <f>lc_detailed!BS53/$AS$3</f>
        <v>0</v>
      </c>
      <c r="AJ53" s="33">
        <f>lc_detailed!BT53/$AS$3</f>
        <v>0</v>
      </c>
      <c r="AK53" s="33">
        <f>lc_detailed!BV53/$AS$3</f>
        <v>0</v>
      </c>
      <c r="AL53" s="33">
        <f>lc_detailed!BW53/$AS$3</f>
        <v>0</v>
      </c>
      <c r="AM53" s="33">
        <f>lc_detailed!BU53/$AS$3</f>
        <v>0</v>
      </c>
      <c r="AN53" s="33">
        <f>lc_detailed!BB53</f>
        <v>0</v>
      </c>
      <c r="AO53" s="33">
        <f t="shared" si="5"/>
        <v>0</v>
      </c>
      <c r="AP53" s="33">
        <f t="shared" si="3"/>
        <v>0</v>
      </c>
    </row>
    <row r="54" spans="2:42" ht="17" customHeight="1" x14ac:dyDescent="0.2">
      <c r="B54" s="26">
        <f>lc_detailed!AZ54</f>
        <v>0</v>
      </c>
      <c r="C54" s="31">
        <f>lc_detailed!BH54/$AS$3</f>
        <v>0</v>
      </c>
      <c r="D54" s="31">
        <f>lc_detailed!BI54/$AS$3</f>
        <v>0</v>
      </c>
      <c r="E54" s="31">
        <f>lc_detailed!BJ54/$AS$3</f>
        <v>0</v>
      </c>
      <c r="F54" s="31">
        <f>lc_detailed!BK54/$AS$3</f>
        <v>0</v>
      </c>
      <c r="G54" s="31">
        <f>lc_detailed!BL54/$AS$3</f>
        <v>0</v>
      </c>
      <c r="H54" s="31">
        <f>lc_detailed!BM54/$AS$3</f>
        <v>0</v>
      </c>
      <c r="I54" s="31">
        <f>lc_detailed!BN54/$AS$3</f>
        <v>0</v>
      </c>
      <c r="J54" s="31">
        <f>lc_detailed!BO54/$AS$3</f>
        <v>0</v>
      </c>
      <c r="K54" s="31">
        <f>lc_detailed!BP54/$AS$3</f>
        <v>0</v>
      </c>
      <c r="L54" s="31">
        <f>lc_detailed!BQ54/$AS$3</f>
        <v>0</v>
      </c>
      <c r="M54" s="31">
        <f>lc_detailed!BR54/$AS$3</f>
        <v>0</v>
      </c>
      <c r="N54" s="31">
        <f>lc_detailed!BS54/$AS$3</f>
        <v>0</v>
      </c>
      <c r="O54" s="31">
        <f>lc_detailed!BT54/$AS$3</f>
        <v>0</v>
      </c>
      <c r="P54" s="31">
        <f>lc_detailed!CB54/$AS$3</f>
        <v>0</v>
      </c>
      <c r="Q54" s="31">
        <f>lc_detailed!CC54/$AS$3</f>
        <v>0</v>
      </c>
      <c r="R54" s="31">
        <f>lc_detailed!CA54/$AS$3</f>
        <v>0</v>
      </c>
      <c r="S54" s="32">
        <f>lc_detailed!BE54</f>
        <v>0</v>
      </c>
      <c r="T54" s="32">
        <f t="shared" si="4"/>
        <v>0</v>
      </c>
      <c r="U54" s="32">
        <f t="shared" si="2"/>
        <v>0</v>
      </c>
      <c r="W54" s="27">
        <f>lc_detailed!AZ54</f>
        <v>0</v>
      </c>
      <c r="X54" s="33">
        <f>lc_detailed!BH54/$AS$3</f>
        <v>0</v>
      </c>
      <c r="Y54" s="33">
        <f>lc_detailed!BI54/$AS$3</f>
        <v>0</v>
      </c>
      <c r="Z54" s="33">
        <f>lc_detailed!BJ54/$AS$3</f>
        <v>0</v>
      </c>
      <c r="AA54" s="33">
        <f>lc_detailed!BK54/$AS$3</f>
        <v>0</v>
      </c>
      <c r="AB54" s="33">
        <f>lc_detailed!BL54/$AS$3</f>
        <v>0</v>
      </c>
      <c r="AC54" s="33">
        <f>lc_detailed!BM54/$AS$3</f>
        <v>0</v>
      </c>
      <c r="AD54" s="33">
        <f>lc_detailed!BN54/$AS$3</f>
        <v>0</v>
      </c>
      <c r="AE54" s="33">
        <f>lc_detailed!BO54/$AS$3</f>
        <v>0</v>
      </c>
      <c r="AF54" s="33">
        <f>lc_detailed!BP54/$AS$3</f>
        <v>0</v>
      </c>
      <c r="AG54" s="33">
        <f>lc_detailed!BQ54/$AS$3</f>
        <v>0</v>
      </c>
      <c r="AH54" s="33">
        <f>lc_detailed!BR54/$AS$3</f>
        <v>0</v>
      </c>
      <c r="AI54" s="33">
        <f>lc_detailed!BS54/$AS$3</f>
        <v>0</v>
      </c>
      <c r="AJ54" s="33">
        <f>lc_detailed!BT54/$AS$3</f>
        <v>0</v>
      </c>
      <c r="AK54" s="33">
        <f>lc_detailed!BV54/$AS$3</f>
        <v>0</v>
      </c>
      <c r="AL54" s="33">
        <f>lc_detailed!BW54/$AS$3</f>
        <v>0</v>
      </c>
      <c r="AM54" s="33">
        <f>lc_detailed!BU54/$AS$3</f>
        <v>0</v>
      </c>
      <c r="AN54" s="33">
        <f>lc_detailed!BB54</f>
        <v>0</v>
      </c>
      <c r="AO54" s="33">
        <f t="shared" si="5"/>
        <v>0</v>
      </c>
      <c r="AP54" s="33">
        <f t="shared" si="3"/>
        <v>0</v>
      </c>
    </row>
    <row r="55" spans="2:42" ht="17" customHeight="1" x14ac:dyDescent="0.2">
      <c r="B55" s="26">
        <f>lc_detailed!AZ55</f>
        <v>0</v>
      </c>
      <c r="C55" s="31">
        <f>lc_detailed!BH55/$AS$3</f>
        <v>0</v>
      </c>
      <c r="D55" s="31">
        <f>lc_detailed!BI55/$AS$3</f>
        <v>0</v>
      </c>
      <c r="E55" s="31">
        <f>lc_detailed!BJ55/$AS$3</f>
        <v>0</v>
      </c>
      <c r="F55" s="31">
        <f>lc_detailed!BK55/$AS$3</f>
        <v>0</v>
      </c>
      <c r="G55" s="31">
        <f>lc_detailed!BL55/$AS$3</f>
        <v>0</v>
      </c>
      <c r="H55" s="31">
        <f>lc_detailed!BM55/$AS$3</f>
        <v>0</v>
      </c>
      <c r="I55" s="31">
        <f>lc_detailed!BN55/$AS$3</f>
        <v>0</v>
      </c>
      <c r="J55" s="31">
        <f>lc_detailed!BO55/$AS$3</f>
        <v>0</v>
      </c>
      <c r="K55" s="31">
        <f>lc_detailed!BP55/$AS$3</f>
        <v>0</v>
      </c>
      <c r="L55" s="31">
        <f>lc_detailed!BQ55/$AS$3</f>
        <v>0</v>
      </c>
      <c r="M55" s="31">
        <f>lc_detailed!BR55/$AS$3</f>
        <v>0</v>
      </c>
      <c r="N55" s="31">
        <f>lc_detailed!BS55/$AS$3</f>
        <v>0</v>
      </c>
      <c r="O55" s="31">
        <f>lc_detailed!BT55/$AS$3</f>
        <v>0</v>
      </c>
      <c r="P55" s="31">
        <f>lc_detailed!CB55/$AS$3</f>
        <v>0</v>
      </c>
      <c r="Q55" s="31">
        <f>lc_detailed!CC55/$AS$3</f>
        <v>0</v>
      </c>
      <c r="R55" s="31">
        <f>lc_detailed!CA55/$AS$3</f>
        <v>0</v>
      </c>
      <c r="S55" s="32">
        <f>lc_detailed!BE55</f>
        <v>0</v>
      </c>
      <c r="T55" s="32">
        <f t="shared" si="4"/>
        <v>0</v>
      </c>
      <c r="U55" s="32">
        <f t="shared" si="2"/>
        <v>0</v>
      </c>
      <c r="W55" s="27">
        <f>lc_detailed!AZ55</f>
        <v>0</v>
      </c>
      <c r="X55" s="33">
        <f>lc_detailed!BH55/$AS$3</f>
        <v>0</v>
      </c>
      <c r="Y55" s="33">
        <f>lc_detailed!BI55/$AS$3</f>
        <v>0</v>
      </c>
      <c r="Z55" s="33">
        <f>lc_detailed!BJ55/$AS$3</f>
        <v>0</v>
      </c>
      <c r="AA55" s="33">
        <f>lc_detailed!BK55/$AS$3</f>
        <v>0</v>
      </c>
      <c r="AB55" s="33">
        <f>lc_detailed!BL55/$AS$3</f>
        <v>0</v>
      </c>
      <c r="AC55" s="33">
        <f>lc_detailed!BM55/$AS$3</f>
        <v>0</v>
      </c>
      <c r="AD55" s="33">
        <f>lc_detailed!BN55/$AS$3</f>
        <v>0</v>
      </c>
      <c r="AE55" s="33">
        <f>lc_detailed!BO55/$AS$3</f>
        <v>0</v>
      </c>
      <c r="AF55" s="33">
        <f>lc_detailed!BP55/$AS$3</f>
        <v>0</v>
      </c>
      <c r="AG55" s="33">
        <f>lc_detailed!BQ55/$AS$3</f>
        <v>0</v>
      </c>
      <c r="AH55" s="33">
        <f>lc_detailed!BR55/$AS$3</f>
        <v>0</v>
      </c>
      <c r="AI55" s="33">
        <f>lc_detailed!BS55/$AS$3</f>
        <v>0</v>
      </c>
      <c r="AJ55" s="33">
        <f>lc_detailed!BT55/$AS$3</f>
        <v>0</v>
      </c>
      <c r="AK55" s="33">
        <f>lc_detailed!BV55/$AS$3</f>
        <v>0</v>
      </c>
      <c r="AL55" s="33">
        <f>lc_detailed!BW55/$AS$3</f>
        <v>0</v>
      </c>
      <c r="AM55" s="33">
        <f>lc_detailed!BU55/$AS$3</f>
        <v>0</v>
      </c>
      <c r="AN55" s="33">
        <f>lc_detailed!BB55</f>
        <v>0</v>
      </c>
      <c r="AO55" s="33">
        <f t="shared" si="5"/>
        <v>0</v>
      </c>
      <c r="AP55" s="33">
        <f t="shared" si="3"/>
        <v>0</v>
      </c>
    </row>
    <row r="56" spans="2:42" ht="17" customHeight="1" x14ac:dyDescent="0.2">
      <c r="B56" s="26">
        <f>lc_detailed!AZ56</f>
        <v>0</v>
      </c>
      <c r="C56" s="31">
        <f>lc_detailed!BH56/$AS$3</f>
        <v>0</v>
      </c>
      <c r="D56" s="31">
        <f>lc_detailed!BI56/$AS$3</f>
        <v>0</v>
      </c>
      <c r="E56" s="31">
        <f>lc_detailed!BJ56/$AS$3</f>
        <v>0</v>
      </c>
      <c r="F56" s="31">
        <f>lc_detailed!BK56/$AS$3</f>
        <v>0</v>
      </c>
      <c r="G56" s="31">
        <f>lc_detailed!BL56/$AS$3</f>
        <v>0</v>
      </c>
      <c r="H56" s="31">
        <f>lc_detailed!BM56/$AS$3</f>
        <v>0</v>
      </c>
      <c r="I56" s="31">
        <f>lc_detailed!BN56/$AS$3</f>
        <v>0</v>
      </c>
      <c r="J56" s="31">
        <f>lc_detailed!BO56/$AS$3</f>
        <v>0</v>
      </c>
      <c r="K56" s="31">
        <f>lc_detailed!BP56/$AS$3</f>
        <v>0</v>
      </c>
      <c r="L56" s="31">
        <f>lc_detailed!BQ56/$AS$3</f>
        <v>0</v>
      </c>
      <c r="M56" s="31">
        <f>lc_detailed!BR56/$AS$3</f>
        <v>0</v>
      </c>
      <c r="N56" s="31">
        <f>lc_detailed!BS56/$AS$3</f>
        <v>0</v>
      </c>
      <c r="O56" s="31">
        <f>lc_detailed!BT56/$AS$3</f>
        <v>0</v>
      </c>
      <c r="P56" s="31">
        <f>lc_detailed!CB56/$AS$3</f>
        <v>0</v>
      </c>
      <c r="Q56" s="31">
        <f>lc_detailed!CC56/$AS$3</f>
        <v>0</v>
      </c>
      <c r="R56" s="31">
        <f>lc_detailed!CA56/$AS$3</f>
        <v>0</v>
      </c>
      <c r="S56" s="32">
        <f>lc_detailed!BE56</f>
        <v>0</v>
      </c>
      <c r="T56" s="32">
        <f t="shared" si="4"/>
        <v>0</v>
      </c>
      <c r="U56" s="32">
        <f t="shared" si="2"/>
        <v>0</v>
      </c>
      <c r="W56" s="27">
        <f>lc_detailed!AZ56</f>
        <v>0</v>
      </c>
      <c r="X56" s="33">
        <f>lc_detailed!BH56/$AS$3</f>
        <v>0</v>
      </c>
      <c r="Y56" s="33">
        <f>lc_detailed!BI56/$AS$3</f>
        <v>0</v>
      </c>
      <c r="Z56" s="33">
        <f>lc_detailed!BJ56/$AS$3</f>
        <v>0</v>
      </c>
      <c r="AA56" s="33">
        <f>lc_detailed!BK56/$AS$3</f>
        <v>0</v>
      </c>
      <c r="AB56" s="33">
        <f>lc_detailed!BL56/$AS$3</f>
        <v>0</v>
      </c>
      <c r="AC56" s="33">
        <f>lc_detailed!BM56/$AS$3</f>
        <v>0</v>
      </c>
      <c r="AD56" s="33">
        <f>lc_detailed!BN56/$AS$3</f>
        <v>0</v>
      </c>
      <c r="AE56" s="33">
        <f>lc_detailed!BO56/$AS$3</f>
        <v>0</v>
      </c>
      <c r="AF56" s="33">
        <f>lc_detailed!BP56/$AS$3</f>
        <v>0</v>
      </c>
      <c r="AG56" s="33">
        <f>lc_detailed!BQ56/$AS$3</f>
        <v>0</v>
      </c>
      <c r="AH56" s="33">
        <f>lc_detailed!BR56/$AS$3</f>
        <v>0</v>
      </c>
      <c r="AI56" s="33">
        <f>lc_detailed!BS56/$AS$3</f>
        <v>0</v>
      </c>
      <c r="AJ56" s="33">
        <f>lc_detailed!BT56/$AS$3</f>
        <v>0</v>
      </c>
      <c r="AK56" s="33">
        <f>lc_detailed!BV56/$AS$3</f>
        <v>0</v>
      </c>
      <c r="AL56" s="33">
        <f>lc_detailed!BW56/$AS$3</f>
        <v>0</v>
      </c>
      <c r="AM56" s="33">
        <f>lc_detailed!BU56/$AS$3</f>
        <v>0</v>
      </c>
      <c r="AN56" s="33">
        <f>lc_detailed!BB56</f>
        <v>0</v>
      </c>
      <c r="AO56" s="33">
        <f t="shared" si="5"/>
        <v>0</v>
      </c>
      <c r="AP56" s="33">
        <f t="shared" si="3"/>
        <v>0</v>
      </c>
    </row>
    <row r="57" spans="2:42" ht="17" customHeight="1" x14ac:dyDescent="0.2">
      <c r="B57" s="26">
        <f>lc_detailed!AZ57</f>
        <v>0</v>
      </c>
      <c r="C57" s="31">
        <f>lc_detailed!BH57/$AS$3</f>
        <v>0</v>
      </c>
      <c r="D57" s="31">
        <f>lc_detailed!BI57/$AS$3</f>
        <v>0</v>
      </c>
      <c r="E57" s="31">
        <f>lc_detailed!BJ57/$AS$3</f>
        <v>0</v>
      </c>
      <c r="F57" s="31">
        <f>lc_detailed!BK57/$AS$3</f>
        <v>0</v>
      </c>
      <c r="G57" s="31">
        <f>lc_detailed!BL57/$AS$3</f>
        <v>0</v>
      </c>
      <c r="H57" s="31">
        <f>lc_detailed!BM57/$AS$3</f>
        <v>0</v>
      </c>
      <c r="I57" s="31">
        <f>lc_detailed!BN57/$AS$3</f>
        <v>0</v>
      </c>
      <c r="J57" s="31">
        <f>lc_detailed!BO57/$AS$3</f>
        <v>0</v>
      </c>
      <c r="K57" s="31">
        <f>lc_detailed!BP57/$AS$3</f>
        <v>0</v>
      </c>
      <c r="L57" s="31">
        <f>lc_detailed!BQ57/$AS$3</f>
        <v>0</v>
      </c>
      <c r="M57" s="31">
        <f>lc_detailed!BR57/$AS$3</f>
        <v>0</v>
      </c>
      <c r="N57" s="31">
        <f>lc_detailed!BS57/$AS$3</f>
        <v>0</v>
      </c>
      <c r="O57" s="31">
        <f>lc_detailed!BT57/$AS$3</f>
        <v>0</v>
      </c>
      <c r="P57" s="31">
        <f>lc_detailed!CB57/$AS$3</f>
        <v>0</v>
      </c>
      <c r="Q57" s="31">
        <f>lc_detailed!CC57/$AS$3</f>
        <v>0</v>
      </c>
      <c r="R57" s="31">
        <f>lc_detailed!CA57/$AS$3</f>
        <v>0</v>
      </c>
      <c r="S57" s="32">
        <f>lc_detailed!BE57</f>
        <v>0</v>
      </c>
      <c r="T57" s="32">
        <f t="shared" si="4"/>
        <v>0</v>
      </c>
      <c r="U57" s="32">
        <f t="shared" si="2"/>
        <v>0</v>
      </c>
      <c r="W57" s="27">
        <f>lc_detailed!AZ57</f>
        <v>0</v>
      </c>
      <c r="X57" s="33">
        <f>lc_detailed!BH57/$AS$3</f>
        <v>0</v>
      </c>
      <c r="Y57" s="33">
        <f>lc_detailed!BI57/$AS$3</f>
        <v>0</v>
      </c>
      <c r="Z57" s="33">
        <f>lc_detailed!BJ57/$AS$3</f>
        <v>0</v>
      </c>
      <c r="AA57" s="33">
        <f>lc_detailed!BK57/$AS$3</f>
        <v>0</v>
      </c>
      <c r="AB57" s="33">
        <f>lc_detailed!BL57/$AS$3</f>
        <v>0</v>
      </c>
      <c r="AC57" s="33">
        <f>lc_detailed!BM57/$AS$3</f>
        <v>0</v>
      </c>
      <c r="AD57" s="33">
        <f>lc_detailed!BN57/$AS$3</f>
        <v>0</v>
      </c>
      <c r="AE57" s="33">
        <f>lc_detailed!BO57/$AS$3</f>
        <v>0</v>
      </c>
      <c r="AF57" s="33">
        <f>lc_detailed!BP57/$AS$3</f>
        <v>0</v>
      </c>
      <c r="AG57" s="33">
        <f>lc_detailed!BQ57/$AS$3</f>
        <v>0</v>
      </c>
      <c r="AH57" s="33">
        <f>lc_detailed!BR57/$AS$3</f>
        <v>0</v>
      </c>
      <c r="AI57" s="33">
        <f>lc_detailed!BS57/$AS$3</f>
        <v>0</v>
      </c>
      <c r="AJ57" s="33">
        <f>lc_detailed!BT57/$AS$3</f>
        <v>0</v>
      </c>
      <c r="AK57" s="33">
        <f>lc_detailed!BV57/$AS$3</f>
        <v>0</v>
      </c>
      <c r="AL57" s="33">
        <f>lc_detailed!BW57/$AS$3</f>
        <v>0</v>
      </c>
      <c r="AM57" s="33">
        <f>lc_detailed!BU57/$AS$3</f>
        <v>0</v>
      </c>
      <c r="AN57" s="33">
        <f>lc_detailed!BB57</f>
        <v>0</v>
      </c>
      <c r="AO57" s="33">
        <f t="shared" si="5"/>
        <v>0</v>
      </c>
      <c r="AP57" s="33">
        <f t="shared" si="3"/>
        <v>0</v>
      </c>
    </row>
    <row r="58" spans="2:42" ht="17" customHeight="1" x14ac:dyDescent="0.2">
      <c r="B58" s="26">
        <f>lc_detailed!AZ58</f>
        <v>0</v>
      </c>
      <c r="C58" s="31">
        <f>lc_detailed!BH58/$AS$3</f>
        <v>0</v>
      </c>
      <c r="D58" s="31">
        <f>lc_detailed!BI58/$AS$3</f>
        <v>0</v>
      </c>
      <c r="E58" s="31">
        <f>lc_detailed!BJ58/$AS$3</f>
        <v>0</v>
      </c>
      <c r="F58" s="31">
        <f>lc_detailed!BK58/$AS$3</f>
        <v>0</v>
      </c>
      <c r="G58" s="31">
        <f>lc_detailed!BL58/$AS$3</f>
        <v>0</v>
      </c>
      <c r="H58" s="31">
        <f>lc_detailed!BM58/$AS$3</f>
        <v>0</v>
      </c>
      <c r="I58" s="31">
        <f>lc_detailed!BN58/$AS$3</f>
        <v>0</v>
      </c>
      <c r="J58" s="31">
        <f>lc_detailed!BO58/$AS$3</f>
        <v>0</v>
      </c>
      <c r="K58" s="31">
        <f>lc_detailed!BP58/$AS$3</f>
        <v>0</v>
      </c>
      <c r="L58" s="31">
        <f>lc_detailed!BQ58/$AS$3</f>
        <v>0</v>
      </c>
      <c r="M58" s="31">
        <f>lc_detailed!BR58/$AS$3</f>
        <v>0</v>
      </c>
      <c r="N58" s="31">
        <f>lc_detailed!BS58/$AS$3</f>
        <v>0</v>
      </c>
      <c r="O58" s="31">
        <f>lc_detailed!BT58/$AS$3</f>
        <v>0</v>
      </c>
      <c r="P58" s="31">
        <f>lc_detailed!CB58/$AS$3</f>
        <v>0</v>
      </c>
      <c r="Q58" s="31">
        <f>lc_detailed!CC58/$AS$3</f>
        <v>0</v>
      </c>
      <c r="R58" s="31">
        <f>lc_detailed!CA58/$AS$3</f>
        <v>0</v>
      </c>
      <c r="S58" s="32">
        <f>lc_detailed!BE58</f>
        <v>0</v>
      </c>
      <c r="T58" s="32">
        <f t="shared" si="4"/>
        <v>0</v>
      </c>
      <c r="U58" s="32">
        <f t="shared" si="2"/>
        <v>0</v>
      </c>
      <c r="W58" s="27">
        <f>lc_detailed!AZ58</f>
        <v>0</v>
      </c>
      <c r="X58" s="33">
        <f>lc_detailed!BH58/$AS$3</f>
        <v>0</v>
      </c>
      <c r="Y58" s="33">
        <f>lc_detailed!BI58/$AS$3</f>
        <v>0</v>
      </c>
      <c r="Z58" s="33">
        <f>lc_detailed!BJ58/$AS$3</f>
        <v>0</v>
      </c>
      <c r="AA58" s="33">
        <f>lc_detailed!BK58/$AS$3</f>
        <v>0</v>
      </c>
      <c r="AB58" s="33">
        <f>lc_detailed!BL58/$AS$3</f>
        <v>0</v>
      </c>
      <c r="AC58" s="33">
        <f>lc_detailed!BM58/$AS$3</f>
        <v>0</v>
      </c>
      <c r="AD58" s="33">
        <f>lc_detailed!BN58/$AS$3</f>
        <v>0</v>
      </c>
      <c r="AE58" s="33">
        <f>lc_detailed!BO58/$AS$3</f>
        <v>0</v>
      </c>
      <c r="AF58" s="33">
        <f>lc_detailed!BP58/$AS$3</f>
        <v>0</v>
      </c>
      <c r="AG58" s="33">
        <f>lc_detailed!BQ58/$AS$3</f>
        <v>0</v>
      </c>
      <c r="AH58" s="33">
        <f>lc_detailed!BR58/$AS$3</f>
        <v>0</v>
      </c>
      <c r="AI58" s="33">
        <f>lc_detailed!BS58/$AS$3</f>
        <v>0</v>
      </c>
      <c r="AJ58" s="33">
        <f>lc_detailed!BT58/$AS$3</f>
        <v>0</v>
      </c>
      <c r="AK58" s="33">
        <f>lc_detailed!BV58/$AS$3</f>
        <v>0</v>
      </c>
      <c r="AL58" s="33">
        <f>lc_detailed!BW58/$AS$3</f>
        <v>0</v>
      </c>
      <c r="AM58" s="33">
        <f>lc_detailed!BU58/$AS$3</f>
        <v>0</v>
      </c>
      <c r="AN58" s="33">
        <f>lc_detailed!BB58</f>
        <v>0</v>
      </c>
      <c r="AO58" s="33">
        <f t="shared" si="5"/>
        <v>0</v>
      </c>
      <c r="AP58" s="33">
        <f t="shared" si="3"/>
        <v>0</v>
      </c>
    </row>
    <row r="59" spans="2:42" ht="17" customHeight="1" x14ac:dyDescent="0.2">
      <c r="B59" s="26">
        <f>lc_detailed!AZ59</f>
        <v>0</v>
      </c>
      <c r="C59" s="31">
        <f>lc_detailed!BH59/$AS$3</f>
        <v>0</v>
      </c>
      <c r="D59" s="31">
        <f>lc_detailed!BI59/$AS$3</f>
        <v>0</v>
      </c>
      <c r="E59" s="31">
        <f>lc_detailed!BJ59/$AS$3</f>
        <v>0</v>
      </c>
      <c r="F59" s="31">
        <f>lc_detailed!BK59/$AS$3</f>
        <v>0</v>
      </c>
      <c r="G59" s="31">
        <f>lc_detailed!BL59/$AS$3</f>
        <v>0</v>
      </c>
      <c r="H59" s="31">
        <f>lc_detailed!BM59/$AS$3</f>
        <v>0</v>
      </c>
      <c r="I59" s="31">
        <f>lc_detailed!BN59/$AS$3</f>
        <v>0</v>
      </c>
      <c r="J59" s="31">
        <f>lc_detailed!BO59/$AS$3</f>
        <v>0</v>
      </c>
      <c r="K59" s="31">
        <f>lc_detailed!BP59/$AS$3</f>
        <v>0</v>
      </c>
      <c r="L59" s="31">
        <f>lc_detailed!BQ59/$AS$3</f>
        <v>0</v>
      </c>
      <c r="M59" s="31">
        <f>lc_detailed!BR59/$AS$3</f>
        <v>0</v>
      </c>
      <c r="N59" s="31">
        <f>lc_detailed!BS59/$AS$3</f>
        <v>0</v>
      </c>
      <c r="O59" s="31">
        <f>lc_detailed!BT59/$AS$3</f>
        <v>0</v>
      </c>
      <c r="P59" s="31">
        <f>lc_detailed!CB59/$AS$3</f>
        <v>0</v>
      </c>
      <c r="Q59" s="31">
        <f>lc_detailed!CC59/$AS$3</f>
        <v>0</v>
      </c>
      <c r="R59" s="31">
        <f>lc_detailed!CA59/$AS$3</f>
        <v>0</v>
      </c>
      <c r="S59" s="32">
        <f>lc_detailed!BE59</f>
        <v>0</v>
      </c>
      <c r="T59" s="32">
        <f t="shared" si="4"/>
        <v>0</v>
      </c>
      <c r="U59" s="32">
        <f t="shared" si="2"/>
        <v>0</v>
      </c>
      <c r="W59" s="27">
        <f>lc_detailed!AZ59</f>
        <v>0</v>
      </c>
      <c r="X59" s="33">
        <f>lc_detailed!BH59/$AS$3</f>
        <v>0</v>
      </c>
      <c r="Y59" s="33">
        <f>lc_detailed!BI59/$AS$3</f>
        <v>0</v>
      </c>
      <c r="Z59" s="33">
        <f>lc_detailed!BJ59/$AS$3</f>
        <v>0</v>
      </c>
      <c r="AA59" s="33">
        <f>lc_detailed!BK59/$AS$3</f>
        <v>0</v>
      </c>
      <c r="AB59" s="33">
        <f>lc_detailed!BL59/$AS$3</f>
        <v>0</v>
      </c>
      <c r="AC59" s="33">
        <f>lc_detailed!BM59/$AS$3</f>
        <v>0</v>
      </c>
      <c r="AD59" s="33">
        <f>lc_detailed!BN59/$AS$3</f>
        <v>0</v>
      </c>
      <c r="AE59" s="33">
        <f>lc_detailed!BO59/$AS$3</f>
        <v>0</v>
      </c>
      <c r="AF59" s="33">
        <f>lc_detailed!BP59/$AS$3</f>
        <v>0</v>
      </c>
      <c r="AG59" s="33">
        <f>lc_detailed!BQ59/$AS$3</f>
        <v>0</v>
      </c>
      <c r="AH59" s="33">
        <f>lc_detailed!BR59/$AS$3</f>
        <v>0</v>
      </c>
      <c r="AI59" s="33">
        <f>lc_detailed!BS59/$AS$3</f>
        <v>0</v>
      </c>
      <c r="AJ59" s="33">
        <f>lc_detailed!BT59/$AS$3</f>
        <v>0</v>
      </c>
      <c r="AK59" s="33">
        <f>lc_detailed!BV59/$AS$3</f>
        <v>0</v>
      </c>
      <c r="AL59" s="33">
        <f>lc_detailed!BW59/$AS$3</f>
        <v>0</v>
      </c>
      <c r="AM59" s="33">
        <f>lc_detailed!BU59/$AS$3</f>
        <v>0</v>
      </c>
      <c r="AN59" s="33">
        <f>lc_detailed!BB59</f>
        <v>0</v>
      </c>
      <c r="AO59" s="33">
        <f t="shared" si="5"/>
        <v>0</v>
      </c>
      <c r="AP59" s="33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2026-04-09T15:53:02Z</dcterms:modified>
</cp:coreProperties>
</file>