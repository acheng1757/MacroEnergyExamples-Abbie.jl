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MacroEnergy-Abbie.jl/MacroEnergyExamples/lcoe_plots/dehydration_lcoe/"/>
    </mc:Choice>
  </mc:AlternateContent>
  <xr:revisionPtr revIDLastSave="0" documentId="13_ncr:1_{79576328-732A-DF41-A210-B2B6EDE71E33}" xr6:coauthVersionLast="47" xr6:coauthVersionMax="47" xr10:uidLastSave="{00000000-0000-0000-0000-000000000000}"/>
  <bookViews>
    <workbookView xWindow="0" yWindow="740" windowWidth="17100" windowHeight="177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X66" i="1" l="1"/>
  <c r="BW66" i="1"/>
  <c r="BC66" i="1" s="1"/>
  <c r="BE66" i="1" s="1"/>
  <c r="BV66" i="1"/>
  <c r="BU66" i="1"/>
  <c r="BR66" i="1"/>
  <c r="BQ66" i="1"/>
  <c r="BJ66" i="1"/>
  <c r="BG66" i="1"/>
  <c r="BD66" i="1"/>
  <c r="BA66" i="1"/>
  <c r="AY66" i="1"/>
  <c r="AX66" i="1"/>
  <c r="AW66" i="1"/>
  <c r="AV66" i="1"/>
  <c r="AU66" i="1"/>
  <c r="AT66" i="1"/>
  <c r="AS66" i="1"/>
  <c r="AL66" i="1"/>
  <c r="AK66" i="1"/>
  <c r="BX65" i="1"/>
  <c r="BW65" i="1"/>
  <c r="BV65" i="1"/>
  <c r="BU65" i="1"/>
  <c r="BR65" i="1"/>
  <c r="BQ65" i="1"/>
  <c r="BJ65" i="1"/>
  <c r="BG65" i="1"/>
  <c r="BD65" i="1"/>
  <c r="BA65" i="1"/>
  <c r="AY65" i="1"/>
  <c r="AX65" i="1"/>
  <c r="AW65" i="1"/>
  <c r="AV65" i="1"/>
  <c r="AU65" i="1"/>
  <c r="AT65" i="1"/>
  <c r="AS65" i="1"/>
  <c r="AL65" i="1"/>
  <c r="AK65" i="1"/>
  <c r="BX64" i="1"/>
  <c r="BW64" i="1"/>
  <c r="BV64" i="1"/>
  <c r="BU64" i="1"/>
  <c r="BR64" i="1"/>
  <c r="BQ64" i="1"/>
  <c r="BS64" i="1" s="1"/>
  <c r="BJ64" i="1"/>
  <c r="BG64" i="1"/>
  <c r="BD64" i="1"/>
  <c r="BA64" i="1"/>
  <c r="AY64" i="1"/>
  <c r="AX64" i="1"/>
  <c r="AW64" i="1"/>
  <c r="AV64" i="1"/>
  <c r="AU64" i="1"/>
  <c r="AT64" i="1"/>
  <c r="AS64" i="1"/>
  <c r="AL64" i="1"/>
  <c r="AK64" i="1"/>
  <c r="BX63" i="1"/>
  <c r="BW63" i="1"/>
  <c r="BV63" i="1"/>
  <c r="BC63" i="1" s="1"/>
  <c r="BE63" i="1" s="1"/>
  <c r="AN63" i="1" s="1"/>
  <c r="BU63" i="1"/>
  <c r="BR63" i="1"/>
  <c r="BS63" i="1" s="1"/>
  <c r="BY63" i="1" s="1"/>
  <c r="M63" i="1" s="1"/>
  <c r="BQ63" i="1"/>
  <c r="BJ63" i="1"/>
  <c r="BG63" i="1"/>
  <c r="BD63" i="1"/>
  <c r="BA63" i="1"/>
  <c r="AY63" i="1"/>
  <c r="AX63" i="1"/>
  <c r="AW63" i="1"/>
  <c r="AV63" i="1"/>
  <c r="AU63" i="1"/>
  <c r="AT63" i="1"/>
  <c r="AS63" i="1"/>
  <c r="AL63" i="1"/>
  <c r="AK63" i="1"/>
  <c r="BX62" i="1"/>
  <c r="BW62" i="1"/>
  <c r="BV62" i="1"/>
  <c r="BU62" i="1"/>
  <c r="BR62" i="1"/>
  <c r="BQ62" i="1"/>
  <c r="BS62" i="1" s="1"/>
  <c r="BY62" i="1" s="1"/>
  <c r="M62" i="1" s="1"/>
  <c r="BJ62" i="1"/>
  <c r="BG62" i="1"/>
  <c r="BD62" i="1"/>
  <c r="BA62" i="1"/>
  <c r="AY62" i="1"/>
  <c r="AX62" i="1"/>
  <c r="AW62" i="1"/>
  <c r="AV62" i="1"/>
  <c r="AU62" i="1"/>
  <c r="AT62" i="1"/>
  <c r="AS62" i="1"/>
  <c r="AL62" i="1"/>
  <c r="AK62" i="1"/>
  <c r="BX61" i="1"/>
  <c r="BW61" i="1"/>
  <c r="BV61" i="1"/>
  <c r="BU61" i="1"/>
  <c r="BR61" i="1"/>
  <c r="BQ61" i="1"/>
  <c r="BJ61" i="1"/>
  <c r="BG61" i="1"/>
  <c r="BD61" i="1"/>
  <c r="BA61" i="1"/>
  <c r="AY61" i="1"/>
  <c r="AX61" i="1"/>
  <c r="AW61" i="1"/>
  <c r="AV61" i="1"/>
  <c r="AU61" i="1"/>
  <c r="AT61" i="1"/>
  <c r="AS61" i="1"/>
  <c r="AL61" i="1"/>
  <c r="AK61" i="1"/>
  <c r="BX60" i="1"/>
  <c r="AZ60" i="1" s="1"/>
  <c r="BB60" i="1" s="1"/>
  <c r="BW60" i="1"/>
  <c r="BV60" i="1"/>
  <c r="BU60" i="1"/>
  <c r="BR60" i="1"/>
  <c r="BQ60" i="1"/>
  <c r="BJ60" i="1"/>
  <c r="BG60" i="1"/>
  <c r="BD60" i="1"/>
  <c r="BA60" i="1"/>
  <c r="AY60" i="1"/>
  <c r="AX60" i="1"/>
  <c r="AW60" i="1"/>
  <c r="AV60" i="1"/>
  <c r="AU60" i="1"/>
  <c r="AT60" i="1"/>
  <c r="AS60" i="1"/>
  <c r="AL60" i="1"/>
  <c r="AK60" i="1"/>
  <c r="BX59" i="1"/>
  <c r="BW59" i="1"/>
  <c r="BV59" i="1"/>
  <c r="BU59" i="1"/>
  <c r="BR59" i="1"/>
  <c r="BQ59" i="1"/>
  <c r="BJ59" i="1"/>
  <c r="BG59" i="1"/>
  <c r="BD59" i="1"/>
  <c r="BA59" i="1"/>
  <c r="AY59" i="1"/>
  <c r="AX59" i="1"/>
  <c r="AW59" i="1"/>
  <c r="AV59" i="1"/>
  <c r="AU59" i="1"/>
  <c r="AT59" i="1"/>
  <c r="AS59" i="1"/>
  <c r="AL59" i="1"/>
  <c r="AK59" i="1"/>
  <c r="BX58" i="1"/>
  <c r="BW58" i="1"/>
  <c r="BV58" i="1"/>
  <c r="BF58" i="1" s="1"/>
  <c r="BH58" i="1" s="1"/>
  <c r="BU58" i="1"/>
  <c r="BR58" i="1"/>
  <c r="BS58" i="1" s="1"/>
  <c r="BQ58" i="1"/>
  <c r="BJ58" i="1"/>
  <c r="BG58" i="1"/>
  <c r="BD58" i="1"/>
  <c r="BC58" i="1"/>
  <c r="BE58" i="1" s="1"/>
  <c r="BA58" i="1"/>
  <c r="AY58" i="1"/>
  <c r="AX58" i="1"/>
  <c r="AW58" i="1"/>
  <c r="AV58" i="1"/>
  <c r="AU58" i="1"/>
  <c r="AT58" i="1"/>
  <c r="AS58" i="1"/>
  <c r="AL58" i="1"/>
  <c r="AK58" i="1"/>
  <c r="BX57" i="1"/>
  <c r="BW57" i="1"/>
  <c r="BV57" i="1"/>
  <c r="BU57" i="1"/>
  <c r="BR57" i="1"/>
  <c r="BQ57" i="1"/>
  <c r="BJ57" i="1"/>
  <c r="BG57" i="1"/>
  <c r="BD57" i="1"/>
  <c r="BA57" i="1"/>
  <c r="AY57" i="1"/>
  <c r="AX57" i="1"/>
  <c r="AW57" i="1"/>
  <c r="AV57" i="1"/>
  <c r="AU57" i="1"/>
  <c r="AT57" i="1"/>
  <c r="AS57" i="1"/>
  <c r="AL57" i="1"/>
  <c r="AK57" i="1"/>
  <c r="BX56" i="1"/>
  <c r="BW56" i="1"/>
  <c r="BV56" i="1"/>
  <c r="BU56" i="1"/>
  <c r="BR56" i="1"/>
  <c r="BQ56" i="1"/>
  <c r="BS56" i="1" s="1"/>
  <c r="BJ56" i="1"/>
  <c r="BG56" i="1"/>
  <c r="BD56" i="1"/>
  <c r="BA56" i="1"/>
  <c r="AY56" i="1"/>
  <c r="AX56" i="1"/>
  <c r="AW56" i="1"/>
  <c r="AV56" i="1"/>
  <c r="AU56" i="1"/>
  <c r="AT56" i="1"/>
  <c r="AS56" i="1"/>
  <c r="AL56" i="1"/>
  <c r="AK56" i="1"/>
  <c r="BX55" i="1"/>
  <c r="BW55" i="1"/>
  <c r="BV55" i="1"/>
  <c r="BU55" i="1"/>
  <c r="BR55" i="1"/>
  <c r="BQ55" i="1"/>
  <c r="BS55" i="1" s="1"/>
  <c r="BJ55" i="1"/>
  <c r="BG55" i="1"/>
  <c r="BD55" i="1"/>
  <c r="BA55" i="1"/>
  <c r="AY55" i="1"/>
  <c r="AX55" i="1"/>
  <c r="AW55" i="1"/>
  <c r="AV55" i="1"/>
  <c r="AU55" i="1"/>
  <c r="AT55" i="1"/>
  <c r="AS55" i="1"/>
  <c r="AL55" i="1"/>
  <c r="AK55" i="1"/>
  <c r="BX54" i="1"/>
  <c r="BW54" i="1"/>
  <c r="BV54" i="1"/>
  <c r="BU54" i="1"/>
  <c r="BZ54" i="1" s="1"/>
  <c r="BR54" i="1"/>
  <c r="BS54" i="1" s="1"/>
  <c r="BQ54" i="1"/>
  <c r="BJ54" i="1"/>
  <c r="BG54" i="1"/>
  <c r="BD54" i="1"/>
  <c r="BA54" i="1"/>
  <c r="AY54" i="1"/>
  <c r="AX54" i="1"/>
  <c r="AW54" i="1"/>
  <c r="AV54" i="1"/>
  <c r="AU54" i="1"/>
  <c r="AT54" i="1"/>
  <c r="AS54" i="1"/>
  <c r="AL54" i="1"/>
  <c r="AK54" i="1"/>
  <c r="BX53" i="1"/>
  <c r="BW53" i="1"/>
  <c r="BV53" i="1"/>
  <c r="BU53" i="1"/>
  <c r="BZ53" i="1" s="1"/>
  <c r="BR53" i="1"/>
  <c r="BQ53" i="1"/>
  <c r="BS53" i="1" s="1"/>
  <c r="BJ53" i="1"/>
  <c r="BG53" i="1"/>
  <c r="BD53" i="1"/>
  <c r="BA53" i="1"/>
  <c r="AY53" i="1"/>
  <c r="AX53" i="1"/>
  <c r="AW53" i="1"/>
  <c r="AV53" i="1"/>
  <c r="AU53" i="1"/>
  <c r="AT53" i="1"/>
  <c r="AS53" i="1"/>
  <c r="AL53" i="1"/>
  <c r="AK53" i="1"/>
  <c r="BX52" i="1"/>
  <c r="BW52" i="1"/>
  <c r="BV52" i="1"/>
  <c r="AZ52" i="1" s="1"/>
  <c r="BB52" i="1" s="1"/>
  <c r="AM52" i="1" s="1"/>
  <c r="BU52" i="1"/>
  <c r="BR52" i="1"/>
  <c r="BQ52" i="1"/>
  <c r="BJ52" i="1"/>
  <c r="BG52" i="1"/>
  <c r="BD52" i="1"/>
  <c r="BA52" i="1"/>
  <c r="AY52" i="1"/>
  <c r="AX52" i="1"/>
  <c r="AW52" i="1"/>
  <c r="AV52" i="1"/>
  <c r="AU52" i="1"/>
  <c r="AT52" i="1"/>
  <c r="AS52" i="1"/>
  <c r="AL52" i="1"/>
  <c r="AK52" i="1"/>
  <c r="BX51" i="1"/>
  <c r="BW51" i="1"/>
  <c r="BV51" i="1"/>
  <c r="BC51" i="1" s="1"/>
  <c r="BE51" i="1" s="1"/>
  <c r="BU51" i="1"/>
  <c r="BR51" i="1"/>
  <c r="BQ51" i="1"/>
  <c r="BS51" i="1" s="1"/>
  <c r="BJ51" i="1"/>
  <c r="BG51" i="1"/>
  <c r="BD51" i="1"/>
  <c r="BA51" i="1"/>
  <c r="AY51" i="1"/>
  <c r="AX51" i="1"/>
  <c r="AW51" i="1"/>
  <c r="AV51" i="1"/>
  <c r="AU51" i="1"/>
  <c r="AT51" i="1"/>
  <c r="AS51" i="1"/>
  <c r="AL51" i="1"/>
  <c r="AK51" i="1"/>
  <c r="BX50" i="1"/>
  <c r="BW50" i="1"/>
  <c r="BV50" i="1"/>
  <c r="BC50" i="1" s="1"/>
  <c r="BE50" i="1" s="1"/>
  <c r="AN50" i="1" s="1"/>
  <c r="BU50" i="1"/>
  <c r="BZ50" i="1" s="1"/>
  <c r="BR50" i="1"/>
  <c r="BQ50" i="1"/>
  <c r="BJ50" i="1"/>
  <c r="BG50" i="1"/>
  <c r="BD50" i="1"/>
  <c r="BA50" i="1"/>
  <c r="AY50" i="1"/>
  <c r="AX50" i="1"/>
  <c r="AW50" i="1"/>
  <c r="AV50" i="1"/>
  <c r="AU50" i="1"/>
  <c r="AT50" i="1"/>
  <c r="AS50" i="1"/>
  <c r="AL50" i="1"/>
  <c r="AK50" i="1"/>
  <c r="BX49" i="1"/>
  <c r="BW49" i="1"/>
  <c r="BV49" i="1"/>
  <c r="BU49" i="1"/>
  <c r="BR49" i="1"/>
  <c r="BQ49" i="1"/>
  <c r="BJ49" i="1"/>
  <c r="BG49" i="1"/>
  <c r="BD49" i="1"/>
  <c r="BA49" i="1"/>
  <c r="AY49" i="1"/>
  <c r="AX49" i="1"/>
  <c r="AW49" i="1"/>
  <c r="AV49" i="1"/>
  <c r="AU49" i="1"/>
  <c r="AT49" i="1"/>
  <c r="AS49" i="1"/>
  <c r="AL49" i="1"/>
  <c r="AK49" i="1"/>
  <c r="BX48" i="1"/>
  <c r="BW48" i="1"/>
  <c r="BV48" i="1"/>
  <c r="BU48" i="1"/>
  <c r="BR48" i="1"/>
  <c r="BQ48" i="1"/>
  <c r="BJ48" i="1"/>
  <c r="BG48" i="1"/>
  <c r="BD48" i="1"/>
  <c r="BA48" i="1"/>
  <c r="AY48" i="1"/>
  <c r="AX48" i="1"/>
  <c r="AW48" i="1"/>
  <c r="AV48" i="1"/>
  <c r="AU48" i="1"/>
  <c r="AT48" i="1"/>
  <c r="AS48" i="1"/>
  <c r="AL48" i="1"/>
  <c r="AK48" i="1"/>
  <c r="BX47" i="1"/>
  <c r="BW47" i="1"/>
  <c r="BV47" i="1"/>
  <c r="BU47" i="1"/>
  <c r="BF47" i="1" s="1"/>
  <c r="BH47" i="1" s="1"/>
  <c r="BR47" i="1"/>
  <c r="BQ47" i="1"/>
  <c r="BJ47" i="1"/>
  <c r="BG47" i="1"/>
  <c r="BD47" i="1"/>
  <c r="BA47" i="1"/>
  <c r="AY47" i="1"/>
  <c r="AX47" i="1"/>
  <c r="AW47" i="1"/>
  <c r="AV47" i="1"/>
  <c r="AU47" i="1"/>
  <c r="AT47" i="1"/>
  <c r="AS47" i="1"/>
  <c r="AL47" i="1"/>
  <c r="AK47" i="1"/>
  <c r="BX46" i="1"/>
  <c r="BW46" i="1"/>
  <c r="BV46" i="1"/>
  <c r="BF46" i="1" s="1"/>
  <c r="BH46" i="1" s="1"/>
  <c r="BU46" i="1"/>
  <c r="BR46" i="1"/>
  <c r="BQ46" i="1"/>
  <c r="BS46" i="1" s="1"/>
  <c r="BY46" i="1" s="1"/>
  <c r="M46" i="1" s="1"/>
  <c r="BJ46" i="1"/>
  <c r="BG46" i="1"/>
  <c r="BD46" i="1"/>
  <c r="BA46" i="1"/>
  <c r="AY46" i="1"/>
  <c r="AX46" i="1"/>
  <c r="AW46" i="1"/>
  <c r="AV46" i="1"/>
  <c r="AU46" i="1"/>
  <c r="AT46" i="1"/>
  <c r="AS46" i="1"/>
  <c r="AL46" i="1"/>
  <c r="AK46" i="1"/>
  <c r="BX45" i="1"/>
  <c r="BW45" i="1"/>
  <c r="BV45" i="1"/>
  <c r="BU45" i="1"/>
  <c r="BF45" i="1" s="1"/>
  <c r="BH45" i="1" s="1"/>
  <c r="AP45" i="1" s="1"/>
  <c r="BR45" i="1"/>
  <c r="BQ45" i="1"/>
  <c r="BS45" i="1" s="1"/>
  <c r="BY45" i="1" s="1"/>
  <c r="M45" i="1" s="1"/>
  <c r="BJ45" i="1"/>
  <c r="BG45" i="1"/>
  <c r="BD45" i="1"/>
  <c r="BA45" i="1"/>
  <c r="AY45" i="1"/>
  <c r="AX45" i="1"/>
  <c r="AW45" i="1"/>
  <c r="AV45" i="1"/>
  <c r="AU45" i="1"/>
  <c r="AT45" i="1"/>
  <c r="AS45" i="1"/>
  <c r="AL45" i="1"/>
  <c r="AK45" i="1"/>
  <c r="BX44" i="1"/>
  <c r="BW44" i="1"/>
  <c r="BV44" i="1"/>
  <c r="BU44" i="1"/>
  <c r="BR44" i="1"/>
  <c r="BQ44" i="1"/>
  <c r="BJ44" i="1"/>
  <c r="BG44" i="1"/>
  <c r="BD44" i="1"/>
  <c r="BA44" i="1"/>
  <c r="AY44" i="1"/>
  <c r="AX44" i="1"/>
  <c r="AW44" i="1"/>
  <c r="AV44" i="1"/>
  <c r="AU44" i="1"/>
  <c r="AT44" i="1"/>
  <c r="AS44" i="1"/>
  <c r="AL44" i="1"/>
  <c r="AK44" i="1"/>
  <c r="BX43" i="1"/>
  <c r="AZ43" i="1" s="1"/>
  <c r="BB43" i="1" s="1"/>
  <c r="BW43" i="1"/>
  <c r="BC43" i="1" s="1"/>
  <c r="BE43" i="1" s="1"/>
  <c r="BV43" i="1"/>
  <c r="BU43" i="1"/>
  <c r="BR43" i="1"/>
  <c r="BQ43" i="1"/>
  <c r="BS43" i="1" s="1"/>
  <c r="BY43" i="1" s="1"/>
  <c r="M43" i="1" s="1"/>
  <c r="BJ43" i="1"/>
  <c r="BG43" i="1"/>
  <c r="BD43" i="1"/>
  <c r="BA43" i="1"/>
  <c r="AY43" i="1"/>
  <c r="AX43" i="1"/>
  <c r="AW43" i="1"/>
  <c r="AV43" i="1"/>
  <c r="AU43" i="1"/>
  <c r="AT43" i="1"/>
  <c r="AS43" i="1"/>
  <c r="AL43" i="1"/>
  <c r="AK43" i="1"/>
  <c r="BX42" i="1"/>
  <c r="BW42" i="1"/>
  <c r="BV42" i="1"/>
  <c r="BF42" i="1" s="1"/>
  <c r="BH42" i="1" s="1"/>
  <c r="AP42" i="1" s="1"/>
  <c r="BU42" i="1"/>
  <c r="BR42" i="1"/>
  <c r="BQ42" i="1"/>
  <c r="BJ42" i="1"/>
  <c r="BG42" i="1"/>
  <c r="BD42" i="1"/>
  <c r="BA42" i="1"/>
  <c r="AY42" i="1"/>
  <c r="AX42" i="1"/>
  <c r="AW42" i="1"/>
  <c r="AV42" i="1"/>
  <c r="AU42" i="1"/>
  <c r="AT42" i="1"/>
  <c r="AS42" i="1"/>
  <c r="AL42" i="1"/>
  <c r="AK42" i="1"/>
  <c r="BX41" i="1"/>
  <c r="BW41" i="1"/>
  <c r="BV41" i="1"/>
  <c r="AZ41" i="1" s="1"/>
  <c r="BB41" i="1" s="1"/>
  <c r="BU41" i="1"/>
  <c r="BZ41" i="1" s="1"/>
  <c r="BR41" i="1"/>
  <c r="BQ41" i="1"/>
  <c r="BJ41" i="1"/>
  <c r="BG41" i="1"/>
  <c r="BD41" i="1"/>
  <c r="BA41" i="1"/>
  <c r="AY41" i="1"/>
  <c r="AX41" i="1"/>
  <c r="AW41" i="1"/>
  <c r="AV41" i="1"/>
  <c r="AU41" i="1"/>
  <c r="AT41" i="1"/>
  <c r="AS41" i="1"/>
  <c r="AL41" i="1"/>
  <c r="AK41" i="1"/>
  <c r="BX40" i="1"/>
  <c r="BW40" i="1"/>
  <c r="BV40" i="1"/>
  <c r="BU40" i="1"/>
  <c r="BR40" i="1"/>
  <c r="BQ40" i="1"/>
  <c r="BJ40" i="1"/>
  <c r="BG40" i="1"/>
  <c r="BD40" i="1"/>
  <c r="BA40" i="1"/>
  <c r="AY40" i="1"/>
  <c r="AX40" i="1"/>
  <c r="AW40" i="1"/>
  <c r="AV40" i="1"/>
  <c r="AU40" i="1"/>
  <c r="AT40" i="1"/>
  <c r="AS40" i="1"/>
  <c r="AL40" i="1"/>
  <c r="AK40" i="1"/>
  <c r="BX39" i="1"/>
  <c r="BW39" i="1"/>
  <c r="BV39" i="1"/>
  <c r="BU39" i="1"/>
  <c r="BR39" i="1"/>
  <c r="BQ39" i="1"/>
  <c r="BS39" i="1" s="1"/>
  <c r="BY39" i="1" s="1"/>
  <c r="M39" i="1" s="1"/>
  <c r="BJ39" i="1"/>
  <c r="BG39" i="1"/>
  <c r="BD39" i="1"/>
  <c r="BA39" i="1"/>
  <c r="AY39" i="1"/>
  <c r="AX39" i="1"/>
  <c r="AW39" i="1"/>
  <c r="AV39" i="1"/>
  <c r="AU39" i="1"/>
  <c r="AT39" i="1"/>
  <c r="AS39" i="1"/>
  <c r="AL39" i="1"/>
  <c r="AK39" i="1"/>
  <c r="BX38" i="1"/>
  <c r="BW38" i="1"/>
  <c r="BV38" i="1"/>
  <c r="BU38" i="1"/>
  <c r="BR38" i="1"/>
  <c r="BS38" i="1" s="1"/>
  <c r="BQ38" i="1"/>
  <c r="BJ38" i="1"/>
  <c r="BG38" i="1"/>
  <c r="BD38" i="1"/>
  <c r="BA38" i="1"/>
  <c r="AY38" i="1"/>
  <c r="AX38" i="1"/>
  <c r="AW38" i="1"/>
  <c r="AV38" i="1"/>
  <c r="AU38" i="1"/>
  <c r="AT38" i="1"/>
  <c r="AS38" i="1"/>
  <c r="AL38" i="1"/>
  <c r="AK38" i="1"/>
  <c r="BX37" i="1"/>
  <c r="BW37" i="1"/>
  <c r="BV37" i="1"/>
  <c r="BU37" i="1"/>
  <c r="BR37" i="1"/>
  <c r="BQ37" i="1"/>
  <c r="BJ37" i="1"/>
  <c r="BG37" i="1"/>
  <c r="BD37" i="1"/>
  <c r="BA37" i="1"/>
  <c r="AY37" i="1"/>
  <c r="AX37" i="1"/>
  <c r="AW37" i="1"/>
  <c r="AV37" i="1"/>
  <c r="AU37" i="1"/>
  <c r="AT37" i="1"/>
  <c r="AS37" i="1"/>
  <c r="AL37" i="1"/>
  <c r="AK37" i="1"/>
  <c r="BX36" i="1"/>
  <c r="BW36" i="1"/>
  <c r="BV36" i="1"/>
  <c r="BC36" i="1" s="1"/>
  <c r="BE36" i="1" s="1"/>
  <c r="BU36" i="1"/>
  <c r="BZ36" i="1" s="1"/>
  <c r="BR36" i="1"/>
  <c r="BQ36" i="1"/>
  <c r="BJ36" i="1"/>
  <c r="BG36" i="1"/>
  <c r="BD36" i="1"/>
  <c r="BA36" i="1"/>
  <c r="AY36" i="1"/>
  <c r="AX36" i="1"/>
  <c r="AW36" i="1"/>
  <c r="AV36" i="1"/>
  <c r="AU36" i="1"/>
  <c r="AT36" i="1"/>
  <c r="AS36" i="1"/>
  <c r="AL36" i="1"/>
  <c r="AK36" i="1"/>
  <c r="BZ35" i="1"/>
  <c r="BX35" i="1"/>
  <c r="AZ35" i="1" s="1"/>
  <c r="BB35" i="1" s="1"/>
  <c r="AM35" i="1" s="1"/>
  <c r="BW35" i="1"/>
  <c r="BV35" i="1"/>
  <c r="BU35" i="1"/>
  <c r="BR35" i="1"/>
  <c r="BQ35" i="1"/>
  <c r="BS35" i="1" s="1"/>
  <c r="BY35" i="1" s="1"/>
  <c r="M35" i="1" s="1"/>
  <c r="BJ35" i="1"/>
  <c r="BG35" i="1"/>
  <c r="BD35" i="1"/>
  <c r="BC35" i="1"/>
  <c r="BE35" i="1" s="1"/>
  <c r="BA35" i="1"/>
  <c r="AY35" i="1"/>
  <c r="AX35" i="1"/>
  <c r="AW35" i="1"/>
  <c r="AV35" i="1"/>
  <c r="AU35" i="1"/>
  <c r="AT35" i="1"/>
  <c r="AS35" i="1"/>
  <c r="AL35" i="1"/>
  <c r="AK35" i="1"/>
  <c r="BX34" i="1"/>
  <c r="BW34" i="1"/>
  <c r="BV34" i="1"/>
  <c r="BC34" i="1" s="1"/>
  <c r="BE34" i="1" s="1"/>
  <c r="AN34" i="1" s="1"/>
  <c r="BU34" i="1"/>
  <c r="BZ34" i="1" s="1"/>
  <c r="BR34" i="1"/>
  <c r="BQ34" i="1"/>
  <c r="BJ34" i="1"/>
  <c r="BG34" i="1"/>
  <c r="BD34" i="1"/>
  <c r="BA34" i="1"/>
  <c r="AY34" i="1"/>
  <c r="AX34" i="1"/>
  <c r="AW34" i="1"/>
  <c r="AV34" i="1"/>
  <c r="AU34" i="1"/>
  <c r="AT34" i="1"/>
  <c r="AS34" i="1"/>
  <c r="AL34" i="1"/>
  <c r="AK34" i="1"/>
  <c r="BX33" i="1"/>
  <c r="BW33" i="1"/>
  <c r="BV33" i="1"/>
  <c r="BU33" i="1"/>
  <c r="BR33" i="1"/>
  <c r="BQ33" i="1"/>
  <c r="BS33" i="1" s="1"/>
  <c r="BJ33" i="1"/>
  <c r="BG33" i="1"/>
  <c r="BD33" i="1"/>
  <c r="BA33" i="1"/>
  <c r="AY33" i="1"/>
  <c r="AX33" i="1"/>
  <c r="AW33" i="1"/>
  <c r="AV33" i="1"/>
  <c r="AU33" i="1"/>
  <c r="AT33" i="1"/>
  <c r="AS33" i="1"/>
  <c r="AL33" i="1"/>
  <c r="AK33" i="1"/>
  <c r="BX32" i="1"/>
  <c r="BW32" i="1"/>
  <c r="BV32" i="1"/>
  <c r="AZ32" i="1" s="1"/>
  <c r="BB32" i="1" s="1"/>
  <c r="AM32" i="1" s="1"/>
  <c r="BU32" i="1"/>
  <c r="BR32" i="1"/>
  <c r="BQ32" i="1"/>
  <c r="BJ32" i="1"/>
  <c r="BG32" i="1"/>
  <c r="BD32" i="1"/>
  <c r="BA32" i="1"/>
  <c r="AY32" i="1"/>
  <c r="AX32" i="1"/>
  <c r="AW32" i="1"/>
  <c r="AV32" i="1"/>
  <c r="AU32" i="1"/>
  <c r="AT32" i="1"/>
  <c r="AS32" i="1"/>
  <c r="AL32" i="1"/>
  <c r="AK32" i="1"/>
  <c r="BX31" i="1"/>
  <c r="BW31" i="1"/>
  <c r="AZ31" i="1" s="1"/>
  <c r="BB31" i="1" s="1"/>
  <c r="BV31" i="1"/>
  <c r="BU31" i="1"/>
  <c r="BR31" i="1"/>
  <c r="BQ31" i="1"/>
  <c r="BJ31" i="1"/>
  <c r="BG31" i="1"/>
  <c r="BD31" i="1"/>
  <c r="BA31" i="1"/>
  <c r="AY31" i="1"/>
  <c r="AX31" i="1"/>
  <c r="AW31" i="1"/>
  <c r="AV31" i="1"/>
  <c r="AU31" i="1"/>
  <c r="AT31" i="1"/>
  <c r="AS31" i="1"/>
  <c r="AL31" i="1"/>
  <c r="AK31" i="1"/>
  <c r="BX30" i="1"/>
  <c r="BW30" i="1"/>
  <c r="BV30" i="1"/>
  <c r="BU30" i="1"/>
  <c r="BR30" i="1"/>
  <c r="BQ30" i="1"/>
  <c r="BJ30" i="1"/>
  <c r="BG30" i="1"/>
  <c r="BD30" i="1"/>
  <c r="BA30" i="1"/>
  <c r="AY30" i="1"/>
  <c r="AX30" i="1"/>
  <c r="AW30" i="1"/>
  <c r="AV30" i="1"/>
  <c r="AU30" i="1"/>
  <c r="AT30" i="1"/>
  <c r="AS30" i="1"/>
  <c r="AL30" i="1"/>
  <c r="AK30" i="1"/>
  <c r="BX29" i="1"/>
  <c r="BW29" i="1"/>
  <c r="BV29" i="1"/>
  <c r="BU29" i="1"/>
  <c r="BZ29" i="1" s="1"/>
  <c r="BR29" i="1"/>
  <c r="BQ29" i="1"/>
  <c r="BJ29" i="1"/>
  <c r="BG29" i="1"/>
  <c r="BD29" i="1"/>
  <c r="BA29" i="1"/>
  <c r="AZ29" i="1"/>
  <c r="BB29" i="1" s="1"/>
  <c r="AY29" i="1"/>
  <c r="AX29" i="1"/>
  <c r="AW29" i="1"/>
  <c r="AV29" i="1"/>
  <c r="AU29" i="1"/>
  <c r="AT29" i="1"/>
  <c r="AS29" i="1"/>
  <c r="AL29" i="1"/>
  <c r="AK29" i="1"/>
  <c r="BX28" i="1"/>
  <c r="BW28" i="1"/>
  <c r="BV28" i="1"/>
  <c r="AZ28" i="1" s="1"/>
  <c r="BB28" i="1" s="1"/>
  <c r="BU28" i="1"/>
  <c r="BR28" i="1"/>
  <c r="BQ28" i="1"/>
  <c r="BS28" i="1" s="1"/>
  <c r="BJ28" i="1"/>
  <c r="BG28" i="1"/>
  <c r="BD28" i="1"/>
  <c r="BA28" i="1"/>
  <c r="AY28" i="1"/>
  <c r="AX28" i="1"/>
  <c r="AW28" i="1"/>
  <c r="AV28" i="1"/>
  <c r="AU28" i="1"/>
  <c r="AT28" i="1"/>
  <c r="AS28" i="1"/>
  <c r="AL28" i="1"/>
  <c r="AK28" i="1"/>
  <c r="BZ27" i="1"/>
  <c r="BX27" i="1"/>
  <c r="BW27" i="1"/>
  <c r="AZ27" i="1" s="1"/>
  <c r="BB27" i="1" s="1"/>
  <c r="BV27" i="1"/>
  <c r="BU27" i="1"/>
  <c r="BR27" i="1"/>
  <c r="BQ27" i="1"/>
  <c r="BJ27" i="1"/>
  <c r="BG27" i="1"/>
  <c r="BD27" i="1"/>
  <c r="BA27" i="1"/>
  <c r="AY27" i="1"/>
  <c r="AX27" i="1"/>
  <c r="AW27" i="1"/>
  <c r="AV27" i="1"/>
  <c r="AU27" i="1"/>
  <c r="AT27" i="1"/>
  <c r="AS27" i="1"/>
  <c r="AL27" i="1"/>
  <c r="AK27" i="1"/>
  <c r="BX26" i="1"/>
  <c r="BW26" i="1"/>
  <c r="BV26" i="1"/>
  <c r="AZ26" i="1" s="1"/>
  <c r="BB26" i="1" s="1"/>
  <c r="BU26" i="1"/>
  <c r="BZ26" i="1" s="1"/>
  <c r="BR26" i="1"/>
  <c r="BQ26" i="1"/>
  <c r="BS26" i="1" s="1"/>
  <c r="BJ26" i="1"/>
  <c r="BG26" i="1"/>
  <c r="BD26" i="1"/>
  <c r="BA26" i="1"/>
  <c r="AY26" i="1"/>
  <c r="AX26" i="1"/>
  <c r="AW26" i="1"/>
  <c r="AV26" i="1"/>
  <c r="AU26" i="1"/>
  <c r="AT26" i="1"/>
  <c r="AS26" i="1"/>
  <c r="AL26" i="1"/>
  <c r="AK26" i="1"/>
  <c r="BZ25" i="1"/>
  <c r="BY25" i="1"/>
  <c r="M25" i="1" s="1"/>
  <c r="BX25" i="1"/>
  <c r="BW25" i="1"/>
  <c r="BV25" i="1"/>
  <c r="BF25" i="1" s="1"/>
  <c r="BU25" i="1"/>
  <c r="BR25" i="1"/>
  <c r="BQ25" i="1"/>
  <c r="BS25" i="1" s="1"/>
  <c r="BJ25" i="1"/>
  <c r="BH25" i="1"/>
  <c r="BG25" i="1"/>
  <c r="BD25" i="1"/>
  <c r="BA25" i="1"/>
  <c r="AY25" i="1"/>
  <c r="AX25" i="1"/>
  <c r="AW25" i="1"/>
  <c r="AV25" i="1"/>
  <c r="AU25" i="1"/>
  <c r="AT25" i="1"/>
  <c r="AS25" i="1"/>
  <c r="AL25" i="1"/>
  <c r="AK25" i="1"/>
  <c r="BX24" i="1"/>
  <c r="BW24" i="1"/>
  <c r="BV24" i="1"/>
  <c r="BU24" i="1"/>
  <c r="BR24" i="1"/>
  <c r="BQ24" i="1"/>
  <c r="BJ24" i="1"/>
  <c r="BG24" i="1"/>
  <c r="BD24" i="1"/>
  <c r="BA24" i="1"/>
  <c r="AY24" i="1"/>
  <c r="AX24" i="1"/>
  <c r="AW24" i="1"/>
  <c r="AV24" i="1"/>
  <c r="AU24" i="1"/>
  <c r="AT24" i="1"/>
  <c r="AS24" i="1"/>
  <c r="AL24" i="1"/>
  <c r="AK24" i="1"/>
  <c r="BX23" i="1"/>
  <c r="BW23" i="1"/>
  <c r="BC23" i="1" s="1"/>
  <c r="BE23" i="1" s="1"/>
  <c r="BV23" i="1"/>
  <c r="BU23" i="1"/>
  <c r="BZ23" i="1" s="1"/>
  <c r="BR23" i="1"/>
  <c r="BQ23" i="1"/>
  <c r="BJ23" i="1"/>
  <c r="BG23" i="1"/>
  <c r="BF23" i="1"/>
  <c r="BH23" i="1" s="1"/>
  <c r="BD23" i="1"/>
  <c r="BA23" i="1"/>
  <c r="AY23" i="1"/>
  <c r="AX23" i="1"/>
  <c r="AW23" i="1"/>
  <c r="AV23" i="1"/>
  <c r="AU23" i="1"/>
  <c r="AT23" i="1"/>
  <c r="AS23" i="1"/>
  <c r="AL23" i="1"/>
  <c r="AK23" i="1"/>
  <c r="BX22" i="1"/>
  <c r="BW22" i="1"/>
  <c r="BV22" i="1"/>
  <c r="BC22" i="1" s="1"/>
  <c r="BE22" i="1" s="1"/>
  <c r="AN22" i="1" s="1"/>
  <c r="BU22" i="1"/>
  <c r="BR22" i="1"/>
  <c r="BQ22" i="1"/>
  <c r="BJ22" i="1"/>
  <c r="BG22" i="1"/>
  <c r="BD22" i="1"/>
  <c r="BA22" i="1"/>
  <c r="AY22" i="1"/>
  <c r="AX22" i="1"/>
  <c r="AW22" i="1"/>
  <c r="AV22" i="1"/>
  <c r="AU22" i="1"/>
  <c r="AT22" i="1"/>
  <c r="AS22" i="1"/>
  <c r="AL22" i="1"/>
  <c r="AK22" i="1"/>
  <c r="BX21" i="1"/>
  <c r="BW21" i="1"/>
  <c r="BV21" i="1"/>
  <c r="BU21" i="1"/>
  <c r="BR21" i="1"/>
  <c r="BQ21" i="1"/>
  <c r="BS21" i="1" s="1"/>
  <c r="BY21" i="1" s="1"/>
  <c r="M21" i="1" s="1"/>
  <c r="BJ21" i="1"/>
  <c r="BG21" i="1"/>
  <c r="BD21" i="1"/>
  <c r="BA21" i="1"/>
  <c r="AY21" i="1"/>
  <c r="AX21" i="1"/>
  <c r="AW21" i="1"/>
  <c r="AV21" i="1"/>
  <c r="AU21" i="1"/>
  <c r="AT21" i="1"/>
  <c r="AS21" i="1"/>
  <c r="AL21" i="1"/>
  <c r="AK21" i="1"/>
  <c r="BX20" i="1"/>
  <c r="BW20" i="1"/>
  <c r="BV20" i="1"/>
  <c r="BU20" i="1"/>
  <c r="BR20" i="1"/>
  <c r="BQ20" i="1"/>
  <c r="BJ20" i="1"/>
  <c r="BG20" i="1"/>
  <c r="BD20" i="1"/>
  <c r="BA20" i="1"/>
  <c r="AY20" i="1"/>
  <c r="AX20" i="1"/>
  <c r="AW20" i="1"/>
  <c r="AV20" i="1"/>
  <c r="AU20" i="1"/>
  <c r="AT20" i="1"/>
  <c r="AS20" i="1"/>
  <c r="AL20" i="1"/>
  <c r="AK20" i="1"/>
  <c r="BX19" i="1"/>
  <c r="BW19" i="1"/>
  <c r="BV19" i="1"/>
  <c r="BU19" i="1"/>
  <c r="BR19" i="1"/>
  <c r="BQ19" i="1"/>
  <c r="BJ19" i="1"/>
  <c r="BG19" i="1"/>
  <c r="BD19" i="1"/>
  <c r="BA19" i="1"/>
  <c r="AY19" i="1"/>
  <c r="AX19" i="1"/>
  <c r="AW19" i="1"/>
  <c r="AV19" i="1"/>
  <c r="AU19" i="1"/>
  <c r="AT19" i="1"/>
  <c r="AS19" i="1"/>
  <c r="AL19" i="1"/>
  <c r="AK19" i="1"/>
  <c r="BX18" i="1"/>
  <c r="BW18" i="1"/>
  <c r="BV18" i="1"/>
  <c r="BC18" i="1" s="1"/>
  <c r="BE18" i="1" s="1"/>
  <c r="BU18" i="1"/>
  <c r="BR18" i="1"/>
  <c r="BQ18" i="1"/>
  <c r="BS18" i="1" s="1"/>
  <c r="BY18" i="1" s="1"/>
  <c r="M18" i="1" s="1"/>
  <c r="BJ18" i="1"/>
  <c r="BG18" i="1"/>
  <c r="BD18" i="1"/>
  <c r="BA18" i="1"/>
  <c r="AY18" i="1"/>
  <c r="AX18" i="1"/>
  <c r="AW18" i="1"/>
  <c r="AV18" i="1"/>
  <c r="AU18" i="1"/>
  <c r="AT18" i="1"/>
  <c r="AS18" i="1"/>
  <c r="AL18" i="1"/>
  <c r="AK18" i="1"/>
  <c r="BX17" i="1"/>
  <c r="BW17" i="1"/>
  <c r="BV17" i="1"/>
  <c r="BC17" i="1" s="1"/>
  <c r="BE17" i="1" s="1"/>
  <c r="BU17" i="1"/>
  <c r="BF17" i="1" s="1"/>
  <c r="BH17" i="1" s="1"/>
  <c r="BR17" i="1"/>
  <c r="BQ17" i="1"/>
  <c r="BJ17" i="1"/>
  <c r="BG17" i="1"/>
  <c r="BD17" i="1"/>
  <c r="BA17" i="1"/>
  <c r="AY17" i="1"/>
  <c r="AX17" i="1"/>
  <c r="AW17" i="1"/>
  <c r="AV17" i="1"/>
  <c r="AU17" i="1"/>
  <c r="AT17" i="1"/>
  <c r="AS17" i="1"/>
  <c r="AL17" i="1"/>
  <c r="AK17" i="1"/>
  <c r="BX16" i="1"/>
  <c r="BW16" i="1"/>
  <c r="BV16" i="1"/>
  <c r="BU16" i="1"/>
  <c r="BZ16" i="1" s="1"/>
  <c r="BR16" i="1"/>
  <c r="BS16" i="1" s="1"/>
  <c r="BY16" i="1" s="1"/>
  <c r="M16" i="1" s="1"/>
  <c r="BQ16" i="1"/>
  <c r="BJ16" i="1"/>
  <c r="BG16" i="1"/>
  <c r="BD16" i="1"/>
  <c r="BC16" i="1"/>
  <c r="BE16" i="1" s="1"/>
  <c r="BA16" i="1"/>
  <c r="AY16" i="1"/>
  <c r="AX16" i="1"/>
  <c r="AW16" i="1"/>
  <c r="AV16" i="1"/>
  <c r="AU16" i="1"/>
  <c r="AT16" i="1"/>
  <c r="AS16" i="1"/>
  <c r="AL16" i="1"/>
  <c r="AK16" i="1"/>
  <c r="BX15" i="1"/>
  <c r="BW15" i="1"/>
  <c r="BV15" i="1"/>
  <c r="BC15" i="1" s="1"/>
  <c r="BE15" i="1" s="1"/>
  <c r="BU15" i="1"/>
  <c r="BZ15" i="1" s="1"/>
  <c r="BR15" i="1"/>
  <c r="BQ15" i="1"/>
  <c r="BS15" i="1" s="1"/>
  <c r="BJ15" i="1"/>
  <c r="BG15" i="1"/>
  <c r="BD15" i="1"/>
  <c r="BA15" i="1"/>
  <c r="AY15" i="1"/>
  <c r="AX15" i="1"/>
  <c r="AW15" i="1"/>
  <c r="AV15" i="1"/>
  <c r="AU15" i="1"/>
  <c r="AT15" i="1"/>
  <c r="AS15" i="1"/>
  <c r="AL15" i="1"/>
  <c r="AK15" i="1"/>
  <c r="BX14" i="1"/>
  <c r="BW14" i="1"/>
  <c r="BV14" i="1"/>
  <c r="BC14" i="1" s="1"/>
  <c r="BE14" i="1" s="1"/>
  <c r="AN14" i="1" s="1"/>
  <c r="BU14" i="1"/>
  <c r="BR14" i="1"/>
  <c r="BQ14" i="1"/>
  <c r="BS14" i="1" s="1"/>
  <c r="BJ14" i="1"/>
  <c r="BG14" i="1"/>
  <c r="BD14" i="1"/>
  <c r="BA14" i="1"/>
  <c r="AY14" i="1"/>
  <c r="AX14" i="1"/>
  <c r="AW14" i="1"/>
  <c r="AV14" i="1"/>
  <c r="AU14" i="1"/>
  <c r="AT14" i="1"/>
  <c r="AS14" i="1"/>
  <c r="AL14" i="1"/>
  <c r="AK14" i="1"/>
  <c r="BX13" i="1"/>
  <c r="BW13" i="1"/>
  <c r="BV13" i="1"/>
  <c r="BU13" i="1"/>
  <c r="BR13" i="1"/>
  <c r="BQ13" i="1"/>
  <c r="BJ13" i="1"/>
  <c r="BG13" i="1"/>
  <c r="BD13" i="1"/>
  <c r="BA13" i="1"/>
  <c r="AY13" i="1"/>
  <c r="AX13" i="1"/>
  <c r="AW13" i="1"/>
  <c r="AV13" i="1"/>
  <c r="AU13" i="1"/>
  <c r="AT13" i="1"/>
  <c r="AS13" i="1"/>
  <c r="AL13" i="1"/>
  <c r="AK13" i="1"/>
  <c r="BX12" i="1"/>
  <c r="BW12" i="1"/>
  <c r="BV12" i="1"/>
  <c r="BC12" i="1" s="1"/>
  <c r="BE12" i="1" s="1"/>
  <c r="AN12" i="1" s="1"/>
  <c r="BU12" i="1"/>
  <c r="BR12" i="1"/>
  <c r="BQ12" i="1"/>
  <c r="BJ12" i="1"/>
  <c r="BG12" i="1"/>
  <c r="BD12" i="1"/>
  <c r="BA12" i="1"/>
  <c r="AY12" i="1"/>
  <c r="AX12" i="1"/>
  <c r="AW12" i="1"/>
  <c r="AV12" i="1"/>
  <c r="AU12" i="1"/>
  <c r="AT12" i="1"/>
  <c r="AS12" i="1"/>
  <c r="AL12" i="1"/>
  <c r="AK12" i="1"/>
  <c r="BX11" i="1"/>
  <c r="BW11" i="1"/>
  <c r="BV11" i="1"/>
  <c r="BU11" i="1"/>
  <c r="BR11" i="1"/>
  <c r="BQ11" i="1"/>
  <c r="BJ11" i="1"/>
  <c r="BG11" i="1"/>
  <c r="BD11" i="1"/>
  <c r="BA11" i="1"/>
  <c r="AY11" i="1"/>
  <c r="AX11" i="1"/>
  <c r="AW11" i="1"/>
  <c r="AV11" i="1"/>
  <c r="AU11" i="1"/>
  <c r="AT11" i="1"/>
  <c r="AS11" i="1"/>
  <c r="AL11" i="1"/>
  <c r="AK11" i="1"/>
  <c r="BX10" i="1"/>
  <c r="BW10" i="1"/>
  <c r="BV10" i="1"/>
  <c r="BU10" i="1"/>
  <c r="BZ10" i="1" s="1"/>
  <c r="BR10" i="1"/>
  <c r="BQ10" i="1"/>
  <c r="BS10" i="1" s="1"/>
  <c r="BY10" i="1" s="1"/>
  <c r="M10" i="1" s="1"/>
  <c r="BJ10" i="1"/>
  <c r="BG10" i="1"/>
  <c r="BD10" i="1"/>
  <c r="BA10" i="1"/>
  <c r="AZ10" i="1"/>
  <c r="BB10" i="1" s="1"/>
  <c r="AY10" i="1"/>
  <c r="AX10" i="1"/>
  <c r="AW10" i="1"/>
  <c r="AV10" i="1"/>
  <c r="AU10" i="1"/>
  <c r="AT10" i="1"/>
  <c r="AS10" i="1"/>
  <c r="AL10" i="1"/>
  <c r="AK10" i="1"/>
  <c r="BX9" i="1"/>
  <c r="BW9" i="1"/>
  <c r="BV9" i="1"/>
  <c r="BU9" i="1"/>
  <c r="BR9" i="1"/>
  <c r="BQ9" i="1"/>
  <c r="BJ9" i="1"/>
  <c r="BG9" i="1"/>
  <c r="BD9" i="1"/>
  <c r="BA9" i="1"/>
  <c r="AY9" i="1"/>
  <c r="AX9" i="1"/>
  <c r="AW9" i="1"/>
  <c r="AV9" i="1"/>
  <c r="AU9" i="1"/>
  <c r="AT9" i="1"/>
  <c r="AS9" i="1"/>
  <c r="AL9" i="1"/>
  <c r="AK9" i="1"/>
  <c r="BX8" i="1"/>
  <c r="BW8" i="1"/>
  <c r="BC8" i="1" s="1"/>
  <c r="BE8" i="1" s="1"/>
  <c r="BV8" i="1"/>
  <c r="BU8" i="1"/>
  <c r="BF8" i="1" s="1"/>
  <c r="BH8" i="1" s="1"/>
  <c r="BR8" i="1"/>
  <c r="BQ8" i="1"/>
  <c r="BS8" i="1" s="1"/>
  <c r="BY8" i="1" s="1"/>
  <c r="M8" i="1" s="1"/>
  <c r="BJ8" i="1"/>
  <c r="BG8" i="1"/>
  <c r="BD8" i="1"/>
  <c r="BA8" i="1"/>
  <c r="AY8" i="1"/>
  <c r="AX8" i="1"/>
  <c r="AW8" i="1"/>
  <c r="AV8" i="1"/>
  <c r="AU8" i="1"/>
  <c r="AT8" i="1"/>
  <c r="AS8" i="1"/>
  <c r="AL8" i="1"/>
  <c r="AK8" i="1"/>
  <c r="BX7" i="1"/>
  <c r="BW7" i="1"/>
  <c r="BV7" i="1"/>
  <c r="BC7" i="1" s="1"/>
  <c r="BE7" i="1" s="1"/>
  <c r="BU7" i="1"/>
  <c r="BR7" i="1"/>
  <c r="BQ7" i="1"/>
  <c r="BS7" i="1" s="1"/>
  <c r="BJ7" i="1"/>
  <c r="BG7" i="1"/>
  <c r="BD7" i="1"/>
  <c r="BA7" i="1"/>
  <c r="AY7" i="1"/>
  <c r="AX7" i="1"/>
  <c r="AW7" i="1"/>
  <c r="AV7" i="1"/>
  <c r="AU7" i="1"/>
  <c r="AT7" i="1"/>
  <c r="AS7" i="1"/>
  <c r="AL7" i="1"/>
  <c r="AK7" i="1"/>
  <c r="BX6" i="1"/>
  <c r="BW6" i="1"/>
  <c r="BV6" i="1"/>
  <c r="BF6" i="1" s="1"/>
  <c r="BH6" i="1" s="1"/>
  <c r="BU6" i="1"/>
  <c r="BR6" i="1"/>
  <c r="BQ6" i="1"/>
  <c r="BJ6" i="1"/>
  <c r="BG6" i="1"/>
  <c r="BD6" i="1"/>
  <c r="BC6" i="1"/>
  <c r="BE6" i="1" s="1"/>
  <c r="BA6" i="1"/>
  <c r="AY6" i="1"/>
  <c r="AX6" i="1"/>
  <c r="AW6" i="1"/>
  <c r="AV6" i="1"/>
  <c r="AU6" i="1"/>
  <c r="AT6" i="1"/>
  <c r="AS6" i="1"/>
  <c r="AL6" i="1"/>
  <c r="AK6" i="1"/>
  <c r="BX5" i="1"/>
  <c r="BW5" i="1"/>
  <c r="BV5" i="1"/>
  <c r="BU5" i="1"/>
  <c r="BR5" i="1"/>
  <c r="BQ5" i="1"/>
  <c r="BJ5" i="1"/>
  <c r="BG5" i="1"/>
  <c r="BD5" i="1"/>
  <c r="BA5" i="1"/>
  <c r="AY5" i="1"/>
  <c r="AX5" i="1"/>
  <c r="AW5" i="1"/>
  <c r="AV5" i="1"/>
  <c r="AU5" i="1"/>
  <c r="AT5" i="1"/>
  <c r="AS5" i="1"/>
  <c r="AL5" i="1"/>
  <c r="AK5" i="1"/>
  <c r="BX4" i="1"/>
  <c r="BW4" i="1"/>
  <c r="BC4" i="1" s="1"/>
  <c r="BE4" i="1" s="1"/>
  <c r="BV4" i="1"/>
  <c r="BU4" i="1"/>
  <c r="BF4" i="1" s="1"/>
  <c r="BH4" i="1" s="1"/>
  <c r="BR4" i="1"/>
  <c r="BQ4" i="1"/>
  <c r="BS4" i="1" s="1"/>
  <c r="BY4" i="1" s="1"/>
  <c r="M4" i="1" s="1"/>
  <c r="BJ4" i="1"/>
  <c r="BG4" i="1"/>
  <c r="BD4" i="1"/>
  <c r="BA4" i="1"/>
  <c r="AY4" i="1"/>
  <c r="AX4" i="1"/>
  <c r="AW4" i="1"/>
  <c r="AV4" i="1"/>
  <c r="AU4" i="1"/>
  <c r="AT4" i="1"/>
  <c r="AS4" i="1"/>
  <c r="AL4" i="1"/>
  <c r="AK4" i="1"/>
  <c r="AP6" i="1" l="1"/>
  <c r="BF34" i="1"/>
  <c r="BH34" i="1" s="1"/>
  <c r="BZ42" i="1"/>
  <c r="BC9" i="1"/>
  <c r="BE9" i="1" s="1"/>
  <c r="BS12" i="1"/>
  <c r="BY12" i="1" s="1"/>
  <c r="M12" i="1" s="1"/>
  <c r="BF14" i="1"/>
  <c r="BH14" i="1" s="1"/>
  <c r="AP14" i="1" s="1"/>
  <c r="AZ40" i="1"/>
  <c r="BB40" i="1" s="1"/>
  <c r="BZ51" i="1"/>
  <c r="AP58" i="1"/>
  <c r="AZ62" i="1"/>
  <c r="BB62" i="1" s="1"/>
  <c r="BZ65" i="1"/>
  <c r="BS20" i="1"/>
  <c r="BY20" i="1" s="1"/>
  <c r="M20" i="1" s="1"/>
  <c r="AP23" i="1"/>
  <c r="BF38" i="1"/>
  <c r="BH38" i="1" s="1"/>
  <c r="AP38" i="1" s="1"/>
  <c r="AN58" i="1"/>
  <c r="AZ65" i="1"/>
  <c r="BB65" i="1" s="1"/>
  <c r="BS30" i="1"/>
  <c r="AN51" i="1"/>
  <c r="AZ51" i="1"/>
  <c r="BB51" i="1" s="1"/>
  <c r="AM51" i="1" s="1"/>
  <c r="AO51" i="1" s="1"/>
  <c r="BZ59" i="1"/>
  <c r="AZ7" i="1"/>
  <c r="BB7" i="1" s="1"/>
  <c r="AM7" i="1" s="1"/>
  <c r="BZ7" i="1"/>
  <c r="AZ22" i="1"/>
  <c r="BB22" i="1" s="1"/>
  <c r="AM22" i="1" s="1"/>
  <c r="BS5" i="1"/>
  <c r="BY5" i="1" s="1"/>
  <c r="M5" i="1" s="1"/>
  <c r="BZ6" i="1"/>
  <c r="AZ8" i="1"/>
  <c r="BB8" i="1" s="1"/>
  <c r="BC10" i="1"/>
  <c r="BE10" i="1" s="1"/>
  <c r="BS11" i="1"/>
  <c r="BZ13" i="1"/>
  <c r="BC26" i="1"/>
  <c r="BE26" i="1" s="1"/>
  <c r="BS27" i="1"/>
  <c r="BY27" i="1" s="1"/>
  <c r="M27" i="1" s="1"/>
  <c r="BF30" i="1"/>
  <c r="BH30" i="1" s="1"/>
  <c r="BS31" i="1"/>
  <c r="BS40" i="1"/>
  <c r="BY40" i="1" s="1"/>
  <c r="BS49" i="1"/>
  <c r="AZ50" i="1"/>
  <c r="BB50" i="1" s="1"/>
  <c r="AM50" i="1" s="1"/>
  <c r="AO50" i="1" s="1"/>
  <c r="BC59" i="1"/>
  <c r="BE59" i="1" s="1"/>
  <c r="AN59" i="1" s="1"/>
  <c r="BZ66" i="1"/>
  <c r="AN6" i="1"/>
  <c r="BY7" i="1"/>
  <c r="M7" i="1" s="1"/>
  <c r="BS19" i="1"/>
  <c r="BY19" i="1" s="1"/>
  <c r="M19" i="1" s="1"/>
  <c r="AZ36" i="1"/>
  <c r="BB36" i="1" s="1"/>
  <c r="AM36" i="1" s="1"/>
  <c r="BZ37" i="1"/>
  <c r="BF50" i="1"/>
  <c r="BH50" i="1" s="1"/>
  <c r="BY51" i="1"/>
  <c r="M51" i="1" s="1"/>
  <c r="AZ55" i="1"/>
  <c r="BB55" i="1" s="1"/>
  <c r="AM55" i="1" s="1"/>
  <c r="BY56" i="1"/>
  <c r="M56" i="1" s="1"/>
  <c r="BY58" i="1"/>
  <c r="BZ62" i="1"/>
  <c r="AZ19" i="1"/>
  <c r="BB19" i="1" s="1"/>
  <c r="BZ5" i="1"/>
  <c r="BS22" i="1"/>
  <c r="BY22" i="1" s="1"/>
  <c r="M22" i="1" s="1"/>
  <c r="BS24" i="1"/>
  <c r="BY24" i="1" s="1"/>
  <c r="M24" i="1" s="1"/>
  <c r="BC25" i="1"/>
  <c r="BE25" i="1" s="1"/>
  <c r="AN25" i="1" s="1"/>
  <c r="BF27" i="1"/>
  <c r="BH27" i="1" s="1"/>
  <c r="AP27" i="1" s="1"/>
  <c r="AM43" i="1"/>
  <c r="BS47" i="1"/>
  <c r="BZ49" i="1"/>
  <c r="BC53" i="1"/>
  <c r="BE53" i="1" s="1"/>
  <c r="AN53" i="1" s="1"/>
  <c r="BZ58" i="1"/>
  <c r="BC60" i="1"/>
  <c r="BE60" i="1" s="1"/>
  <c r="AM26" i="1"/>
  <c r="AP8" i="1"/>
  <c r="BY53" i="1"/>
  <c r="BI53" i="1" s="1"/>
  <c r="BK53" i="1" s="1"/>
  <c r="AQ53" i="1" s="1"/>
  <c r="BY55" i="1"/>
  <c r="M55" i="1" s="1"/>
  <c r="BZ64" i="1"/>
  <c r="BY14" i="1"/>
  <c r="M14" i="1" s="1"/>
  <c r="BY15" i="1"/>
  <c r="M15" i="1" s="1"/>
  <c r="AN18" i="1"/>
  <c r="BY26" i="1"/>
  <c r="M26" i="1" s="1"/>
  <c r="BI27" i="1"/>
  <c r="BK27" i="1" s="1"/>
  <c r="AQ27" i="1" s="1"/>
  <c r="AR27" i="1" s="1"/>
  <c r="BY38" i="1"/>
  <c r="M38" i="1" s="1"/>
  <c r="AM41" i="1"/>
  <c r="BF7" i="1"/>
  <c r="BH7" i="1" s="1"/>
  <c r="AP7" i="1" s="1"/>
  <c r="AN8" i="1"/>
  <c r="BC11" i="1"/>
  <c r="BE11" i="1" s="1"/>
  <c r="AN11" i="1" s="1"/>
  <c r="BS13" i="1"/>
  <c r="BY13" i="1" s="1"/>
  <c r="M13" i="1" s="1"/>
  <c r="BS17" i="1"/>
  <c r="BY17" i="1" s="1"/>
  <c r="M17" i="1" s="1"/>
  <c r="AM21" i="1"/>
  <c r="AZ21" i="1"/>
  <c r="BB21" i="1" s="1"/>
  <c r="AZ24" i="1"/>
  <c r="BB24" i="1" s="1"/>
  <c r="AM24" i="1" s="1"/>
  <c r="AZ25" i="1"/>
  <c r="BB25" i="1" s="1"/>
  <c r="AM25" i="1" s="1"/>
  <c r="BS29" i="1"/>
  <c r="BY29" i="1" s="1"/>
  <c r="BS32" i="1"/>
  <c r="BY32" i="1" s="1"/>
  <c r="M32" i="1" s="1"/>
  <c r="AP34" i="1"/>
  <c r="BS37" i="1"/>
  <c r="BY37" i="1" s="1"/>
  <c r="M37" i="1" s="1"/>
  <c r="BZ38" i="1"/>
  <c r="BF39" i="1"/>
  <c r="BH39" i="1" s="1"/>
  <c r="BC40" i="1"/>
  <c r="BE40" i="1" s="1"/>
  <c r="AZ46" i="1"/>
  <c r="BB46" i="1" s="1"/>
  <c r="AM46" i="1" s="1"/>
  <c r="AP50" i="1"/>
  <c r="AZ53" i="1"/>
  <c r="BB53" i="1" s="1"/>
  <c r="AM53" i="1" s="1"/>
  <c r="BC54" i="1"/>
  <c r="BE54" i="1" s="1"/>
  <c r="BC55" i="1"/>
  <c r="BE55" i="1" s="1"/>
  <c r="AN55" i="1" s="1"/>
  <c r="AP59" i="1"/>
  <c r="BS61" i="1"/>
  <c r="BS65" i="1"/>
  <c r="BY65" i="1" s="1"/>
  <c r="M65" i="1" s="1"/>
  <c r="BS66" i="1"/>
  <c r="BY66" i="1" s="1"/>
  <c r="BI66" i="1" s="1"/>
  <c r="BK66" i="1" s="1"/>
  <c r="AQ66" i="1" s="1"/>
  <c r="AM62" i="1"/>
  <c r="BS9" i="1"/>
  <c r="BY9" i="1" s="1"/>
  <c r="M9" i="1" s="1"/>
  <c r="BF13" i="1"/>
  <c r="BH13" i="1" s="1"/>
  <c r="AP13" i="1" s="1"/>
  <c r="BC62" i="1"/>
  <c r="BE62" i="1" s="1"/>
  <c r="AN62" i="1" s="1"/>
  <c r="BF20" i="1"/>
  <c r="BH20" i="1" s="1"/>
  <c r="BF55" i="1"/>
  <c r="BH55" i="1" s="1"/>
  <c r="BZ40" i="1"/>
  <c r="BF59" i="1"/>
  <c r="BH59" i="1" s="1"/>
  <c r="AZ59" i="1"/>
  <c r="BB59" i="1" s="1"/>
  <c r="AM59" i="1" s="1"/>
  <c r="BC13" i="1"/>
  <c r="BE13" i="1" s="1"/>
  <c r="AN13" i="1" s="1"/>
  <c r="BF15" i="1"/>
  <c r="BH15" i="1" s="1"/>
  <c r="AP15" i="1" s="1"/>
  <c r="AZ15" i="1"/>
  <c r="BB15" i="1" s="1"/>
  <c r="AM15" i="1" s="1"/>
  <c r="AZ16" i="1"/>
  <c r="BB16" i="1" s="1"/>
  <c r="AM16" i="1" s="1"/>
  <c r="AO16" i="1" s="1"/>
  <c r="BF26" i="1"/>
  <c r="BH26" i="1" s="1"/>
  <c r="AP26" i="1" s="1"/>
  <c r="BF29" i="1"/>
  <c r="BH29" i="1" s="1"/>
  <c r="AP29" i="1" s="1"/>
  <c r="BY33" i="1"/>
  <c r="M33" i="1" s="1"/>
  <c r="BS34" i="1"/>
  <c r="BY34" i="1" s="1"/>
  <c r="BI34" i="1" s="1"/>
  <c r="BK34" i="1" s="1"/>
  <c r="AQ34" i="1" s="1"/>
  <c r="BS50" i="1"/>
  <c r="BY50" i="1" s="1"/>
  <c r="M50" i="1" s="1"/>
  <c r="BC52" i="1"/>
  <c r="BE52" i="1" s="1"/>
  <c r="AN52" i="1" s="1"/>
  <c r="AO52" i="1" s="1"/>
  <c r="BF53" i="1"/>
  <c r="BH53" i="1" s="1"/>
  <c r="AP53" i="1" s="1"/>
  <c r="BF62" i="1"/>
  <c r="BH62" i="1" s="1"/>
  <c r="AM65" i="1"/>
  <c r="AN66" i="1"/>
  <c r="AP46" i="1"/>
  <c r="BF5" i="1"/>
  <c r="BH5" i="1" s="1"/>
  <c r="AP5" i="1" s="1"/>
  <c r="AM10" i="1"/>
  <c r="AZ23" i="1"/>
  <c r="BB23" i="1" s="1"/>
  <c r="AM23" i="1" s="1"/>
  <c r="AN26" i="1"/>
  <c r="AZ5" i="1"/>
  <c r="BB5" i="1" s="1"/>
  <c r="AM5" i="1" s="1"/>
  <c r="BF10" i="1"/>
  <c r="BH10" i="1" s="1"/>
  <c r="AP10" i="1" s="1"/>
  <c r="AR10" i="1" s="1"/>
  <c r="AZ4" i="1"/>
  <c r="BB4" i="1" s="1"/>
  <c r="AM4" i="1" s="1"/>
  <c r="AZ12" i="1"/>
  <c r="BB12" i="1" s="1"/>
  <c r="AM12" i="1" s="1"/>
  <c r="AO12" i="1" s="1"/>
  <c r="BZ14" i="1"/>
  <c r="BF16" i="1"/>
  <c r="BH16" i="1" s="1"/>
  <c r="AP16" i="1" s="1"/>
  <c r="AM19" i="1"/>
  <c r="BC19" i="1"/>
  <c r="BE19" i="1" s="1"/>
  <c r="AN19" i="1" s="1"/>
  <c r="AO19" i="1" s="1"/>
  <c r="BS23" i="1"/>
  <c r="BY23" i="1" s="1"/>
  <c r="M23" i="1" s="1"/>
  <c r="BF66" i="1"/>
  <c r="BH66" i="1" s="1"/>
  <c r="AP66" i="1" s="1"/>
  <c r="AO22" i="1"/>
  <c r="AM27" i="1"/>
  <c r="AO27" i="1" s="1"/>
  <c r="AZ38" i="1"/>
  <c r="BB38" i="1" s="1"/>
  <c r="AM38" i="1" s="1"/>
  <c r="BC5" i="1"/>
  <c r="BE5" i="1" s="1"/>
  <c r="AN16" i="1"/>
  <c r="AZ20" i="1"/>
  <c r="BB20" i="1" s="1"/>
  <c r="AM20" i="1" s="1"/>
  <c r="BZ22" i="1"/>
  <c r="BS42" i="1"/>
  <c r="BY42" i="1" s="1"/>
  <c r="M42" i="1" s="1"/>
  <c r="AN5" i="1"/>
  <c r="AO5" i="1" s="1"/>
  <c r="AN4" i="1"/>
  <c r="AO4" i="1" s="1"/>
  <c r="AZ6" i="1"/>
  <c r="BB6" i="1" s="1"/>
  <c r="AM6" i="1" s="1"/>
  <c r="AN7" i="1"/>
  <c r="AM8" i="1"/>
  <c r="AO8" i="1" s="1"/>
  <c r="BF18" i="1"/>
  <c r="BH18" i="1" s="1"/>
  <c r="BF22" i="1"/>
  <c r="BH22" i="1" s="1"/>
  <c r="AP22" i="1" s="1"/>
  <c r="AN35" i="1"/>
  <c r="AO35" i="1" s="1"/>
  <c r="AZ39" i="1"/>
  <c r="BB39" i="1" s="1"/>
  <c r="AM39" i="1" s="1"/>
  <c r="BF40" i="1"/>
  <c r="BH40" i="1" s="1"/>
  <c r="AP40" i="1" s="1"/>
  <c r="AN43" i="1"/>
  <c r="AO43" i="1" s="1"/>
  <c r="BS44" i="1"/>
  <c r="BY44" i="1" s="1"/>
  <c r="M44" i="1" s="1"/>
  <c r="BS48" i="1"/>
  <c r="BY54" i="1"/>
  <c r="AZ56" i="1"/>
  <c r="BB56" i="1" s="1"/>
  <c r="AM56" i="1" s="1"/>
  <c r="BS59" i="1"/>
  <c r="BY59" i="1" s="1"/>
  <c r="M59" i="1" s="1"/>
  <c r="M34" i="1"/>
  <c r="BF9" i="1"/>
  <c r="BH9" i="1" s="1"/>
  <c r="BI7" i="1"/>
  <c r="BK7" i="1" s="1"/>
  <c r="AQ7" i="1" s="1"/>
  <c r="AP9" i="1"/>
  <c r="BI12" i="1"/>
  <c r="BK12" i="1" s="1"/>
  <c r="AQ12" i="1" s="1"/>
  <c r="AN15" i="1"/>
  <c r="AZ37" i="1"/>
  <c r="BB37" i="1" s="1"/>
  <c r="AM37" i="1" s="1"/>
  <c r="BI9" i="1"/>
  <c r="BK9" i="1" s="1"/>
  <c r="AQ9" i="1" s="1"/>
  <c r="BZ9" i="1"/>
  <c r="BI10" i="1"/>
  <c r="BK10" i="1" s="1"/>
  <c r="AQ10" i="1" s="1"/>
  <c r="BY11" i="1"/>
  <c r="M11" i="1" s="1"/>
  <c r="AZ18" i="1"/>
  <c r="BB18" i="1" s="1"/>
  <c r="AM18" i="1" s="1"/>
  <c r="AO18" i="1" s="1"/>
  <c r="AP25" i="1"/>
  <c r="BS36" i="1"/>
  <c r="BY36" i="1" s="1"/>
  <c r="M36" i="1" s="1"/>
  <c r="BI16" i="1"/>
  <c r="BK16" i="1" s="1"/>
  <c r="AQ16" i="1" s="1"/>
  <c r="BI21" i="1"/>
  <c r="BK21" i="1" s="1"/>
  <c r="AQ21" i="1" s="1"/>
  <c r="BZ21" i="1"/>
  <c r="BZ24" i="1"/>
  <c r="AZ9" i="1"/>
  <c r="BB9" i="1" s="1"/>
  <c r="AM9" i="1" s="1"/>
  <c r="BF21" i="1"/>
  <c r="BH21" i="1" s="1"/>
  <c r="AP21" i="1" s="1"/>
  <c r="AN23" i="1"/>
  <c r="BF24" i="1"/>
  <c r="BH24" i="1" s="1"/>
  <c r="AP24" i="1" s="1"/>
  <c r="BI50" i="1"/>
  <c r="BK50" i="1" s="1"/>
  <c r="AQ50" i="1" s="1"/>
  <c r="AR50" i="1" s="1"/>
  <c r="BZ11" i="1"/>
  <c r="BF11" i="1"/>
  <c r="BH11" i="1" s="1"/>
  <c r="AP11" i="1" s="1"/>
  <c r="BI8" i="1"/>
  <c r="BK8" i="1" s="1"/>
  <c r="AQ8" i="1" s="1"/>
  <c r="BZ18" i="1"/>
  <c r="BI18" i="1"/>
  <c r="BK18" i="1" s="1"/>
  <c r="AQ18" i="1" s="1"/>
  <c r="BI20" i="1"/>
  <c r="BK20" i="1" s="1"/>
  <c r="AQ20" i="1" s="1"/>
  <c r="BI54" i="1"/>
  <c r="BK54" i="1" s="1"/>
  <c r="AQ54" i="1" s="1"/>
  <c r="M54" i="1"/>
  <c r="AP4" i="1"/>
  <c r="BI5" i="1"/>
  <c r="BK5" i="1" s="1"/>
  <c r="AQ5" i="1" s="1"/>
  <c r="BZ19" i="1"/>
  <c r="BF19" i="1"/>
  <c r="BH19" i="1" s="1"/>
  <c r="AP19" i="1" s="1"/>
  <c r="AM28" i="1"/>
  <c r="BI4" i="1"/>
  <c r="BK4" i="1" s="1"/>
  <c r="AQ4" i="1" s="1"/>
  <c r="BZ8" i="1"/>
  <c r="AN10" i="1"/>
  <c r="AZ11" i="1"/>
  <c r="BB11" i="1" s="1"/>
  <c r="AM11" i="1" s="1"/>
  <c r="AZ14" i="1"/>
  <c r="BB14" i="1" s="1"/>
  <c r="AM14" i="1" s="1"/>
  <c r="AO14" i="1" s="1"/>
  <c r="BI23" i="1"/>
  <c r="BK23" i="1" s="1"/>
  <c r="AQ23" i="1" s="1"/>
  <c r="AR23" i="1" s="1"/>
  <c r="AM29" i="1"/>
  <c r="BZ30" i="1"/>
  <c r="BF32" i="1"/>
  <c r="BH32" i="1" s="1"/>
  <c r="AP32" i="1" s="1"/>
  <c r="BZ32" i="1"/>
  <c r="BZ47" i="1"/>
  <c r="AP17" i="1"/>
  <c r="AP30" i="1"/>
  <c r="AP18" i="1"/>
  <c r="BS6" i="1"/>
  <c r="BY6" i="1" s="1"/>
  <c r="AN9" i="1"/>
  <c r="BF12" i="1"/>
  <c r="BH12" i="1" s="1"/>
  <c r="AP12" i="1" s="1"/>
  <c r="AZ13" i="1"/>
  <c r="BB13" i="1" s="1"/>
  <c r="AM13" i="1" s="1"/>
  <c r="AO13" i="1" s="1"/>
  <c r="AN17" i="1"/>
  <c r="BI17" i="1"/>
  <c r="BK17" i="1" s="1"/>
  <c r="AQ17" i="1" s="1"/>
  <c r="BZ17" i="1"/>
  <c r="BI19" i="1"/>
  <c r="BK19" i="1" s="1"/>
  <c r="AQ19" i="1" s="1"/>
  <c r="BC20" i="1"/>
  <c r="BE20" i="1" s="1"/>
  <c r="AN20" i="1" s="1"/>
  <c r="AO20" i="1" s="1"/>
  <c r="BC30" i="1"/>
  <c r="BE30" i="1" s="1"/>
  <c r="AN30" i="1" s="1"/>
  <c r="AZ30" i="1"/>
  <c r="BB30" i="1" s="1"/>
  <c r="M40" i="1"/>
  <c r="BI40" i="1"/>
  <c r="BK40" i="1" s="1"/>
  <c r="AQ40" i="1" s="1"/>
  <c r="AZ47" i="1"/>
  <c r="BB47" i="1" s="1"/>
  <c r="AM47" i="1" s="1"/>
  <c r="BC47" i="1"/>
  <c r="BE47" i="1" s="1"/>
  <c r="AN47" i="1" s="1"/>
  <c r="AZ17" i="1"/>
  <c r="BB17" i="1" s="1"/>
  <c r="AM17" i="1" s="1"/>
  <c r="BC21" i="1"/>
  <c r="BE21" i="1" s="1"/>
  <c r="AN21" i="1" s="1"/>
  <c r="BC28" i="1"/>
  <c r="BE28" i="1" s="1"/>
  <c r="AN28" i="1" s="1"/>
  <c r="AM30" i="1"/>
  <c r="AO30" i="1" s="1"/>
  <c r="BY30" i="1"/>
  <c r="M30" i="1" s="1"/>
  <c r="BC31" i="1"/>
  <c r="BE31" i="1" s="1"/>
  <c r="AN31" i="1" s="1"/>
  <c r="BY47" i="1"/>
  <c r="M47" i="1" s="1"/>
  <c r="BC49" i="1"/>
  <c r="BE49" i="1" s="1"/>
  <c r="AN49" i="1" s="1"/>
  <c r="BF49" i="1"/>
  <c r="BH49" i="1" s="1"/>
  <c r="AP49" i="1" s="1"/>
  <c r="AZ49" i="1"/>
  <c r="BB49" i="1" s="1"/>
  <c r="AM49" i="1" s="1"/>
  <c r="BF51" i="1"/>
  <c r="BH51" i="1" s="1"/>
  <c r="AP51" i="1" s="1"/>
  <c r="AN54" i="1"/>
  <c r="AZ64" i="1"/>
  <c r="BB64" i="1" s="1"/>
  <c r="AM64" i="1" s="1"/>
  <c r="BF52" i="1"/>
  <c r="BH52" i="1" s="1"/>
  <c r="AP52" i="1" s="1"/>
  <c r="BZ52" i="1"/>
  <c r="BS57" i="1"/>
  <c r="BY57" i="1" s="1"/>
  <c r="M57" i="1" s="1"/>
  <c r="BS60" i="1"/>
  <c r="BY60" i="1" s="1"/>
  <c r="M60" i="1" s="1"/>
  <c r="AZ63" i="1"/>
  <c r="BB63" i="1" s="1"/>
  <c r="AM63" i="1" s="1"/>
  <c r="AO63" i="1" s="1"/>
  <c r="BC64" i="1"/>
  <c r="BE64" i="1" s="1"/>
  <c r="BI43" i="1"/>
  <c r="BK43" i="1" s="1"/>
  <c r="AQ43" i="1" s="1"/>
  <c r="BZ43" i="1"/>
  <c r="AP47" i="1"/>
  <c r="BF56" i="1"/>
  <c r="BH56" i="1" s="1"/>
  <c r="AP56" i="1" s="1"/>
  <c r="BI56" i="1"/>
  <c r="BK56" i="1" s="1"/>
  <c r="AQ56" i="1" s="1"/>
  <c r="BZ56" i="1"/>
  <c r="BI58" i="1"/>
  <c r="BK58" i="1" s="1"/>
  <c r="AQ58" i="1" s="1"/>
  <c r="AR58" i="1" s="1"/>
  <c r="M58" i="1"/>
  <c r="AN64" i="1"/>
  <c r="BC45" i="1"/>
  <c r="BE45" i="1" s="1"/>
  <c r="AN45" i="1" s="1"/>
  <c r="BZ45" i="1"/>
  <c r="AZ45" i="1"/>
  <c r="BB45" i="1" s="1"/>
  <c r="AM45" i="1" s="1"/>
  <c r="BI45" i="1"/>
  <c r="BK45" i="1" s="1"/>
  <c r="AQ45" i="1" s="1"/>
  <c r="AR45" i="1" s="1"/>
  <c r="BC48" i="1"/>
  <c r="BE48" i="1" s="1"/>
  <c r="AZ48" i="1"/>
  <c r="BB48" i="1" s="1"/>
  <c r="AM48" i="1" s="1"/>
  <c r="BF60" i="1"/>
  <c r="BH60" i="1" s="1"/>
  <c r="AP60" i="1" s="1"/>
  <c r="BZ60" i="1"/>
  <c r="BZ12" i="1"/>
  <c r="AM31" i="1"/>
  <c r="BF43" i="1"/>
  <c r="BH43" i="1" s="1"/>
  <c r="AP43" i="1" s="1"/>
  <c r="BC56" i="1"/>
  <c r="BE56" i="1" s="1"/>
  <c r="AN56" i="1" s="1"/>
  <c r="BC57" i="1"/>
  <c r="BE57" i="1" s="1"/>
  <c r="AN57" i="1" s="1"/>
  <c r="BF57" i="1"/>
  <c r="BH57" i="1" s="1"/>
  <c r="AP57" i="1" s="1"/>
  <c r="BZ57" i="1"/>
  <c r="AZ57" i="1"/>
  <c r="BB57" i="1" s="1"/>
  <c r="AM57" i="1" s="1"/>
  <c r="AM60" i="1"/>
  <c r="BI65" i="1"/>
  <c r="BK65" i="1" s="1"/>
  <c r="AQ65" i="1" s="1"/>
  <c r="BZ4" i="1"/>
  <c r="BY28" i="1"/>
  <c r="BY31" i="1"/>
  <c r="M31" i="1" s="1"/>
  <c r="BC33" i="1"/>
  <c r="BE33" i="1" s="1"/>
  <c r="AN33" i="1" s="1"/>
  <c r="BF33" i="1"/>
  <c r="BH33" i="1" s="1"/>
  <c r="AP33" i="1" s="1"/>
  <c r="AZ33" i="1"/>
  <c r="BB33" i="1" s="1"/>
  <c r="AM33" i="1" s="1"/>
  <c r="BZ33" i="1"/>
  <c r="BC44" i="1"/>
  <c r="BE44" i="1" s="1"/>
  <c r="AN44" i="1" s="1"/>
  <c r="AZ44" i="1"/>
  <c r="BB44" i="1" s="1"/>
  <c r="AM44" i="1" s="1"/>
  <c r="BZ46" i="1"/>
  <c r="BI46" i="1"/>
  <c r="BK46" i="1" s="1"/>
  <c r="AQ46" i="1" s="1"/>
  <c r="AR46" i="1" s="1"/>
  <c r="BY64" i="1"/>
  <c r="M64" i="1" s="1"/>
  <c r="BC32" i="1"/>
  <c r="BE32" i="1" s="1"/>
  <c r="AN32" i="1" s="1"/>
  <c r="AO32" i="1" s="1"/>
  <c r="AP20" i="1"/>
  <c r="BZ20" i="1"/>
  <c r="BC24" i="1"/>
  <c r="BE24" i="1" s="1"/>
  <c r="AN24" i="1" s="1"/>
  <c r="AO24" i="1" s="1"/>
  <c r="BI25" i="1"/>
  <c r="BK25" i="1" s="1"/>
  <c r="AQ25" i="1" s="1"/>
  <c r="BC27" i="1"/>
  <c r="BE27" i="1" s="1"/>
  <c r="AN27" i="1" s="1"/>
  <c r="BF28" i="1"/>
  <c r="BH28" i="1" s="1"/>
  <c r="AP28" i="1" s="1"/>
  <c r="BZ28" i="1"/>
  <c r="BF31" i="1"/>
  <c r="BH31" i="1" s="1"/>
  <c r="AP31" i="1" s="1"/>
  <c r="BZ31" i="1"/>
  <c r="BI38" i="1"/>
  <c r="BK38" i="1" s="1"/>
  <c r="AQ38" i="1" s="1"/>
  <c r="AM40" i="1"/>
  <c r="BS41" i="1"/>
  <c r="BY41" i="1" s="1"/>
  <c r="AZ42" i="1"/>
  <c r="BB42" i="1" s="1"/>
  <c r="AM42" i="1" s="1"/>
  <c r="BC42" i="1"/>
  <c r="BE42" i="1" s="1"/>
  <c r="AN42" i="1" s="1"/>
  <c r="BC46" i="1"/>
  <c r="BE46" i="1" s="1"/>
  <c r="AN46" i="1" s="1"/>
  <c r="BY48" i="1"/>
  <c r="M48" i="1" s="1"/>
  <c r="BS52" i="1"/>
  <c r="BY52" i="1" s="1"/>
  <c r="M52" i="1" s="1"/>
  <c r="AN60" i="1"/>
  <c r="BC37" i="1"/>
  <c r="BE37" i="1" s="1"/>
  <c r="AN37" i="1" s="1"/>
  <c r="BC38" i="1"/>
  <c r="BE38" i="1" s="1"/>
  <c r="AN38" i="1" s="1"/>
  <c r="AP39" i="1"/>
  <c r="BF44" i="1"/>
  <c r="BH44" i="1" s="1"/>
  <c r="AP44" i="1" s="1"/>
  <c r="AN48" i="1"/>
  <c r="BF48" i="1"/>
  <c r="BH48" i="1" s="1"/>
  <c r="AP48" i="1" s="1"/>
  <c r="AZ58" i="1"/>
  <c r="BB58" i="1" s="1"/>
  <c r="AM58" i="1" s="1"/>
  <c r="AO58" i="1" s="1"/>
  <c r="BZ61" i="1"/>
  <c r="BC61" i="1"/>
  <c r="BE61" i="1" s="1"/>
  <c r="AN61" i="1" s="1"/>
  <c r="BC65" i="1"/>
  <c r="BE65" i="1" s="1"/>
  <c r="AN65" i="1" s="1"/>
  <c r="AO65" i="1" s="1"/>
  <c r="AN36" i="1"/>
  <c r="AO36" i="1" s="1"/>
  <c r="BF36" i="1"/>
  <c r="BH36" i="1" s="1"/>
  <c r="AP36" i="1" s="1"/>
  <c r="BC39" i="1"/>
  <c r="BE39" i="1" s="1"/>
  <c r="AN39" i="1" s="1"/>
  <c r="AN40" i="1"/>
  <c r="BZ44" i="1"/>
  <c r="BZ48" i="1"/>
  <c r="BI55" i="1"/>
  <c r="BK55" i="1" s="1"/>
  <c r="AQ55" i="1" s="1"/>
  <c r="BZ55" i="1"/>
  <c r="AZ61" i="1"/>
  <c r="BB61" i="1" s="1"/>
  <c r="AM61" i="1" s="1"/>
  <c r="BY61" i="1"/>
  <c r="BI35" i="1"/>
  <c r="BK35" i="1" s="1"/>
  <c r="AQ35" i="1" s="1"/>
  <c r="BC41" i="1"/>
  <c r="BE41" i="1" s="1"/>
  <c r="AN41" i="1" s="1"/>
  <c r="AO41" i="1" s="1"/>
  <c r="BF41" i="1"/>
  <c r="BH41" i="1" s="1"/>
  <c r="AP41" i="1" s="1"/>
  <c r="BY49" i="1"/>
  <c r="M49" i="1" s="1"/>
  <c r="BF54" i="1"/>
  <c r="BH54" i="1" s="1"/>
  <c r="AP54" i="1" s="1"/>
  <c r="AP55" i="1"/>
  <c r="AP62" i="1"/>
  <c r="BC29" i="1"/>
  <c r="BE29" i="1" s="1"/>
  <c r="AN29" i="1" s="1"/>
  <c r="AZ34" i="1"/>
  <c r="BB34" i="1" s="1"/>
  <c r="AM34" i="1" s="1"/>
  <c r="AO34" i="1" s="1"/>
  <c r="BF35" i="1"/>
  <c r="BH35" i="1" s="1"/>
  <c r="AP35" i="1" s="1"/>
  <c r="AR35" i="1" s="1"/>
  <c r="BF37" i="1"/>
  <c r="BH37" i="1" s="1"/>
  <c r="AP37" i="1" s="1"/>
  <c r="BI39" i="1"/>
  <c r="BK39" i="1" s="1"/>
  <c r="AQ39" i="1" s="1"/>
  <c r="BZ39" i="1"/>
  <c r="AZ54" i="1"/>
  <c r="BB54" i="1" s="1"/>
  <c r="AM54" i="1" s="1"/>
  <c r="AO54" i="1" s="1"/>
  <c r="BF61" i="1"/>
  <c r="BH61" i="1" s="1"/>
  <c r="AP61" i="1" s="1"/>
  <c r="BI62" i="1"/>
  <c r="BK62" i="1" s="1"/>
  <c r="AQ62" i="1" s="1"/>
  <c r="BI63" i="1"/>
  <c r="BK63" i="1" s="1"/>
  <c r="AQ63" i="1" s="1"/>
  <c r="BF63" i="1"/>
  <c r="BH63" i="1" s="1"/>
  <c r="AP63" i="1" s="1"/>
  <c r="BZ63" i="1"/>
  <c r="BF65" i="1"/>
  <c r="BH65" i="1" s="1"/>
  <c r="AP65" i="1" s="1"/>
  <c r="BF64" i="1"/>
  <c r="BH64" i="1" s="1"/>
  <c r="AP64" i="1" s="1"/>
  <c r="AZ66" i="1"/>
  <c r="BB66" i="1" s="1"/>
  <c r="AM66" i="1" s="1"/>
  <c r="AR66" i="1" l="1"/>
  <c r="AO53" i="1"/>
  <c r="M66" i="1"/>
  <c r="BI24" i="1"/>
  <c r="BK24" i="1" s="1"/>
  <c r="AQ24" i="1" s="1"/>
  <c r="AO39" i="1"/>
  <c r="AO62" i="1"/>
  <c r="AR7" i="1"/>
  <c r="BI64" i="1"/>
  <c r="BK64" i="1" s="1"/>
  <c r="AQ64" i="1" s="1"/>
  <c r="AO23" i="1"/>
  <c r="BI42" i="1"/>
  <c r="BK42" i="1" s="1"/>
  <c r="AQ42" i="1" s="1"/>
  <c r="AR42" i="1" s="1"/>
  <c r="BI48" i="1"/>
  <c r="BK48" i="1" s="1"/>
  <c r="AQ48" i="1" s="1"/>
  <c r="AO46" i="1"/>
  <c r="BI51" i="1"/>
  <c r="BK51" i="1" s="1"/>
  <c r="AQ51" i="1" s="1"/>
  <c r="AO11" i="1"/>
  <c r="BI15" i="1"/>
  <c r="BK15" i="1" s="1"/>
  <c r="AQ15" i="1" s="1"/>
  <c r="AR15" i="1" s="1"/>
  <c r="BI14" i="1"/>
  <c r="BK14" i="1" s="1"/>
  <c r="AQ14" i="1" s="1"/>
  <c r="AR14" i="1" s="1"/>
  <c r="AO7" i="1"/>
  <c r="BI22" i="1"/>
  <c r="BK22" i="1" s="1"/>
  <c r="AQ22" i="1" s="1"/>
  <c r="AR22" i="1" s="1"/>
  <c r="AO55" i="1"/>
  <c r="AO66" i="1"/>
  <c r="BI59" i="1"/>
  <c r="BK59" i="1" s="1"/>
  <c r="AQ59" i="1" s="1"/>
  <c r="AR59" i="1" s="1"/>
  <c r="BI32" i="1"/>
  <c r="BK32" i="1" s="1"/>
  <c r="AQ32" i="1" s="1"/>
  <c r="AR5" i="1"/>
  <c r="AO6" i="1"/>
  <c r="AR34" i="1"/>
  <c r="AR53" i="1"/>
  <c r="AO33" i="1"/>
  <c r="AR43" i="1"/>
  <c r="AO21" i="1"/>
  <c r="BI47" i="1"/>
  <c r="BK47" i="1" s="1"/>
  <c r="AQ47" i="1" s="1"/>
  <c r="AR47" i="1" s="1"/>
  <c r="AR9" i="1"/>
  <c r="AO10" i="1"/>
  <c r="BI37" i="1"/>
  <c r="BK37" i="1" s="1"/>
  <c r="AQ37" i="1" s="1"/>
  <c r="AR37" i="1" s="1"/>
  <c r="BI30" i="1"/>
  <c r="BK30" i="1" s="1"/>
  <c r="AQ30" i="1" s="1"/>
  <c r="AR21" i="1"/>
  <c r="BI13" i="1"/>
  <c r="BK13" i="1" s="1"/>
  <c r="AQ13" i="1" s="1"/>
  <c r="AR13" i="1" s="1"/>
  <c r="AR65" i="1"/>
  <c r="AR8" i="1"/>
  <c r="AR16" i="1"/>
  <c r="AO15" i="1"/>
  <c r="BI29" i="1"/>
  <c r="BK29" i="1" s="1"/>
  <c r="AQ29" i="1" s="1"/>
  <c r="M29" i="1"/>
  <c r="AO44" i="1"/>
  <c r="AR29" i="1"/>
  <c r="AO42" i="1"/>
  <c r="AO37" i="1"/>
  <c r="BI33" i="1"/>
  <c r="BK33" i="1" s="1"/>
  <c r="AQ33" i="1" s="1"/>
  <c r="AO56" i="1"/>
  <c r="BI52" i="1"/>
  <c r="BK52" i="1" s="1"/>
  <c r="AQ52" i="1" s="1"/>
  <c r="AO49" i="1"/>
  <c r="M53" i="1"/>
  <c r="AO25" i="1"/>
  <c r="AR56" i="1"/>
  <c r="AR24" i="1"/>
  <c r="BI44" i="1"/>
  <c r="BK44" i="1" s="1"/>
  <c r="AQ44" i="1" s="1"/>
  <c r="AR63" i="1"/>
  <c r="AR54" i="1"/>
  <c r="AO40" i="1"/>
  <c r="AO17" i="1"/>
  <c r="BI26" i="1"/>
  <c r="BK26" i="1" s="1"/>
  <c r="AQ26" i="1" s="1"/>
  <c r="AR26" i="1" s="1"/>
  <c r="AO28" i="1"/>
  <c r="AO9" i="1"/>
  <c r="AO26" i="1"/>
  <c r="AR19" i="1"/>
  <c r="AR64" i="1"/>
  <c r="AR52" i="1"/>
  <c r="BI36" i="1"/>
  <c r="BK36" i="1" s="1"/>
  <c r="AQ36" i="1" s="1"/>
  <c r="AR36" i="1" s="1"/>
  <c r="AR51" i="1"/>
  <c r="AR32" i="1"/>
  <c r="BI11" i="1"/>
  <c r="BK11" i="1" s="1"/>
  <c r="AQ11" i="1" s="1"/>
  <c r="AR11" i="1" s="1"/>
  <c r="AR12" i="1"/>
  <c r="AO47" i="1"/>
  <c r="AR48" i="1"/>
  <c r="AR20" i="1"/>
  <c r="AO48" i="1"/>
  <c r="AO59" i="1"/>
  <c r="AO57" i="1"/>
  <c r="AO31" i="1"/>
  <c r="AR30" i="1"/>
  <c r="AO38" i="1"/>
  <c r="AR39" i="1"/>
  <c r="AR4" i="1"/>
  <c r="AO29" i="1"/>
  <c r="AR33" i="1"/>
  <c r="AO64" i="1"/>
  <c r="AR18" i="1"/>
  <c r="M61" i="1"/>
  <c r="BI61" i="1"/>
  <c r="BK61" i="1" s="1"/>
  <c r="AQ61" i="1" s="1"/>
  <c r="AR61" i="1" s="1"/>
  <c r="M41" i="1"/>
  <c r="BI41" i="1"/>
  <c r="BK41" i="1" s="1"/>
  <c r="AQ41" i="1" s="1"/>
  <c r="AR41" i="1" s="1"/>
  <c r="BI57" i="1"/>
  <c r="BK57" i="1" s="1"/>
  <c r="AQ57" i="1" s="1"/>
  <c r="AR57" i="1" s="1"/>
  <c r="AR17" i="1"/>
  <c r="BI49" i="1"/>
  <c r="BK49" i="1" s="1"/>
  <c r="AQ49" i="1" s="1"/>
  <c r="AR49" i="1" s="1"/>
  <c r="AR25" i="1"/>
  <c r="BI60" i="1"/>
  <c r="BK60" i="1" s="1"/>
  <c r="AQ60" i="1" s="1"/>
  <c r="AR60" i="1" s="1"/>
  <c r="M6" i="1"/>
  <c r="BI6" i="1"/>
  <c r="BK6" i="1" s="1"/>
  <c r="AQ6" i="1" s="1"/>
  <c r="AR6" i="1" s="1"/>
  <c r="AO60" i="1"/>
  <c r="AR62" i="1"/>
  <c r="AR55" i="1"/>
  <c r="AO61" i="1"/>
  <c r="AR44" i="1"/>
  <c r="AR40" i="1"/>
  <c r="AR38" i="1"/>
  <c r="M28" i="1"/>
  <c r="BI28" i="1"/>
  <c r="BK28" i="1" s="1"/>
  <c r="AQ28" i="1" s="1"/>
  <c r="AR28" i="1" s="1"/>
  <c r="AO45" i="1"/>
  <c r="BI31" i="1"/>
  <c r="BK31" i="1" s="1"/>
  <c r="AQ31" i="1" s="1"/>
  <c r="AR31" i="1" s="1"/>
</calcChain>
</file>

<file path=xl/sharedStrings.xml><?xml version="1.0" encoding="utf-8"?>
<sst xmlns="http://schemas.openxmlformats.org/spreadsheetml/2006/main" count="153" uniqueCount="76">
  <si>
    <t>Asset Parameters (normalized by commodity feedstock)</t>
  </si>
  <si>
    <t>Duals</t>
  </si>
  <si>
    <t>LCOE for assets with ethane capacity ($/t-ethylene)</t>
  </si>
  <si>
    <t>SEQ - CI</t>
  </si>
  <si>
    <t>SEQ - CREDIT</t>
  </si>
  <si>
    <t>NO SEQ - CI</t>
  </si>
  <si>
    <t>NO SEQ - CREDIT</t>
  </si>
  <si>
    <t>CHEM SEQUESTRATION - CARBON INTENSITY</t>
  </si>
  <si>
    <t>CHEM SEQUESTRATION - CREDIT</t>
  </si>
  <si>
    <t>NO CHEM SEQUESTRATION - CARBON INTENSITY</t>
  </si>
  <si>
    <t>NO CHEM SEQUESTRATION - CREDIT</t>
  </si>
  <si>
    <t>Carbon Content</t>
  </si>
  <si>
    <t>Carbon Inputs</t>
  </si>
  <si>
    <t>Carbon Outputs</t>
  </si>
  <si>
    <t>id</t>
  </si>
  <si>
    <t>commodity</t>
  </si>
  <si>
    <t>h2_consumption (MWh/MWh-ethanol)</t>
  </si>
  <si>
    <t>elec_consumption (MWh/MWh-ethanol)</t>
  </si>
  <si>
    <t>ethylene_production (t-ethylene/MWh-ethanol)</t>
  </si>
  <si>
    <t>natgas_consumption (MWh/MWh-ethanol)</t>
  </si>
  <si>
    <t>capture_rate (t-CO2/MWh-ethanol)</t>
  </si>
  <si>
    <t>emission_rate (t-CO2/MWh-ethanol)</t>
  </si>
  <si>
    <t>investment_cost ($/yr per MW ethanol)</t>
  </si>
  <si>
    <t>fixed_om_cost ($/yr per MW ethanol)</t>
  </si>
  <si>
    <t>variable_om_cost ($/MWh-ethanol)</t>
  </si>
  <si>
    <t>LPG_production (t-LPG/t-ethylene)</t>
  </si>
  <si>
    <t>co2_sink ($/t)</t>
  </si>
  <si>
    <t>co2_captured ($/t)</t>
  </si>
  <si>
    <t>bioherb_supply ($/t)</t>
  </si>
  <si>
    <t>biowood_supply ($/t)</t>
  </si>
  <si>
    <t>bioagri_supply ($/t)</t>
  </si>
  <si>
    <t>ethane_supply ($/MWh)</t>
  </si>
  <si>
    <t>ethanol_balance ($/MWh)</t>
  </si>
  <si>
    <t>ethanol_demand ($/MWh)</t>
  </si>
  <si>
    <t>elec_demand ($/MWh)</t>
  </si>
  <si>
    <t>h2_balance ($/MWh)</t>
  </si>
  <si>
    <t>h2_demand ($/MWh)</t>
  </si>
  <si>
    <t>gasoline_balance ($/MWh)</t>
  </si>
  <si>
    <t>gasoline_demand ($/MWh)</t>
  </si>
  <si>
    <t>diesel_balance ($/MWh)</t>
  </si>
  <si>
    <t>diesel_demand ($/MWh)</t>
  </si>
  <si>
    <t>jetfuel_balance ($/MWh)</t>
  </si>
  <si>
    <t>jetfuel_demand ($/MWh)</t>
  </si>
  <si>
    <t>ng_balance ($/MWh)</t>
  </si>
  <si>
    <t>ng_demand ($/MWh)</t>
  </si>
  <si>
    <t>ethylene_balance ($/t)</t>
  </si>
  <si>
    <t>ethylene_demand ($/t)</t>
  </si>
  <si>
    <t>id_LC</t>
  </si>
  <si>
    <t>commodity_LC</t>
  </si>
  <si>
    <t>LCOE ($/t-ethylene)</t>
  </si>
  <si>
    <t>Diff. Between Methods</t>
  </si>
  <si>
    <t>h2_consumption</t>
  </si>
  <si>
    <t>elec_consumption</t>
  </si>
  <si>
    <t>ethane_consumption</t>
  </si>
  <si>
    <t>natgas_consumption</t>
  </si>
  <si>
    <t>investment_cost</t>
  </si>
  <si>
    <t>fixed_om_cost</t>
  </si>
  <si>
    <t>variable_om_cost</t>
  </si>
  <si>
    <t>CI</t>
  </si>
  <si>
    <t>modified capture cost</t>
  </si>
  <si>
    <t>modified emissions cost</t>
  </si>
  <si>
    <t>Ethylene (t-CO2/t-ethylene)</t>
  </si>
  <si>
    <t>Ethane (t-CO2/MWh-ethane)</t>
  </si>
  <si>
    <t>NG (t-CO2/MWh-NG)</t>
  </si>
  <si>
    <t>Ethane (t-CO2/t-ethylene)</t>
  </si>
  <si>
    <t>NG (t-CO2/t-ethylene)</t>
  </si>
  <si>
    <t>Total input (t-CO2/t-ethylene)</t>
  </si>
  <si>
    <t>Emissions (t-CO2/t-ethylene)</t>
  </si>
  <si>
    <t>Captured (t-CO2/t-ethylene)</t>
  </si>
  <si>
    <t>LPG (t-CO2/t-ethylene)</t>
  </si>
  <si>
    <t>Total Output (t-CO2/t-ethylene)</t>
  </si>
  <si>
    <t>SE_Ethanol_Dehydration_NGfuel</t>
  </si>
  <si>
    <t>Ethanol</t>
  </si>
  <si>
    <t>SE_Ethanol_Dehydration_H2fuel</t>
  </si>
  <si>
    <t>CA_Ethanol_Dehydration_NGfuel</t>
  </si>
  <si>
    <t>CA_Ethanol_Dehydration_H2fuel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</si>
</sst>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rgb="FFF7E8FF"/>
        <bgColor rgb="FFADD8E6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5D3D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0" fontId="0" fillId="8" borderId="0" xfId="0" applyFill="1"/>
    <xf numFmtId="164" fontId="1" fillId="9" borderId="0" xfId="0" applyNumberFormat="1" applyFont="1" applyFill="1"/>
    <xf numFmtId="0" fontId="0" fillId="10" borderId="0" xfId="0" applyFill="1"/>
    <xf numFmtId="0" fontId="4" fillId="11" borderId="0" xfId="0" applyFont="1" applyFill="1"/>
    <xf numFmtId="0" fontId="2" fillId="12" borderId="0" xfId="0" applyFont="1" applyFill="1"/>
    <xf numFmtId="0" fontId="0" fillId="13" borderId="0" xfId="0" applyFill="1"/>
    <xf numFmtId="0" fontId="1" fillId="1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Z108"/>
  <sheetViews>
    <sheetView tabSelected="1" topLeftCell="BI1" zoomScale="75" zoomScaleNormal="157" workbookViewId="0">
      <selection activeCell="BQ31" sqref="BQ31"/>
    </sheetView>
  </sheetViews>
  <sheetFormatPr baseColWidth="10" defaultRowHeight="16" x14ac:dyDescent="0.2"/>
  <cols>
    <col min="1" max="1" width="2.6640625" style="1" customWidth="1"/>
    <col min="2" max="2" width="28.6640625" style="1" customWidth="1"/>
    <col min="3" max="3" width="10" style="1" bestFit="1" customWidth="1"/>
    <col min="4" max="4" width="14" style="1" customWidth="1"/>
    <col min="5" max="5" width="14.6640625" style="1" customWidth="1"/>
    <col min="6" max="6" width="17" style="1" customWidth="1"/>
    <col min="7" max="7" width="16.33203125" style="1" customWidth="1"/>
    <col min="8" max="10" width="17" style="1" customWidth="1"/>
    <col min="11" max="11" width="12.1640625" style="1" customWidth="1"/>
    <col min="12" max="12" width="15.83203125" style="1" customWidth="1"/>
    <col min="13" max="13" width="13.5" style="1" customWidth="1"/>
    <col min="14" max="14" width="3" style="1" customWidth="1"/>
    <col min="15" max="15" width="12.83203125" style="1" bestFit="1" customWidth="1"/>
    <col min="16" max="16" width="11" style="1" customWidth="1"/>
    <col min="17" max="17" width="12.83203125" style="1" customWidth="1"/>
    <col min="18" max="18" width="13.83203125" style="1" customWidth="1"/>
    <col min="19" max="19" width="12" style="1" customWidth="1"/>
    <col min="20" max="20" width="11.83203125" style="1" customWidth="1"/>
    <col min="21" max="21" width="13.5" style="1" customWidth="1"/>
    <col min="22" max="22" width="14.33203125" style="1" customWidth="1"/>
    <col min="23" max="23" width="11" style="1" customWidth="1"/>
    <col min="24" max="24" width="9.33203125" style="1" customWidth="1"/>
    <col min="25" max="25" width="10.33203125" style="1" customWidth="1"/>
    <col min="26" max="26" width="14.83203125" style="1" customWidth="1"/>
    <col min="27" max="27" width="14.5" style="1" customWidth="1"/>
    <col min="28" max="29" width="12.5" style="1" customWidth="1"/>
    <col min="30" max="30" width="12.1640625" style="1" customWidth="1"/>
    <col min="31" max="31" width="13.1640625" style="1" customWidth="1"/>
    <col min="32" max="32" width="9.6640625" style="1" customWidth="1"/>
    <col min="33" max="33" width="9.83203125" style="1" customWidth="1"/>
    <col min="34" max="34" width="14.5" style="1" customWidth="1"/>
    <col min="35" max="35" width="15.33203125" style="1" customWidth="1"/>
    <col min="36" max="36" width="3.33203125" customWidth="1"/>
    <col min="37" max="37" width="18.83203125" style="1" customWidth="1"/>
    <col min="38" max="38" width="19.83203125" style="1" customWidth="1"/>
    <col min="39" max="39" width="15.6640625" style="1" bestFit="1" customWidth="1"/>
    <col min="40" max="40" width="15.6640625" style="1" customWidth="1"/>
    <col min="41" max="41" width="18.33203125" style="1" bestFit="1" customWidth="1"/>
    <col min="42" max="43" width="15.6640625" style="1" customWidth="1"/>
    <col min="44" max="44" width="18.33203125" style="1" bestFit="1" customWidth="1"/>
    <col min="45" max="45" width="14.1640625" style="1" bestFit="1" customWidth="1"/>
    <col min="46" max="46" width="15.1640625" style="1" bestFit="1" customWidth="1"/>
    <col min="47" max="47" width="17.33203125" style="1" bestFit="1" customWidth="1"/>
    <col min="48" max="48" width="17.1640625" style="1" bestFit="1" customWidth="1"/>
    <col min="49" max="49" width="13.6640625" style="1" bestFit="1" customWidth="1"/>
    <col min="50" max="50" width="12.1640625" style="1" bestFit="1" customWidth="1"/>
    <col min="51" max="51" width="14.5" style="1" bestFit="1" customWidth="1"/>
    <col min="52" max="52" width="10.5" style="1" customWidth="1"/>
    <col min="53" max="53" width="17.83203125" style="1" bestFit="1" customWidth="1"/>
    <col min="54" max="54" width="19.6640625" style="1" bestFit="1" customWidth="1"/>
    <col min="55" max="55" width="12.1640625" style="1" customWidth="1"/>
    <col min="56" max="56" width="17.83203125" style="1" bestFit="1" customWidth="1"/>
    <col min="57" max="57" width="19.33203125" style="1" bestFit="1" customWidth="1"/>
    <col min="58" max="58" width="18" style="1" customWidth="1"/>
    <col min="59" max="59" width="17.83203125" style="1" bestFit="1" customWidth="1"/>
    <col min="60" max="60" width="19.33203125" style="1" bestFit="1" customWidth="1"/>
    <col min="61" max="61" width="9.6640625" style="1" customWidth="1"/>
    <col min="62" max="62" width="17.83203125" style="1" bestFit="1" customWidth="1"/>
    <col min="63" max="63" width="19.33203125" style="1" bestFit="1" customWidth="1"/>
    <col min="64" max="64" width="3.33203125" style="1" customWidth="1"/>
    <col min="65" max="65" width="12.83203125" style="1" customWidth="1"/>
    <col min="66" max="66" width="11.6640625" style="1" customWidth="1"/>
    <col min="67" max="67" width="19.1640625" style="1" bestFit="1" customWidth="1"/>
    <col min="68" max="68" width="3.6640625" style="1" customWidth="1"/>
    <col min="69" max="69" width="21.6640625" style="1" bestFit="1" customWidth="1"/>
    <col min="70" max="70" width="18.33203125" style="1" bestFit="1" customWidth="1"/>
    <col min="71" max="71" width="24.33203125" style="1" bestFit="1" customWidth="1"/>
    <col min="72" max="72" width="3.33203125" style="1" customWidth="1"/>
    <col min="73" max="73" width="23" style="1" bestFit="1" customWidth="1"/>
    <col min="74" max="74" width="17.83203125" style="1" bestFit="1" customWidth="1"/>
    <col min="75" max="75" width="23.6640625" style="1" bestFit="1" customWidth="1"/>
    <col min="76" max="76" width="23.1640625" style="1" bestFit="1" customWidth="1"/>
    <col min="77" max="77" width="18.5" style="1" bestFit="1" customWidth="1"/>
    <col min="78" max="78" width="26" style="1" bestFit="1" customWidth="1"/>
    <col min="79" max="88" width="10.83203125" style="1" customWidth="1"/>
    <col min="89" max="16384" width="10.83203125" style="1"/>
  </cols>
  <sheetData>
    <row r="2" spans="2:78" x14ac:dyDescent="0.2">
      <c r="B2" s="1" t="s">
        <v>0</v>
      </c>
      <c r="O2" s="1" t="s">
        <v>1</v>
      </c>
      <c r="AK2" s="1" t="s">
        <v>2</v>
      </c>
      <c r="AM2" s="1" t="s">
        <v>3</v>
      </c>
      <c r="AN2" s="1" t="s">
        <v>4</v>
      </c>
      <c r="AP2" s="1" t="s">
        <v>5</v>
      </c>
      <c r="AQ2" s="1" t="s">
        <v>6</v>
      </c>
      <c r="AZ2" s="1" t="s">
        <v>7</v>
      </c>
      <c r="BC2" s="1" t="s">
        <v>8</v>
      </c>
      <c r="BF2" s="1" t="s">
        <v>9</v>
      </c>
      <c r="BI2" s="1" t="s">
        <v>10</v>
      </c>
      <c r="BM2" s="1" t="s">
        <v>11</v>
      </c>
      <c r="BQ2" s="1" t="s">
        <v>12</v>
      </c>
      <c r="BU2" s="1" t="s">
        <v>13</v>
      </c>
    </row>
    <row r="3" spans="2:78" x14ac:dyDescent="0.2"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7" t="s">
        <v>25</v>
      </c>
      <c r="O3" s="15" t="s">
        <v>26</v>
      </c>
      <c r="P3" s="15" t="s">
        <v>27</v>
      </c>
      <c r="Q3" s="15" t="s">
        <v>28</v>
      </c>
      <c r="R3" s="15" t="s">
        <v>29</v>
      </c>
      <c r="S3" s="15" t="s">
        <v>30</v>
      </c>
      <c r="T3" s="7" t="s">
        <v>31</v>
      </c>
      <c r="U3" s="15" t="s">
        <v>32</v>
      </c>
      <c r="V3" s="15" t="s">
        <v>33</v>
      </c>
      <c r="W3" s="15" t="s">
        <v>34</v>
      </c>
      <c r="X3" s="15" t="s">
        <v>35</v>
      </c>
      <c r="Y3" s="15" t="s">
        <v>36</v>
      </c>
      <c r="Z3" s="15" t="s">
        <v>37</v>
      </c>
      <c r="AA3" s="15" t="s">
        <v>38</v>
      </c>
      <c r="AB3" s="15" t="s">
        <v>39</v>
      </c>
      <c r="AC3" s="15" t="s">
        <v>40</v>
      </c>
      <c r="AD3" s="15" t="s">
        <v>41</v>
      </c>
      <c r="AE3" s="15" t="s">
        <v>42</v>
      </c>
      <c r="AF3" s="15" t="s">
        <v>43</v>
      </c>
      <c r="AG3" s="15" t="s">
        <v>44</v>
      </c>
      <c r="AH3" s="15" t="s">
        <v>45</v>
      </c>
      <c r="AI3" s="15" t="s">
        <v>46</v>
      </c>
      <c r="AK3" s="4" t="s">
        <v>47</v>
      </c>
      <c r="AL3" s="4" t="s">
        <v>48</v>
      </c>
      <c r="AM3" s="3" t="s">
        <v>49</v>
      </c>
      <c r="AN3" s="6" t="s">
        <v>49</v>
      </c>
      <c r="AO3" s="7" t="s">
        <v>50</v>
      </c>
      <c r="AP3" s="3" t="s">
        <v>49</v>
      </c>
      <c r="AQ3" s="6" t="s">
        <v>49</v>
      </c>
      <c r="AR3" s="7" t="s">
        <v>50</v>
      </c>
      <c r="AS3" s="4" t="s">
        <v>51</v>
      </c>
      <c r="AT3" s="4" t="s">
        <v>52</v>
      </c>
      <c r="AU3" s="4" t="s">
        <v>53</v>
      </c>
      <c r="AV3" s="4" t="s">
        <v>54</v>
      </c>
      <c r="AW3" s="4" t="s">
        <v>55</v>
      </c>
      <c r="AX3" s="4" t="s">
        <v>56</v>
      </c>
      <c r="AY3" s="4" t="s">
        <v>57</v>
      </c>
      <c r="AZ3" s="3" t="s">
        <v>58</v>
      </c>
      <c r="BA3" s="3" t="s">
        <v>59</v>
      </c>
      <c r="BB3" s="3" t="s">
        <v>60</v>
      </c>
      <c r="BC3" s="6" t="s">
        <v>58</v>
      </c>
      <c r="BD3" s="6" t="s">
        <v>59</v>
      </c>
      <c r="BE3" s="6" t="s">
        <v>60</v>
      </c>
      <c r="BF3" s="3" t="s">
        <v>58</v>
      </c>
      <c r="BG3" s="3" t="s">
        <v>59</v>
      </c>
      <c r="BH3" s="3" t="s">
        <v>60</v>
      </c>
      <c r="BI3" s="6" t="s">
        <v>58</v>
      </c>
      <c r="BJ3" s="6" t="s">
        <v>59</v>
      </c>
      <c r="BK3" s="6" t="s">
        <v>60</v>
      </c>
      <c r="BM3" s="7" t="s">
        <v>61</v>
      </c>
      <c r="BN3" s="7" t="s">
        <v>62</v>
      </c>
      <c r="BO3" s="7" t="s">
        <v>63</v>
      </c>
      <c r="BQ3" s="7" t="s">
        <v>64</v>
      </c>
      <c r="BR3" s="7" t="s">
        <v>65</v>
      </c>
      <c r="BS3" s="7" t="s">
        <v>66</v>
      </c>
      <c r="BU3" s="7" t="s">
        <v>61</v>
      </c>
      <c r="BV3" s="7" t="s">
        <v>63</v>
      </c>
      <c r="BW3" s="7" t="s">
        <v>67</v>
      </c>
      <c r="BX3" s="7" t="s">
        <v>68</v>
      </c>
      <c r="BY3" s="7" t="s">
        <v>69</v>
      </c>
      <c r="BZ3" s="7" t="s">
        <v>70</v>
      </c>
    </row>
    <row r="4" spans="2:78" x14ac:dyDescent="0.2">
      <c r="B4" s="14" t="s">
        <v>71</v>
      </c>
      <c r="C4" s="13" t="s">
        <v>72</v>
      </c>
      <c r="D4" s="13">
        <v>0</v>
      </c>
      <c r="E4" s="13">
        <v>1.6231455339999999E-2</v>
      </c>
      <c r="F4" s="13">
        <v>7.0449024900000004E-2</v>
      </c>
      <c r="G4" s="13">
        <v>0.11456844939999999</v>
      </c>
      <c r="H4" s="13">
        <v>0</v>
      </c>
      <c r="I4" s="13">
        <v>0.42269136727000001</v>
      </c>
      <c r="J4" s="13">
        <v>6577.9712840000002</v>
      </c>
      <c r="K4" s="13">
        <v>6324.1328800000001</v>
      </c>
      <c r="L4" s="13">
        <v>0.1113094593</v>
      </c>
      <c r="M4" s="11" t="e">
        <f t="shared" ref="M4:M35" si="0">BY4/0.22/14</f>
        <v>#REF!</v>
      </c>
      <c r="O4" s="16">
        <v>122.135409</v>
      </c>
      <c r="P4" s="16">
        <v>-10.071578000000001</v>
      </c>
      <c r="Q4" s="16">
        <v>73.297528</v>
      </c>
      <c r="R4" s="16">
        <v>77.158259999999999</v>
      </c>
      <c r="S4" s="16">
        <v>59.694023999999999</v>
      </c>
      <c r="T4" s="11">
        <v>21.986353300000001</v>
      </c>
      <c r="U4" s="17"/>
      <c r="V4" s="17"/>
      <c r="W4" s="16">
        <v>26.556269</v>
      </c>
      <c r="X4" s="16">
        <v>8.6278919999999992</v>
      </c>
      <c r="Y4" s="16"/>
      <c r="Z4" s="17">
        <v>-96.133976000000004</v>
      </c>
      <c r="AA4" s="17">
        <v>-96.133976000000004</v>
      </c>
      <c r="AB4" s="17"/>
      <c r="AC4" s="17"/>
      <c r="AD4" s="17"/>
      <c r="AE4" s="17"/>
      <c r="AF4" s="16">
        <v>4.7546840000000001</v>
      </c>
      <c r="AG4" s="16">
        <v>-0.13628299999999999</v>
      </c>
      <c r="AH4" s="16">
        <v>576.81126900000004</v>
      </c>
      <c r="AI4" s="16">
        <v>576.81126900000004</v>
      </c>
      <c r="AK4" s="1" t="str">
        <f t="shared" ref="AK4:AK35" si="1">B4</f>
        <v>SE_Ethanol_Dehydration_NGfuel</v>
      </c>
      <c r="AL4" s="1" t="str">
        <f t="shared" ref="AL4:AL35" si="2">C4</f>
        <v>Ethanol</v>
      </c>
      <c r="AM4" s="12" t="e">
        <f>SUM(AS4:AY4)+BA4+BB4</f>
        <v>#REF!</v>
      </c>
      <c r="AN4" s="12" t="e">
        <f>SUM(AS4:AY4)+BD4+BE4</f>
        <v>#REF!</v>
      </c>
      <c r="AO4" s="5" t="e">
        <f t="shared" ref="AO4:AO35" si="3">AM4-AN4</f>
        <v>#REF!</v>
      </c>
      <c r="AP4" s="12" t="e">
        <f>SUM(AS4:AY4)+BG4+BH4</f>
        <v>#REF!</v>
      </c>
      <c r="AQ4" s="12" t="e">
        <f>SUM(AS4:AY4)+BJ4+BK4</f>
        <v>#REF!</v>
      </c>
      <c r="AR4" s="5" t="e">
        <f t="shared" ref="AR4:AR35" si="4">AP4-AQ4</f>
        <v>#REF!</v>
      </c>
      <c r="AS4" s="5">
        <f t="shared" ref="AS4:AS35" si="5">D4/F4*X4</f>
        <v>0</v>
      </c>
      <c r="AT4" s="1">
        <f>E4/F4*W4</f>
        <v>6.1185643787459494</v>
      </c>
      <c r="AU4" s="1">
        <f>1/F4*T4</f>
        <v>312.08882353175051</v>
      </c>
      <c r="AV4" s="1">
        <f>G4/F4*AF4</f>
        <v>7.7323536278922944</v>
      </c>
      <c r="AW4" s="1">
        <f>J4/F4/(0.9*8760)</f>
        <v>11.843235666463674</v>
      </c>
      <c r="AX4" s="1">
        <f>K4/F4/(0.9*8760)</f>
        <v>11.38621511864168</v>
      </c>
      <c r="AY4" s="1">
        <f>L4/F4</f>
        <v>1.5799999994038241</v>
      </c>
      <c r="AZ4" s="1" t="e">
        <f t="shared" ref="AZ4:AZ35" si="6">BV4+BW4+BX4</f>
        <v>#REF!</v>
      </c>
      <c r="BA4" s="1">
        <f>(O4+P4)*-1*H4/F4</f>
        <v>0</v>
      </c>
      <c r="BB4" s="1" t="e">
        <f>AZ4*O4</f>
        <v>#REF!</v>
      </c>
      <c r="BC4" s="1" t="e">
        <f t="shared" ref="BC4:BC35" si="7">BV4+BW4</f>
        <v>#REF!</v>
      </c>
      <c r="BD4" s="1">
        <f>P4*H4*-1/F4</f>
        <v>0</v>
      </c>
      <c r="BE4" s="1" t="e">
        <f>BC4*O4</f>
        <v>#REF!</v>
      </c>
      <c r="BF4" s="1" t="e">
        <f t="shared" ref="BF4:BF35" si="8">SUM(BU4:BY4)</f>
        <v>#REF!</v>
      </c>
      <c r="BG4" s="1">
        <f>(O4+P4)*-1*H4/F4</f>
        <v>0</v>
      </c>
      <c r="BH4" s="1" t="e">
        <f>BF4*O4</f>
        <v>#REF!</v>
      </c>
      <c r="BI4" s="1" t="e">
        <f t="shared" ref="BI4:BI35" si="9">BU4+BV4+BW4+BY4</f>
        <v>#REF!</v>
      </c>
      <c r="BJ4" s="1">
        <f>H4/F4*P4*-1</f>
        <v>0</v>
      </c>
      <c r="BK4" s="1" t="e">
        <f>O4*BI4</f>
        <v>#REF!</v>
      </c>
      <c r="BM4" s="9">
        <v>3.14</v>
      </c>
      <c r="BN4" s="10">
        <v>0.22181100240000001</v>
      </c>
      <c r="BO4" s="9">
        <v>0.18104824</v>
      </c>
      <c r="BQ4" s="10">
        <f>1/F4*BN4</f>
        <v>3.1485319025331178</v>
      </c>
      <c r="BR4" s="10">
        <f>G4/F4*BO4</f>
        <v>0.29443155746786004</v>
      </c>
      <c r="BS4" s="10">
        <f t="shared" ref="BS4:BS35" si="10">BQ4+BR4</f>
        <v>3.442963460000978</v>
      </c>
      <c r="BU4" s="10">
        <f t="shared" ref="BU4:BU35" si="11">BM4</f>
        <v>3.14</v>
      </c>
      <c r="BV4" s="10" t="e">
        <f>#REF!/F4*BO4</f>
        <v>#REF!</v>
      </c>
      <c r="BW4" s="10">
        <f>I4/F4</f>
        <v>5.9999605086088277</v>
      </c>
      <c r="BX4" s="10">
        <f>H4/F4</f>
        <v>0</v>
      </c>
      <c r="BY4" s="10" t="e">
        <f t="shared" ref="BY4:BY35" si="12">BS4-SUM(BU4:BX4)</f>
        <v>#REF!</v>
      </c>
      <c r="BZ4" s="10" t="e">
        <f t="shared" ref="BZ4:BZ35" si="13">SUM(BU4:BY4)</f>
        <v>#REF!</v>
      </c>
    </row>
    <row r="5" spans="2:78" x14ac:dyDescent="0.2">
      <c r="B5" s="14" t="s">
        <v>73</v>
      </c>
      <c r="C5" s="13" t="s">
        <v>72</v>
      </c>
      <c r="D5" s="13">
        <v>0.1123387839</v>
      </c>
      <c r="E5" s="13">
        <v>1.6231455339999999E-2</v>
      </c>
      <c r="F5" s="13">
        <v>7.0449024900000004E-2</v>
      </c>
      <c r="G5" s="13">
        <v>0</v>
      </c>
      <c r="H5" s="13">
        <v>0</v>
      </c>
      <c r="I5" s="13">
        <v>0.12825981766</v>
      </c>
      <c r="J5" s="13">
        <v>6577.9712840000002</v>
      </c>
      <c r="K5" s="13">
        <v>6324.1328800000001</v>
      </c>
      <c r="L5" s="13">
        <v>0.1113094593</v>
      </c>
      <c r="M5" s="11" t="e">
        <f t="shared" si="0"/>
        <v>#REF!</v>
      </c>
      <c r="O5" s="16">
        <v>122.135409</v>
      </c>
      <c r="P5" s="16">
        <v>-10.071578000000001</v>
      </c>
      <c r="Q5" s="16">
        <v>73.297528</v>
      </c>
      <c r="R5" s="16">
        <v>77.158259999999999</v>
      </c>
      <c r="S5" s="16">
        <v>59.694023999999999</v>
      </c>
      <c r="T5" s="11">
        <v>21.986353300000001</v>
      </c>
      <c r="U5" s="17"/>
      <c r="V5" s="17"/>
      <c r="W5" s="16">
        <v>26.556269</v>
      </c>
      <c r="X5" s="16">
        <v>8.6278919999999992</v>
      </c>
      <c r="Y5" s="16"/>
      <c r="Z5" s="17">
        <v>-96.133976000000004</v>
      </c>
      <c r="AA5" s="17">
        <v>-96.133976000000004</v>
      </c>
      <c r="AB5" s="17"/>
      <c r="AC5" s="17"/>
      <c r="AD5" s="17"/>
      <c r="AE5" s="17"/>
      <c r="AF5" s="16">
        <v>4.7546840000000001</v>
      </c>
      <c r="AG5" s="16">
        <v>-0.13628299999999999</v>
      </c>
      <c r="AH5" s="16">
        <v>576.81126900000004</v>
      </c>
      <c r="AI5" s="16">
        <v>576.81126900000004</v>
      </c>
      <c r="AK5" s="1" t="str">
        <f t="shared" si="1"/>
        <v>SE_Ethanol_Dehydration_H2fuel</v>
      </c>
      <c r="AL5" s="1" t="str">
        <f t="shared" si="2"/>
        <v>Ethanol</v>
      </c>
      <c r="AM5" s="12" t="e">
        <f>SUM(AS5:AY5)+BA5+BB5</f>
        <v>#REF!</v>
      </c>
      <c r="AN5" s="12" t="e">
        <f>SUM(AS5:AY5)+BD5+BE5</f>
        <v>#REF!</v>
      </c>
      <c r="AO5" s="5" t="e">
        <f t="shared" si="3"/>
        <v>#REF!</v>
      </c>
      <c r="AP5" s="12" t="e">
        <f>SUM(AS5:AY5)+BG5+BH5</f>
        <v>#REF!</v>
      </c>
      <c r="AQ5" s="12" t="e">
        <f>SUM(AS5:AY5)+BJ5+BK5</f>
        <v>#REF!</v>
      </c>
      <c r="AR5" s="5" t="e">
        <f t="shared" si="4"/>
        <v>#REF!</v>
      </c>
      <c r="AS5" s="5">
        <f t="shared" si="5"/>
        <v>13.758130737456648</v>
      </c>
      <c r="AT5" s="1">
        <f>E5/F5*W5</f>
        <v>6.1185643787459494</v>
      </c>
      <c r="AU5" s="1">
        <f>1/F5*T5</f>
        <v>312.08882353175051</v>
      </c>
      <c r="AV5" s="1">
        <f>G5/F5*AF5</f>
        <v>0</v>
      </c>
      <c r="AW5" s="1">
        <f>J5/F5/(0.9*8760)</f>
        <v>11.843235666463674</v>
      </c>
      <c r="AX5" s="1">
        <f>K5/F5/(0.9*8760)</f>
        <v>11.38621511864168</v>
      </c>
      <c r="AY5" s="1">
        <f>L5/F5</f>
        <v>1.5799999994038241</v>
      </c>
      <c r="AZ5" s="1" t="e">
        <f t="shared" si="6"/>
        <v>#REF!</v>
      </c>
      <c r="BA5" s="1">
        <f>(O5+P5)*-1*H5/F5</f>
        <v>0</v>
      </c>
      <c r="BB5" s="1" t="e">
        <f>AZ5*O5</f>
        <v>#REF!</v>
      </c>
      <c r="BC5" s="1" t="e">
        <f t="shared" si="7"/>
        <v>#REF!</v>
      </c>
      <c r="BD5" s="1">
        <f>P5*H5*-1/F5</f>
        <v>0</v>
      </c>
      <c r="BE5" s="1" t="e">
        <f>BC5*O5</f>
        <v>#REF!</v>
      </c>
      <c r="BF5" s="1" t="e">
        <f t="shared" si="8"/>
        <v>#REF!</v>
      </c>
      <c r="BG5" s="1">
        <f>(O5+P5)*-1*H5/F5</f>
        <v>0</v>
      </c>
      <c r="BH5" s="1" t="e">
        <f>BF5*O5</f>
        <v>#REF!</v>
      </c>
      <c r="BI5" s="1" t="e">
        <f t="shared" si="9"/>
        <v>#REF!</v>
      </c>
      <c r="BJ5" s="1">
        <f>H5/F5*P5*-1</f>
        <v>0</v>
      </c>
      <c r="BK5" s="1" t="e">
        <f>O5*BI5</f>
        <v>#REF!</v>
      </c>
      <c r="BM5" s="9">
        <v>3.14</v>
      </c>
      <c r="BN5" s="10">
        <v>0.22181100240000001</v>
      </c>
      <c r="BO5" s="9">
        <v>0.18104824</v>
      </c>
      <c r="BQ5" s="10">
        <f>1/F5*BN5</f>
        <v>3.1485319025331178</v>
      </c>
      <c r="BR5" s="10">
        <f>G5/F5*BO5</f>
        <v>0</v>
      </c>
      <c r="BS5" s="10">
        <f t="shared" si="10"/>
        <v>3.1485319025331178</v>
      </c>
      <c r="BU5" s="10">
        <f t="shared" si="11"/>
        <v>3.14</v>
      </c>
      <c r="BV5" s="10" t="e">
        <f>#REF!/F5*BO5</f>
        <v>#REF!</v>
      </c>
      <c r="BW5" s="10">
        <f>I5/F5</f>
        <v>1.820604583840024</v>
      </c>
      <c r="BX5" s="10">
        <f>H5/F5</f>
        <v>0</v>
      </c>
      <c r="BY5" s="10" t="e">
        <f t="shared" si="12"/>
        <v>#REF!</v>
      </c>
      <c r="BZ5" s="10" t="e">
        <f t="shared" si="13"/>
        <v>#REF!</v>
      </c>
    </row>
    <row r="6" spans="2:78" x14ac:dyDescent="0.2">
      <c r="B6" s="14" t="s">
        <v>74</v>
      </c>
      <c r="C6" s="13" t="s">
        <v>72</v>
      </c>
      <c r="D6" s="13">
        <v>0</v>
      </c>
      <c r="E6" s="13">
        <v>1.6231455339999999E-2</v>
      </c>
      <c r="F6" s="13">
        <v>7.0449024900000004E-2</v>
      </c>
      <c r="G6" s="13">
        <v>0.11456844939999999</v>
      </c>
      <c r="H6" s="13">
        <v>0</v>
      </c>
      <c r="I6" s="13">
        <v>0.42269136727000001</v>
      </c>
      <c r="J6" s="13">
        <v>6577.9712840000002</v>
      </c>
      <c r="K6" s="13">
        <v>6324.1328800000001</v>
      </c>
      <c r="L6" s="13">
        <v>0.1113094593</v>
      </c>
      <c r="M6" s="11" t="e">
        <f t="shared" si="0"/>
        <v>#REF!</v>
      </c>
      <c r="O6" s="16">
        <v>122.135409</v>
      </c>
      <c r="P6" s="16">
        <v>-6.4965359999999999</v>
      </c>
      <c r="Q6" s="16">
        <v>117.625038</v>
      </c>
      <c r="R6" s="16">
        <v>88.648826</v>
      </c>
      <c r="S6" s="16">
        <v>72.811197000000007</v>
      </c>
      <c r="T6" s="11">
        <v>21.986353300000001</v>
      </c>
      <c r="U6" s="17"/>
      <c r="V6" s="17"/>
      <c r="W6" s="16">
        <v>25.313632999999999</v>
      </c>
      <c r="X6" s="16">
        <v>8.8090729999999997</v>
      </c>
      <c r="Y6" s="16"/>
      <c r="Z6" s="17">
        <v>0</v>
      </c>
      <c r="AA6" s="17">
        <v>0</v>
      </c>
      <c r="AB6" s="17"/>
      <c r="AC6" s="17"/>
      <c r="AD6" s="17"/>
      <c r="AE6" s="17"/>
      <c r="AF6" s="16">
        <v>11.573017</v>
      </c>
      <c r="AG6" s="16">
        <v>0</v>
      </c>
      <c r="AH6" s="16">
        <v>576.81126900000004</v>
      </c>
      <c r="AI6" s="16">
        <v>0</v>
      </c>
      <c r="AK6" s="1" t="str">
        <f t="shared" si="1"/>
        <v>CA_Ethanol_Dehydration_NGfuel</v>
      </c>
      <c r="AL6" s="1" t="str">
        <f t="shared" si="2"/>
        <v>Ethanol</v>
      </c>
      <c r="AM6" s="12" t="e">
        <f>SUM(AS6:AY6)+BA6+BB6</f>
        <v>#REF!</v>
      </c>
      <c r="AN6" s="12" t="e">
        <f>SUM(AS6:AY6)+BD6+BE6</f>
        <v>#REF!</v>
      </c>
      <c r="AO6" s="5" t="e">
        <f t="shared" si="3"/>
        <v>#REF!</v>
      </c>
      <c r="AP6" s="12" t="e">
        <f>SUM(AS6:AY6)+BG6+BH6</f>
        <v>#REF!</v>
      </c>
      <c r="AQ6" s="12" t="e">
        <f>SUM(AS6:AY6)+BJ6+BK6</f>
        <v>#REF!</v>
      </c>
      <c r="AR6" s="5" t="e">
        <f t="shared" si="4"/>
        <v>#REF!</v>
      </c>
      <c r="AS6" s="5">
        <f t="shared" si="5"/>
        <v>0</v>
      </c>
      <c r="AT6" s="1">
        <f>E6/F6*W6</f>
        <v>5.8322610442923279</v>
      </c>
      <c r="AU6" s="1">
        <f>1/F6*T6</f>
        <v>312.08882353175051</v>
      </c>
      <c r="AV6" s="1">
        <f>G6/F6*AF6</f>
        <v>18.820737610661233</v>
      </c>
      <c r="AW6" s="1">
        <f>J6/F6/(0.9*8760)</f>
        <v>11.843235666463674</v>
      </c>
      <c r="AX6" s="1">
        <f>K6/F6/(0.9*8760)</f>
        <v>11.38621511864168</v>
      </c>
      <c r="AY6" s="1">
        <f>L6/F6</f>
        <v>1.5799999994038241</v>
      </c>
      <c r="AZ6" s="1" t="e">
        <f t="shared" si="6"/>
        <v>#REF!</v>
      </c>
      <c r="BA6" s="1">
        <f>(O6+P6)*-1*H6/F6</f>
        <v>0</v>
      </c>
      <c r="BB6" s="1" t="e">
        <f>AZ6*O6</f>
        <v>#REF!</v>
      </c>
      <c r="BC6" s="1" t="e">
        <f t="shared" si="7"/>
        <v>#REF!</v>
      </c>
      <c r="BD6" s="1">
        <f>P6*H6*-1/F6</f>
        <v>0</v>
      </c>
      <c r="BE6" s="1" t="e">
        <f>BC6*O6</f>
        <v>#REF!</v>
      </c>
      <c r="BF6" s="1" t="e">
        <f t="shared" si="8"/>
        <v>#REF!</v>
      </c>
      <c r="BG6" s="1">
        <f>(O6+P6)*-1*H6/F6</f>
        <v>0</v>
      </c>
      <c r="BH6" s="1" t="e">
        <f>BF6*O6</f>
        <v>#REF!</v>
      </c>
      <c r="BI6" s="1" t="e">
        <f t="shared" si="9"/>
        <v>#REF!</v>
      </c>
      <c r="BJ6" s="1">
        <f>H6/F6*P6*-1</f>
        <v>0</v>
      </c>
      <c r="BK6" s="1" t="e">
        <f>O6*BI6</f>
        <v>#REF!</v>
      </c>
      <c r="BM6" s="9">
        <v>3.14</v>
      </c>
      <c r="BN6" s="10">
        <v>0.22181100240000001</v>
      </c>
      <c r="BO6" s="9">
        <v>0.18104824</v>
      </c>
      <c r="BQ6" s="10">
        <f>1/F6*BN6</f>
        <v>3.1485319025331178</v>
      </c>
      <c r="BR6" s="10">
        <f>G6/F6*BO6</f>
        <v>0.29443155746786004</v>
      </c>
      <c r="BS6" s="10">
        <f t="shared" si="10"/>
        <v>3.442963460000978</v>
      </c>
      <c r="BU6" s="10">
        <f t="shared" si="11"/>
        <v>3.14</v>
      </c>
      <c r="BV6" s="10" t="e">
        <f>#REF!/F6*BO6</f>
        <v>#REF!</v>
      </c>
      <c r="BW6" s="10">
        <f>I6/F6</f>
        <v>5.9999605086088277</v>
      </c>
      <c r="BX6" s="10">
        <f>H6/F6</f>
        <v>0</v>
      </c>
      <c r="BY6" s="10" t="e">
        <f t="shared" si="12"/>
        <v>#REF!</v>
      </c>
      <c r="BZ6" s="10" t="e">
        <f t="shared" si="13"/>
        <v>#REF!</v>
      </c>
    </row>
    <row r="7" spans="2:78" x14ac:dyDescent="0.2">
      <c r="B7" s="14" t="s">
        <v>75</v>
      </c>
      <c r="C7" s="13" t="s">
        <v>72</v>
      </c>
      <c r="D7" s="13">
        <v>0.1123387839</v>
      </c>
      <c r="E7" s="13">
        <v>1.6231455339999999E-2</v>
      </c>
      <c r="F7" s="13">
        <v>7.0449024900000004E-2</v>
      </c>
      <c r="G7" s="13">
        <v>0</v>
      </c>
      <c r="H7" s="13">
        <v>0</v>
      </c>
      <c r="I7" s="13">
        <v>0.12825981766</v>
      </c>
      <c r="J7" s="13">
        <v>6577.9712840000002</v>
      </c>
      <c r="K7" s="13">
        <v>6324.1328800000001</v>
      </c>
      <c r="L7" s="13">
        <v>0.1113094593</v>
      </c>
      <c r="M7" s="11" t="e">
        <f t="shared" si="0"/>
        <v>#REF!</v>
      </c>
      <c r="O7" s="16">
        <v>122.135409</v>
      </c>
      <c r="P7" s="16">
        <v>-6.4965359999999999</v>
      </c>
      <c r="Q7" s="16">
        <v>117.625038</v>
      </c>
      <c r="R7" s="16">
        <v>88.648826</v>
      </c>
      <c r="S7" s="16">
        <v>72.811197000000007</v>
      </c>
      <c r="T7" s="11">
        <v>21.986353300000001</v>
      </c>
      <c r="U7" s="17"/>
      <c r="V7" s="17"/>
      <c r="W7" s="16">
        <v>25.313632999999999</v>
      </c>
      <c r="X7" s="16">
        <v>8.8090729999999997</v>
      </c>
      <c r="Y7" s="16"/>
      <c r="Z7" s="17">
        <v>0</v>
      </c>
      <c r="AA7" s="17">
        <v>0</v>
      </c>
      <c r="AB7" s="17"/>
      <c r="AC7" s="17"/>
      <c r="AD7" s="17"/>
      <c r="AE7" s="17"/>
      <c r="AF7" s="16">
        <v>11.573017</v>
      </c>
      <c r="AG7" s="16">
        <v>0</v>
      </c>
      <c r="AH7" s="16">
        <v>576.81126900000004</v>
      </c>
      <c r="AI7" s="16">
        <v>0</v>
      </c>
      <c r="AK7" s="1" t="str">
        <f t="shared" si="1"/>
        <v>CA_Ethanol_Dehydration_H2fuel</v>
      </c>
      <c r="AL7" s="1" t="str">
        <f t="shared" si="2"/>
        <v>Ethanol</v>
      </c>
      <c r="AM7" s="12" t="e">
        <f>SUM(AS7:AY7)+BA7+BB7</f>
        <v>#REF!</v>
      </c>
      <c r="AN7" s="12" t="e">
        <f>SUM(AS7:AY7)+BD7+BE7</f>
        <v>#REF!</v>
      </c>
      <c r="AO7" s="5" t="e">
        <f t="shared" si="3"/>
        <v>#REF!</v>
      </c>
      <c r="AP7" s="12" t="e">
        <f>SUM(AS7:AY7)+BG7+BH7</f>
        <v>#REF!</v>
      </c>
      <c r="AQ7" s="12" t="e">
        <f>SUM(AS7:AY7)+BJ7+BK7</f>
        <v>#REF!</v>
      </c>
      <c r="AR7" s="5" t="e">
        <f t="shared" si="4"/>
        <v>#REF!</v>
      </c>
      <c r="AS7" s="5">
        <f t="shared" si="5"/>
        <v>14.047043937244398</v>
      </c>
      <c r="AT7" s="1">
        <f>E7/F7*W7</f>
        <v>5.8322610442923279</v>
      </c>
      <c r="AU7" s="1">
        <f>1/F7*T7</f>
        <v>312.08882353175051</v>
      </c>
      <c r="AV7" s="1">
        <f>G7/F7*AF7</f>
        <v>0</v>
      </c>
      <c r="AW7" s="1">
        <f>J7/F7/(0.9*8760)</f>
        <v>11.843235666463674</v>
      </c>
      <c r="AX7" s="1">
        <f>K7/F7/(0.9*8760)</f>
        <v>11.38621511864168</v>
      </c>
      <c r="AY7" s="1">
        <f>L7/F7</f>
        <v>1.5799999994038241</v>
      </c>
      <c r="AZ7" s="1" t="e">
        <f t="shared" si="6"/>
        <v>#REF!</v>
      </c>
      <c r="BA7" s="1">
        <f>(O7+P7)*-1*H7/F7</f>
        <v>0</v>
      </c>
      <c r="BB7" s="1" t="e">
        <f>AZ7*O7</f>
        <v>#REF!</v>
      </c>
      <c r="BC7" s="1" t="e">
        <f t="shared" si="7"/>
        <v>#REF!</v>
      </c>
      <c r="BD7" s="1">
        <f>P7*H7*-1/F7</f>
        <v>0</v>
      </c>
      <c r="BE7" s="1" t="e">
        <f>BC7*O7</f>
        <v>#REF!</v>
      </c>
      <c r="BF7" s="1" t="e">
        <f t="shared" si="8"/>
        <v>#REF!</v>
      </c>
      <c r="BG7" s="1">
        <f>(O7+P7)*-1*H7/F7</f>
        <v>0</v>
      </c>
      <c r="BH7" s="1" t="e">
        <f>BF7*O7</f>
        <v>#REF!</v>
      </c>
      <c r="BI7" s="1" t="e">
        <f t="shared" si="9"/>
        <v>#REF!</v>
      </c>
      <c r="BJ7" s="1">
        <f>H7/F7*P7*-1</f>
        <v>0</v>
      </c>
      <c r="BK7" s="1" t="e">
        <f>O7*BI7</f>
        <v>#REF!</v>
      </c>
      <c r="BM7" s="9">
        <v>3.14</v>
      </c>
      <c r="BN7" s="10">
        <v>0.22181100240000001</v>
      </c>
      <c r="BO7" s="9">
        <v>0.18104824</v>
      </c>
      <c r="BQ7" s="10">
        <f>1/F7*BN7</f>
        <v>3.1485319025331178</v>
      </c>
      <c r="BR7" s="10">
        <f>G7/F7*BO7</f>
        <v>0</v>
      </c>
      <c r="BS7" s="10">
        <f t="shared" si="10"/>
        <v>3.1485319025331178</v>
      </c>
      <c r="BU7" s="10">
        <f t="shared" si="11"/>
        <v>3.14</v>
      </c>
      <c r="BV7" s="10" t="e">
        <f>#REF!/F7*BO7</f>
        <v>#REF!</v>
      </c>
      <c r="BW7" s="10">
        <f>I7/F7</f>
        <v>1.820604583840024</v>
      </c>
      <c r="BX7" s="10">
        <f>H7/F7</f>
        <v>0</v>
      </c>
      <c r="BY7" s="10" t="e">
        <f t="shared" si="12"/>
        <v>#REF!</v>
      </c>
      <c r="BZ7" s="10" t="e">
        <f t="shared" si="13"/>
        <v>#REF!</v>
      </c>
    </row>
    <row r="8" spans="2:78" x14ac:dyDescent="0.2">
      <c r="B8" s="14"/>
      <c r="C8" s="13" t="s">
        <v>72</v>
      </c>
      <c r="D8" s="13"/>
      <c r="E8" s="13"/>
      <c r="F8" s="13"/>
      <c r="G8" s="13"/>
      <c r="H8" s="13"/>
      <c r="I8" s="13"/>
      <c r="J8" s="13"/>
      <c r="K8" s="13"/>
      <c r="L8" s="13"/>
      <c r="M8" s="11" t="e">
        <f t="shared" si="0"/>
        <v>#DIV/0!</v>
      </c>
      <c r="O8" s="16"/>
      <c r="P8" s="16"/>
      <c r="Q8" s="16"/>
      <c r="R8" s="16"/>
      <c r="S8" s="16"/>
      <c r="T8" s="11">
        <v>21.986353300000001</v>
      </c>
      <c r="U8" s="17"/>
      <c r="V8" s="17"/>
      <c r="W8" s="16"/>
      <c r="X8" s="16"/>
      <c r="Y8" s="16"/>
      <c r="Z8" s="17"/>
      <c r="AA8" s="17"/>
      <c r="AB8" s="17"/>
      <c r="AC8" s="17"/>
      <c r="AD8" s="17"/>
      <c r="AE8" s="17"/>
      <c r="AF8" s="16"/>
      <c r="AG8" s="16"/>
      <c r="AH8" s="16"/>
      <c r="AI8" s="16"/>
      <c r="AK8" s="1">
        <f t="shared" si="1"/>
        <v>0</v>
      </c>
      <c r="AL8" s="1" t="str">
        <f t="shared" si="2"/>
        <v>Ethanol</v>
      </c>
      <c r="AM8" s="12" t="e">
        <f>SUM(AS8:AY8)+BA8+BB8</f>
        <v>#DIV/0!</v>
      </c>
      <c r="AN8" s="12" t="e">
        <f>SUM(AS8:AY8)+BD8+BE8</f>
        <v>#DIV/0!</v>
      </c>
      <c r="AO8" s="5" t="e">
        <f t="shared" si="3"/>
        <v>#DIV/0!</v>
      </c>
      <c r="AP8" s="12" t="e">
        <f>SUM(AS8:AY8)+BG8+BH8</f>
        <v>#DIV/0!</v>
      </c>
      <c r="AQ8" s="12" t="e">
        <f>SUM(AS8:AY8)+BJ8+BK8</f>
        <v>#DIV/0!</v>
      </c>
      <c r="AR8" s="5" t="e">
        <f t="shared" si="4"/>
        <v>#DIV/0!</v>
      </c>
      <c r="AS8" s="5" t="e">
        <f t="shared" si="5"/>
        <v>#DIV/0!</v>
      </c>
      <c r="AT8" s="1" t="e">
        <f>E8/F8*W8</f>
        <v>#DIV/0!</v>
      </c>
      <c r="AU8" s="1" t="e">
        <f>1/F8*T8</f>
        <v>#DIV/0!</v>
      </c>
      <c r="AV8" s="1" t="e">
        <f>G8/F8*AF8</f>
        <v>#DIV/0!</v>
      </c>
      <c r="AW8" s="1" t="e">
        <f>J8/F8/(0.9*8760)</f>
        <v>#DIV/0!</v>
      </c>
      <c r="AX8" s="1" t="e">
        <f>K8/F8/(0.9*8760)</f>
        <v>#DIV/0!</v>
      </c>
      <c r="AY8" s="1" t="e">
        <f>L8/F8</f>
        <v>#DIV/0!</v>
      </c>
      <c r="AZ8" s="1" t="e">
        <f t="shared" si="6"/>
        <v>#REF!</v>
      </c>
      <c r="BA8" s="1" t="e">
        <f>(O8+P8)*-1*H8/F8</f>
        <v>#DIV/0!</v>
      </c>
      <c r="BB8" s="1" t="e">
        <f>AZ8*O8</f>
        <v>#REF!</v>
      </c>
      <c r="BC8" s="1" t="e">
        <f t="shared" si="7"/>
        <v>#REF!</v>
      </c>
      <c r="BD8" s="1" t="e">
        <f>P8*H8*-1/F8</f>
        <v>#DIV/0!</v>
      </c>
      <c r="BE8" s="1" t="e">
        <f>BC8*O8</f>
        <v>#REF!</v>
      </c>
      <c r="BF8" s="1" t="e">
        <f t="shared" si="8"/>
        <v>#REF!</v>
      </c>
      <c r="BG8" s="1" t="e">
        <f>(O8+P8)*-1*H8/F8</f>
        <v>#DIV/0!</v>
      </c>
      <c r="BH8" s="1" t="e">
        <f>BF8*O8</f>
        <v>#REF!</v>
      </c>
      <c r="BI8" s="1" t="e">
        <f t="shared" si="9"/>
        <v>#REF!</v>
      </c>
      <c r="BJ8" s="1" t="e">
        <f>H8/F8*P8*-1</f>
        <v>#DIV/0!</v>
      </c>
      <c r="BK8" s="1" t="e">
        <f>O8*BI8</f>
        <v>#REF!</v>
      </c>
      <c r="BM8" s="9">
        <v>3.14</v>
      </c>
      <c r="BN8" s="10">
        <v>0.22181100240000001</v>
      </c>
      <c r="BO8" s="9">
        <v>0.18104824</v>
      </c>
      <c r="BQ8" s="10" t="e">
        <f>1/F8*BN8</f>
        <v>#DIV/0!</v>
      </c>
      <c r="BR8" s="10" t="e">
        <f>G8/F8*BO8</f>
        <v>#DIV/0!</v>
      </c>
      <c r="BS8" s="10" t="e">
        <f t="shared" si="10"/>
        <v>#DIV/0!</v>
      </c>
      <c r="BU8" s="10">
        <f t="shared" si="11"/>
        <v>3.14</v>
      </c>
      <c r="BV8" s="10" t="e">
        <f>#REF!/F8*BO8</f>
        <v>#REF!</v>
      </c>
      <c r="BW8" s="10" t="e">
        <f>I8/F8</f>
        <v>#DIV/0!</v>
      </c>
      <c r="BX8" s="10" t="e">
        <f>H8/F8</f>
        <v>#DIV/0!</v>
      </c>
      <c r="BY8" s="10" t="e">
        <f t="shared" si="12"/>
        <v>#DIV/0!</v>
      </c>
      <c r="BZ8" s="10" t="e">
        <f t="shared" si="13"/>
        <v>#REF!</v>
      </c>
    </row>
    <row r="9" spans="2:78" x14ac:dyDescent="0.2">
      <c r="B9" s="14"/>
      <c r="C9" s="13" t="s">
        <v>72</v>
      </c>
      <c r="D9" s="13"/>
      <c r="E9" s="13"/>
      <c r="F9" s="13"/>
      <c r="G9" s="13"/>
      <c r="H9" s="13"/>
      <c r="I9" s="13"/>
      <c r="J9" s="13"/>
      <c r="K9" s="13"/>
      <c r="L9" s="13"/>
      <c r="M9" s="11" t="e">
        <f t="shared" si="0"/>
        <v>#DIV/0!</v>
      </c>
      <c r="O9" s="16"/>
      <c r="P9" s="16"/>
      <c r="Q9" s="16"/>
      <c r="R9" s="16"/>
      <c r="S9" s="16"/>
      <c r="T9" s="11">
        <v>21.986353300000001</v>
      </c>
      <c r="U9" s="17"/>
      <c r="V9" s="17"/>
      <c r="W9" s="16"/>
      <c r="X9" s="16"/>
      <c r="Y9" s="16"/>
      <c r="Z9" s="17"/>
      <c r="AA9" s="17"/>
      <c r="AB9" s="17"/>
      <c r="AC9" s="17"/>
      <c r="AD9" s="17"/>
      <c r="AE9" s="17"/>
      <c r="AF9" s="16"/>
      <c r="AG9" s="16"/>
      <c r="AH9" s="16"/>
      <c r="AI9" s="16"/>
      <c r="AK9" s="1">
        <f t="shared" si="1"/>
        <v>0</v>
      </c>
      <c r="AL9" s="1" t="str">
        <f t="shared" si="2"/>
        <v>Ethanol</v>
      </c>
      <c r="AM9" s="12" t="e">
        <f>SUM(AS9:AY9)+BA9+BB9</f>
        <v>#DIV/0!</v>
      </c>
      <c r="AN9" s="12" t="e">
        <f>SUM(AS9:AY9)+BD9+BE9</f>
        <v>#DIV/0!</v>
      </c>
      <c r="AO9" s="5" t="e">
        <f t="shared" si="3"/>
        <v>#DIV/0!</v>
      </c>
      <c r="AP9" s="12" t="e">
        <f>SUM(AS9:AY9)+BG9+BH9</f>
        <v>#DIV/0!</v>
      </c>
      <c r="AQ9" s="12" t="e">
        <f>SUM(AS9:AY9)+BJ9+BK9</f>
        <v>#DIV/0!</v>
      </c>
      <c r="AR9" s="5" t="e">
        <f t="shared" si="4"/>
        <v>#DIV/0!</v>
      </c>
      <c r="AS9" s="5" t="e">
        <f t="shared" si="5"/>
        <v>#DIV/0!</v>
      </c>
      <c r="AT9" s="1" t="e">
        <f>E9/F9*W9</f>
        <v>#DIV/0!</v>
      </c>
      <c r="AU9" s="1" t="e">
        <f>1/F9*T9</f>
        <v>#DIV/0!</v>
      </c>
      <c r="AV9" s="1" t="e">
        <f>G9/F9*AF9</f>
        <v>#DIV/0!</v>
      </c>
      <c r="AW9" s="1" t="e">
        <f>J9/F9/(0.9*8760)</f>
        <v>#DIV/0!</v>
      </c>
      <c r="AX9" s="1" t="e">
        <f>K9/F9/(0.9*8760)</f>
        <v>#DIV/0!</v>
      </c>
      <c r="AY9" s="1" t="e">
        <f>L9/F9</f>
        <v>#DIV/0!</v>
      </c>
      <c r="AZ9" s="1" t="e">
        <f t="shared" si="6"/>
        <v>#REF!</v>
      </c>
      <c r="BA9" s="1" t="e">
        <f>(O9+P9)*-1*H9/F9</f>
        <v>#DIV/0!</v>
      </c>
      <c r="BB9" s="1" t="e">
        <f>AZ9*O9</f>
        <v>#REF!</v>
      </c>
      <c r="BC9" s="1" t="e">
        <f t="shared" si="7"/>
        <v>#REF!</v>
      </c>
      <c r="BD9" s="1" t="e">
        <f>P9*H9*-1/F9</f>
        <v>#DIV/0!</v>
      </c>
      <c r="BE9" s="1" t="e">
        <f>BC9*O9</f>
        <v>#REF!</v>
      </c>
      <c r="BF9" s="1" t="e">
        <f t="shared" si="8"/>
        <v>#REF!</v>
      </c>
      <c r="BG9" s="1" t="e">
        <f>(O9+P9)*-1*H9/F9</f>
        <v>#DIV/0!</v>
      </c>
      <c r="BH9" s="1" t="e">
        <f>BF9*O9</f>
        <v>#REF!</v>
      </c>
      <c r="BI9" s="1" t="e">
        <f t="shared" si="9"/>
        <v>#REF!</v>
      </c>
      <c r="BJ9" s="1" t="e">
        <f>H9/F9*P9*-1</f>
        <v>#DIV/0!</v>
      </c>
      <c r="BK9" s="1" t="e">
        <f>O9*BI9</f>
        <v>#REF!</v>
      </c>
      <c r="BM9" s="9">
        <v>3.14</v>
      </c>
      <c r="BN9" s="10">
        <v>0.22181100240000001</v>
      </c>
      <c r="BO9" s="9">
        <v>0.18104824</v>
      </c>
      <c r="BQ9" s="10" t="e">
        <f>1/F9*BN9</f>
        <v>#DIV/0!</v>
      </c>
      <c r="BR9" s="10" t="e">
        <f>G9/F9*BO9</f>
        <v>#DIV/0!</v>
      </c>
      <c r="BS9" s="10" t="e">
        <f t="shared" si="10"/>
        <v>#DIV/0!</v>
      </c>
      <c r="BU9" s="10">
        <f t="shared" si="11"/>
        <v>3.14</v>
      </c>
      <c r="BV9" s="10" t="e">
        <f>#REF!/F9*BO9</f>
        <v>#REF!</v>
      </c>
      <c r="BW9" s="10" t="e">
        <f>I9/F9</f>
        <v>#DIV/0!</v>
      </c>
      <c r="BX9" s="10" t="e">
        <f>H9/F9</f>
        <v>#DIV/0!</v>
      </c>
      <c r="BY9" s="10" t="e">
        <f t="shared" si="12"/>
        <v>#DIV/0!</v>
      </c>
      <c r="BZ9" s="10" t="e">
        <f t="shared" si="13"/>
        <v>#REF!</v>
      </c>
    </row>
    <row r="10" spans="2:78" x14ac:dyDescent="0.2">
      <c r="B10" s="14"/>
      <c r="C10" s="13" t="s">
        <v>72</v>
      </c>
      <c r="D10" s="13"/>
      <c r="E10" s="13"/>
      <c r="F10" s="13"/>
      <c r="G10" s="13"/>
      <c r="H10" s="13"/>
      <c r="I10" s="13"/>
      <c r="J10" s="13"/>
      <c r="K10" s="13"/>
      <c r="L10" s="13"/>
      <c r="M10" s="11" t="e">
        <f t="shared" si="0"/>
        <v>#DIV/0!</v>
      </c>
      <c r="O10" s="16"/>
      <c r="P10" s="16"/>
      <c r="Q10" s="16"/>
      <c r="R10" s="16"/>
      <c r="S10" s="16"/>
      <c r="T10" s="11">
        <v>21.986353300000001</v>
      </c>
      <c r="U10" s="17"/>
      <c r="V10" s="17"/>
      <c r="W10" s="16"/>
      <c r="X10" s="16"/>
      <c r="Y10" s="16"/>
      <c r="Z10" s="17"/>
      <c r="AA10" s="17"/>
      <c r="AB10" s="17"/>
      <c r="AC10" s="17"/>
      <c r="AD10" s="17"/>
      <c r="AE10" s="17"/>
      <c r="AF10" s="16"/>
      <c r="AG10" s="16"/>
      <c r="AH10" s="16"/>
      <c r="AI10" s="16"/>
      <c r="AK10" s="1">
        <f t="shared" si="1"/>
        <v>0</v>
      </c>
      <c r="AL10" s="1" t="str">
        <f t="shared" si="2"/>
        <v>Ethanol</v>
      </c>
      <c r="AM10" s="12" t="e">
        <f>SUM(AS10:AY10)+BA10+BB10</f>
        <v>#DIV/0!</v>
      </c>
      <c r="AN10" s="12" t="e">
        <f>SUM(AS10:AY10)+BD10+BE10</f>
        <v>#DIV/0!</v>
      </c>
      <c r="AO10" s="5" t="e">
        <f t="shared" si="3"/>
        <v>#DIV/0!</v>
      </c>
      <c r="AP10" s="12" t="e">
        <f>SUM(AS10:AY10)+BG10+BH10</f>
        <v>#DIV/0!</v>
      </c>
      <c r="AQ10" s="12" t="e">
        <f>SUM(AS10:AY10)+BJ10+BK10</f>
        <v>#DIV/0!</v>
      </c>
      <c r="AR10" s="5" t="e">
        <f t="shared" si="4"/>
        <v>#DIV/0!</v>
      </c>
      <c r="AS10" s="5" t="e">
        <f t="shared" si="5"/>
        <v>#DIV/0!</v>
      </c>
      <c r="AT10" s="1" t="e">
        <f>E10/F10*W10</f>
        <v>#DIV/0!</v>
      </c>
      <c r="AU10" s="1" t="e">
        <f>1/F10*T10</f>
        <v>#DIV/0!</v>
      </c>
      <c r="AV10" s="1" t="e">
        <f>G10/F10*AF10</f>
        <v>#DIV/0!</v>
      </c>
      <c r="AW10" s="1" t="e">
        <f>J10/F10/(0.9*8760)</f>
        <v>#DIV/0!</v>
      </c>
      <c r="AX10" s="1" t="e">
        <f>K10/F10/(0.9*8760)</f>
        <v>#DIV/0!</v>
      </c>
      <c r="AY10" s="1" t="e">
        <f>L10/F10</f>
        <v>#DIV/0!</v>
      </c>
      <c r="AZ10" s="1" t="e">
        <f t="shared" si="6"/>
        <v>#REF!</v>
      </c>
      <c r="BA10" s="1" t="e">
        <f>(O10+P10)*-1*H10/F10</f>
        <v>#DIV/0!</v>
      </c>
      <c r="BB10" s="1" t="e">
        <f>AZ10*O10</f>
        <v>#REF!</v>
      </c>
      <c r="BC10" s="1" t="e">
        <f t="shared" si="7"/>
        <v>#REF!</v>
      </c>
      <c r="BD10" s="1" t="e">
        <f>P10*H10*-1/F10</f>
        <v>#DIV/0!</v>
      </c>
      <c r="BE10" s="1" t="e">
        <f>BC10*O10</f>
        <v>#REF!</v>
      </c>
      <c r="BF10" s="1" t="e">
        <f t="shared" si="8"/>
        <v>#REF!</v>
      </c>
      <c r="BG10" s="1" t="e">
        <f>(O10+P10)*-1*H10/F10</f>
        <v>#DIV/0!</v>
      </c>
      <c r="BH10" s="1" t="e">
        <f>BF10*O10</f>
        <v>#REF!</v>
      </c>
      <c r="BI10" s="1" t="e">
        <f t="shared" si="9"/>
        <v>#REF!</v>
      </c>
      <c r="BJ10" s="1" t="e">
        <f>H10/F10*P10*-1</f>
        <v>#DIV/0!</v>
      </c>
      <c r="BK10" s="1" t="e">
        <f>O10*BI10</f>
        <v>#REF!</v>
      </c>
      <c r="BM10" s="9">
        <v>3.14</v>
      </c>
      <c r="BN10" s="10">
        <v>0.22181100240000001</v>
      </c>
      <c r="BO10" s="9">
        <v>0.18104824</v>
      </c>
      <c r="BQ10" s="10" t="e">
        <f>1/F10*BN10</f>
        <v>#DIV/0!</v>
      </c>
      <c r="BR10" s="10" t="e">
        <f>G10/F10*BO10</f>
        <v>#DIV/0!</v>
      </c>
      <c r="BS10" s="10" t="e">
        <f t="shared" si="10"/>
        <v>#DIV/0!</v>
      </c>
      <c r="BU10" s="10">
        <f t="shared" si="11"/>
        <v>3.14</v>
      </c>
      <c r="BV10" s="10" t="e">
        <f>#REF!/F10*BO10</f>
        <v>#REF!</v>
      </c>
      <c r="BW10" s="10" t="e">
        <f>I10/F10</f>
        <v>#DIV/0!</v>
      </c>
      <c r="BX10" s="10" t="e">
        <f>H10/F10</f>
        <v>#DIV/0!</v>
      </c>
      <c r="BY10" s="10" t="e">
        <f t="shared" si="12"/>
        <v>#DIV/0!</v>
      </c>
      <c r="BZ10" s="10" t="e">
        <f t="shared" si="13"/>
        <v>#REF!</v>
      </c>
    </row>
    <row r="11" spans="2:78" x14ac:dyDescent="0.2">
      <c r="B11" s="14"/>
      <c r="C11" s="13" t="s">
        <v>72</v>
      </c>
      <c r="D11" s="13"/>
      <c r="E11" s="13"/>
      <c r="F11" s="13"/>
      <c r="G11" s="13"/>
      <c r="H11" s="13"/>
      <c r="I11" s="13"/>
      <c r="J11" s="13"/>
      <c r="K11" s="13"/>
      <c r="L11" s="13"/>
      <c r="M11" s="11" t="e">
        <f t="shared" si="0"/>
        <v>#DIV/0!</v>
      </c>
      <c r="O11" s="16"/>
      <c r="P11" s="16"/>
      <c r="Q11" s="16"/>
      <c r="R11" s="16"/>
      <c r="S11" s="16"/>
      <c r="T11" s="11">
        <v>21.986353300000001</v>
      </c>
      <c r="U11" s="17"/>
      <c r="V11" s="17"/>
      <c r="W11" s="16"/>
      <c r="X11" s="16"/>
      <c r="Y11" s="16"/>
      <c r="Z11" s="17"/>
      <c r="AA11" s="17"/>
      <c r="AB11" s="17"/>
      <c r="AC11" s="17"/>
      <c r="AD11" s="17"/>
      <c r="AE11" s="17"/>
      <c r="AF11" s="16"/>
      <c r="AG11" s="16"/>
      <c r="AH11" s="16"/>
      <c r="AI11" s="16"/>
      <c r="AK11" s="1">
        <f t="shared" si="1"/>
        <v>0</v>
      </c>
      <c r="AL11" s="1" t="str">
        <f t="shared" si="2"/>
        <v>Ethanol</v>
      </c>
      <c r="AM11" s="12" t="e">
        <f>SUM(AS11:AY11)+BA11+BB11</f>
        <v>#DIV/0!</v>
      </c>
      <c r="AN11" s="12" t="e">
        <f>SUM(AS11:AY11)+BD11+BE11</f>
        <v>#DIV/0!</v>
      </c>
      <c r="AO11" s="5" t="e">
        <f t="shared" si="3"/>
        <v>#DIV/0!</v>
      </c>
      <c r="AP11" s="12" t="e">
        <f>SUM(AS11:AY11)+BG11+BH11</f>
        <v>#DIV/0!</v>
      </c>
      <c r="AQ11" s="12" t="e">
        <f>SUM(AS11:AY11)+BJ11+BK11</f>
        <v>#DIV/0!</v>
      </c>
      <c r="AR11" s="5" t="e">
        <f t="shared" si="4"/>
        <v>#DIV/0!</v>
      </c>
      <c r="AS11" s="5" t="e">
        <f t="shared" si="5"/>
        <v>#DIV/0!</v>
      </c>
      <c r="AT11" s="1" t="e">
        <f>E11/F11*W11</f>
        <v>#DIV/0!</v>
      </c>
      <c r="AU11" s="1" t="e">
        <f>1/F11*T11</f>
        <v>#DIV/0!</v>
      </c>
      <c r="AV11" s="1" t="e">
        <f>G11/F11*AF11</f>
        <v>#DIV/0!</v>
      </c>
      <c r="AW11" s="1" t="e">
        <f>J11/F11/(0.9*8760)</f>
        <v>#DIV/0!</v>
      </c>
      <c r="AX11" s="1" t="e">
        <f>K11/F11/(0.9*8760)</f>
        <v>#DIV/0!</v>
      </c>
      <c r="AY11" s="1" t="e">
        <f>L11/F11</f>
        <v>#DIV/0!</v>
      </c>
      <c r="AZ11" s="1" t="e">
        <f t="shared" si="6"/>
        <v>#REF!</v>
      </c>
      <c r="BA11" s="1" t="e">
        <f>(O11+P11)*-1*H11/F11</f>
        <v>#DIV/0!</v>
      </c>
      <c r="BB11" s="1" t="e">
        <f>AZ11*O11</f>
        <v>#REF!</v>
      </c>
      <c r="BC11" s="1" t="e">
        <f t="shared" si="7"/>
        <v>#REF!</v>
      </c>
      <c r="BD11" s="1" t="e">
        <f>P11*H11*-1/F11</f>
        <v>#DIV/0!</v>
      </c>
      <c r="BE11" s="1" t="e">
        <f>BC11*O11</f>
        <v>#REF!</v>
      </c>
      <c r="BF11" s="1" t="e">
        <f t="shared" si="8"/>
        <v>#REF!</v>
      </c>
      <c r="BG11" s="1" t="e">
        <f>(O11+P11)*-1*H11/F11</f>
        <v>#DIV/0!</v>
      </c>
      <c r="BH11" s="1" t="e">
        <f>BF11*O11</f>
        <v>#REF!</v>
      </c>
      <c r="BI11" s="1" t="e">
        <f t="shared" si="9"/>
        <v>#REF!</v>
      </c>
      <c r="BJ11" s="1" t="e">
        <f>H11/F11*P11*-1</f>
        <v>#DIV/0!</v>
      </c>
      <c r="BK11" s="1" t="e">
        <f>O11*BI11</f>
        <v>#REF!</v>
      </c>
      <c r="BM11" s="9">
        <v>3.14</v>
      </c>
      <c r="BN11" s="10">
        <v>0.22181100240000001</v>
      </c>
      <c r="BO11" s="9">
        <v>0.18104824</v>
      </c>
      <c r="BQ11" s="10" t="e">
        <f>1/F11*BN11</f>
        <v>#DIV/0!</v>
      </c>
      <c r="BR11" s="10" t="e">
        <f>G11/F11*BO11</f>
        <v>#DIV/0!</v>
      </c>
      <c r="BS11" s="10" t="e">
        <f t="shared" si="10"/>
        <v>#DIV/0!</v>
      </c>
      <c r="BU11" s="10">
        <f t="shared" si="11"/>
        <v>3.14</v>
      </c>
      <c r="BV11" s="10" t="e">
        <f>#REF!/F11*BO11</f>
        <v>#REF!</v>
      </c>
      <c r="BW11" s="10" t="e">
        <f>I11/F11</f>
        <v>#DIV/0!</v>
      </c>
      <c r="BX11" s="10" t="e">
        <f>H11/F11</f>
        <v>#DIV/0!</v>
      </c>
      <c r="BY11" s="10" t="e">
        <f t="shared" si="12"/>
        <v>#DIV/0!</v>
      </c>
      <c r="BZ11" s="10" t="e">
        <f t="shared" si="13"/>
        <v>#REF!</v>
      </c>
    </row>
    <row r="12" spans="2:78" x14ac:dyDescent="0.2">
      <c r="B12" s="14"/>
      <c r="C12" s="13" t="s">
        <v>72</v>
      </c>
      <c r="D12" s="13"/>
      <c r="E12" s="13"/>
      <c r="F12" s="13"/>
      <c r="G12" s="13"/>
      <c r="H12" s="13"/>
      <c r="I12" s="13"/>
      <c r="J12" s="13"/>
      <c r="K12" s="13"/>
      <c r="L12" s="13"/>
      <c r="M12" s="11" t="e">
        <f t="shared" si="0"/>
        <v>#DIV/0!</v>
      </c>
      <c r="O12" s="16"/>
      <c r="P12" s="16"/>
      <c r="Q12" s="16"/>
      <c r="R12" s="16"/>
      <c r="S12" s="16"/>
      <c r="T12" s="11">
        <v>21.986353300000001</v>
      </c>
      <c r="U12" s="17"/>
      <c r="V12" s="17"/>
      <c r="W12" s="16"/>
      <c r="X12" s="16"/>
      <c r="Y12" s="16"/>
      <c r="Z12" s="17"/>
      <c r="AA12" s="17"/>
      <c r="AB12" s="17"/>
      <c r="AC12" s="17"/>
      <c r="AD12" s="17"/>
      <c r="AE12" s="17"/>
      <c r="AF12" s="16"/>
      <c r="AG12" s="16"/>
      <c r="AH12" s="16"/>
      <c r="AI12" s="16"/>
      <c r="AK12" s="1">
        <f t="shared" si="1"/>
        <v>0</v>
      </c>
      <c r="AL12" s="1" t="str">
        <f t="shared" si="2"/>
        <v>Ethanol</v>
      </c>
      <c r="AM12" s="12" t="e">
        <f>SUM(AS12:AY12)+BA12+BB12</f>
        <v>#DIV/0!</v>
      </c>
      <c r="AN12" s="12" t="e">
        <f>SUM(AS12:AY12)+BD12+BE12</f>
        <v>#DIV/0!</v>
      </c>
      <c r="AO12" s="5" t="e">
        <f t="shared" si="3"/>
        <v>#DIV/0!</v>
      </c>
      <c r="AP12" s="12" t="e">
        <f>SUM(AS12:AY12)+BG12+BH12</f>
        <v>#DIV/0!</v>
      </c>
      <c r="AQ12" s="12" t="e">
        <f>SUM(AS12:AY12)+BJ12+BK12</f>
        <v>#DIV/0!</v>
      </c>
      <c r="AR12" s="5" t="e">
        <f t="shared" si="4"/>
        <v>#DIV/0!</v>
      </c>
      <c r="AS12" s="5" t="e">
        <f t="shared" si="5"/>
        <v>#DIV/0!</v>
      </c>
      <c r="AT12" s="1" t="e">
        <f>E12/F12*W12</f>
        <v>#DIV/0!</v>
      </c>
      <c r="AU12" s="1" t="e">
        <f>1/F12*T12</f>
        <v>#DIV/0!</v>
      </c>
      <c r="AV12" s="1" t="e">
        <f>G12/F12*AF12</f>
        <v>#DIV/0!</v>
      </c>
      <c r="AW12" s="1" t="e">
        <f>J12/F12/(0.9*8760)</f>
        <v>#DIV/0!</v>
      </c>
      <c r="AX12" s="1" t="e">
        <f>K12/F12/(0.9*8760)</f>
        <v>#DIV/0!</v>
      </c>
      <c r="AY12" s="1" t="e">
        <f>L12/F12</f>
        <v>#DIV/0!</v>
      </c>
      <c r="AZ12" s="1" t="e">
        <f t="shared" si="6"/>
        <v>#REF!</v>
      </c>
      <c r="BA12" s="1" t="e">
        <f>(O12+P12)*-1*H12/F12</f>
        <v>#DIV/0!</v>
      </c>
      <c r="BB12" s="1" t="e">
        <f>AZ12*O12</f>
        <v>#REF!</v>
      </c>
      <c r="BC12" s="1" t="e">
        <f t="shared" si="7"/>
        <v>#REF!</v>
      </c>
      <c r="BD12" s="1" t="e">
        <f>P12*H12*-1/F12</f>
        <v>#DIV/0!</v>
      </c>
      <c r="BE12" s="1" t="e">
        <f>BC12*O12</f>
        <v>#REF!</v>
      </c>
      <c r="BF12" s="1" t="e">
        <f t="shared" si="8"/>
        <v>#REF!</v>
      </c>
      <c r="BG12" s="1" t="e">
        <f>(O12+P12)*-1*H12/F12</f>
        <v>#DIV/0!</v>
      </c>
      <c r="BH12" s="1" t="e">
        <f>BF12*O12</f>
        <v>#REF!</v>
      </c>
      <c r="BI12" s="1" t="e">
        <f t="shared" si="9"/>
        <v>#REF!</v>
      </c>
      <c r="BJ12" s="1" t="e">
        <f>H12/F12*P12*-1</f>
        <v>#DIV/0!</v>
      </c>
      <c r="BK12" s="1" t="e">
        <f>O12*BI12</f>
        <v>#REF!</v>
      </c>
      <c r="BM12" s="9">
        <v>3.14</v>
      </c>
      <c r="BN12" s="10">
        <v>0.22181100240000001</v>
      </c>
      <c r="BO12" s="9">
        <v>0.18104824</v>
      </c>
      <c r="BQ12" s="10" t="e">
        <f>1/F12*BN12</f>
        <v>#DIV/0!</v>
      </c>
      <c r="BR12" s="10" t="e">
        <f>G12/F12*BO12</f>
        <v>#DIV/0!</v>
      </c>
      <c r="BS12" s="10" t="e">
        <f t="shared" si="10"/>
        <v>#DIV/0!</v>
      </c>
      <c r="BU12" s="10">
        <f t="shared" si="11"/>
        <v>3.14</v>
      </c>
      <c r="BV12" s="10" t="e">
        <f>#REF!/F12*BO12</f>
        <v>#REF!</v>
      </c>
      <c r="BW12" s="10" t="e">
        <f>I12/F12</f>
        <v>#DIV/0!</v>
      </c>
      <c r="BX12" s="10" t="e">
        <f>H12/F12</f>
        <v>#DIV/0!</v>
      </c>
      <c r="BY12" s="10" t="e">
        <f t="shared" si="12"/>
        <v>#DIV/0!</v>
      </c>
      <c r="BZ12" s="10" t="e">
        <f t="shared" si="13"/>
        <v>#REF!</v>
      </c>
    </row>
    <row r="13" spans="2:78" x14ac:dyDescent="0.2">
      <c r="B13" s="14"/>
      <c r="C13" s="13" t="s">
        <v>72</v>
      </c>
      <c r="D13" s="13"/>
      <c r="E13" s="13"/>
      <c r="F13" s="13"/>
      <c r="G13" s="13"/>
      <c r="H13" s="13"/>
      <c r="I13" s="13"/>
      <c r="J13" s="13"/>
      <c r="K13" s="13"/>
      <c r="L13" s="13"/>
      <c r="M13" s="11" t="e">
        <f t="shared" si="0"/>
        <v>#DIV/0!</v>
      </c>
      <c r="O13" s="16"/>
      <c r="P13" s="16"/>
      <c r="Q13" s="16"/>
      <c r="R13" s="16"/>
      <c r="S13" s="16"/>
      <c r="T13" s="11">
        <v>21.986353300000001</v>
      </c>
      <c r="U13" s="17"/>
      <c r="V13" s="17"/>
      <c r="W13" s="16"/>
      <c r="X13" s="16"/>
      <c r="Y13" s="16"/>
      <c r="Z13" s="17"/>
      <c r="AA13" s="17"/>
      <c r="AB13" s="17"/>
      <c r="AC13" s="17"/>
      <c r="AD13" s="17"/>
      <c r="AE13" s="17"/>
      <c r="AF13" s="16"/>
      <c r="AG13" s="16"/>
      <c r="AH13" s="16"/>
      <c r="AI13" s="16"/>
      <c r="AK13" s="1">
        <f t="shared" si="1"/>
        <v>0</v>
      </c>
      <c r="AL13" s="1" t="str">
        <f t="shared" si="2"/>
        <v>Ethanol</v>
      </c>
      <c r="AM13" s="12" t="e">
        <f>SUM(AS13:AY13)+BA13+BB13</f>
        <v>#DIV/0!</v>
      </c>
      <c r="AN13" s="12" t="e">
        <f>SUM(AS13:AY13)+BD13+BE13</f>
        <v>#DIV/0!</v>
      </c>
      <c r="AO13" s="5" t="e">
        <f t="shared" si="3"/>
        <v>#DIV/0!</v>
      </c>
      <c r="AP13" s="12" t="e">
        <f>SUM(AS13:AY13)+BG13+BH13</f>
        <v>#DIV/0!</v>
      </c>
      <c r="AQ13" s="12" t="e">
        <f>SUM(AS13:AY13)+BJ13+BK13</f>
        <v>#DIV/0!</v>
      </c>
      <c r="AR13" s="5" t="e">
        <f t="shared" si="4"/>
        <v>#DIV/0!</v>
      </c>
      <c r="AS13" s="5" t="e">
        <f t="shared" si="5"/>
        <v>#DIV/0!</v>
      </c>
      <c r="AT13" s="1" t="e">
        <f>E13/F13*W13</f>
        <v>#DIV/0!</v>
      </c>
      <c r="AU13" s="1" t="e">
        <f>1/F13*T13</f>
        <v>#DIV/0!</v>
      </c>
      <c r="AV13" s="1" t="e">
        <f>G13/F13*AF13</f>
        <v>#DIV/0!</v>
      </c>
      <c r="AW13" s="1" t="e">
        <f>J13/F13/(0.9*8760)</f>
        <v>#DIV/0!</v>
      </c>
      <c r="AX13" s="1" t="e">
        <f>K13/F13/(0.9*8760)</f>
        <v>#DIV/0!</v>
      </c>
      <c r="AY13" s="1" t="e">
        <f>L13/F13</f>
        <v>#DIV/0!</v>
      </c>
      <c r="AZ13" s="1" t="e">
        <f t="shared" si="6"/>
        <v>#REF!</v>
      </c>
      <c r="BA13" s="1" t="e">
        <f>(O13+P13)*-1*H13/F13</f>
        <v>#DIV/0!</v>
      </c>
      <c r="BB13" s="1" t="e">
        <f>AZ13*O13</f>
        <v>#REF!</v>
      </c>
      <c r="BC13" s="1" t="e">
        <f t="shared" si="7"/>
        <v>#REF!</v>
      </c>
      <c r="BD13" s="1" t="e">
        <f>P13*H13*-1/F13</f>
        <v>#DIV/0!</v>
      </c>
      <c r="BE13" s="1" t="e">
        <f>BC13*O13</f>
        <v>#REF!</v>
      </c>
      <c r="BF13" s="1" t="e">
        <f t="shared" si="8"/>
        <v>#REF!</v>
      </c>
      <c r="BG13" s="1" t="e">
        <f>(O13+P13)*-1*H13/F13</f>
        <v>#DIV/0!</v>
      </c>
      <c r="BH13" s="1" t="e">
        <f>BF13*O13</f>
        <v>#REF!</v>
      </c>
      <c r="BI13" s="1" t="e">
        <f t="shared" si="9"/>
        <v>#REF!</v>
      </c>
      <c r="BJ13" s="1" t="e">
        <f>H13/F13*P13*-1</f>
        <v>#DIV/0!</v>
      </c>
      <c r="BK13" s="1" t="e">
        <f>O13*BI13</f>
        <v>#REF!</v>
      </c>
      <c r="BM13" s="9">
        <v>3.14</v>
      </c>
      <c r="BN13" s="10">
        <v>0.22181100240000001</v>
      </c>
      <c r="BO13" s="9">
        <v>0.18104824</v>
      </c>
      <c r="BQ13" s="10" t="e">
        <f>1/F13*BN13</f>
        <v>#DIV/0!</v>
      </c>
      <c r="BR13" s="10" t="e">
        <f>G13/F13*BO13</f>
        <v>#DIV/0!</v>
      </c>
      <c r="BS13" s="10" t="e">
        <f t="shared" si="10"/>
        <v>#DIV/0!</v>
      </c>
      <c r="BU13" s="10">
        <f t="shared" si="11"/>
        <v>3.14</v>
      </c>
      <c r="BV13" s="10" t="e">
        <f>#REF!/F13*BO13</f>
        <v>#REF!</v>
      </c>
      <c r="BW13" s="10" t="e">
        <f>I13/F13</f>
        <v>#DIV/0!</v>
      </c>
      <c r="BX13" s="10" t="e">
        <f>H13/F13</f>
        <v>#DIV/0!</v>
      </c>
      <c r="BY13" s="10" t="e">
        <f t="shared" si="12"/>
        <v>#DIV/0!</v>
      </c>
      <c r="BZ13" s="10" t="e">
        <f t="shared" si="13"/>
        <v>#REF!</v>
      </c>
    </row>
    <row r="14" spans="2:78" x14ac:dyDescent="0.2">
      <c r="B14" s="14"/>
      <c r="C14" s="13" t="s">
        <v>72</v>
      </c>
      <c r="D14" s="13"/>
      <c r="E14" s="13"/>
      <c r="F14" s="13"/>
      <c r="G14" s="13"/>
      <c r="H14" s="13"/>
      <c r="I14" s="13"/>
      <c r="J14" s="13"/>
      <c r="K14" s="13"/>
      <c r="L14" s="13"/>
      <c r="M14" s="11" t="e">
        <f t="shared" si="0"/>
        <v>#DIV/0!</v>
      </c>
      <c r="O14" s="16"/>
      <c r="P14" s="16"/>
      <c r="Q14" s="16"/>
      <c r="R14" s="16"/>
      <c r="S14" s="16"/>
      <c r="T14" s="11">
        <v>21.986353300000001</v>
      </c>
      <c r="U14" s="17"/>
      <c r="V14" s="17"/>
      <c r="W14" s="16"/>
      <c r="X14" s="16"/>
      <c r="Y14" s="16"/>
      <c r="Z14" s="17"/>
      <c r="AA14" s="17"/>
      <c r="AB14" s="17"/>
      <c r="AC14" s="17"/>
      <c r="AD14" s="17"/>
      <c r="AE14" s="17"/>
      <c r="AF14" s="16"/>
      <c r="AG14" s="16"/>
      <c r="AH14" s="16"/>
      <c r="AI14" s="16"/>
      <c r="AK14" s="1">
        <f t="shared" si="1"/>
        <v>0</v>
      </c>
      <c r="AL14" s="1" t="str">
        <f t="shared" si="2"/>
        <v>Ethanol</v>
      </c>
      <c r="AM14" s="12" t="e">
        <f>SUM(AS14:AY14)+BA14+BB14</f>
        <v>#DIV/0!</v>
      </c>
      <c r="AN14" s="12" t="e">
        <f>SUM(AS14:AY14)+BD14+BE14</f>
        <v>#DIV/0!</v>
      </c>
      <c r="AO14" s="5" t="e">
        <f t="shared" si="3"/>
        <v>#DIV/0!</v>
      </c>
      <c r="AP14" s="12" t="e">
        <f>SUM(AS14:AY14)+BG14+BH14</f>
        <v>#DIV/0!</v>
      </c>
      <c r="AQ14" s="12" t="e">
        <f>SUM(AS14:AY14)+BJ14+BK14</f>
        <v>#DIV/0!</v>
      </c>
      <c r="AR14" s="5" t="e">
        <f t="shared" si="4"/>
        <v>#DIV/0!</v>
      </c>
      <c r="AS14" s="5" t="e">
        <f t="shared" si="5"/>
        <v>#DIV/0!</v>
      </c>
      <c r="AT14" s="1" t="e">
        <f>E14/F14*W14</f>
        <v>#DIV/0!</v>
      </c>
      <c r="AU14" s="1" t="e">
        <f>1/F14*T14</f>
        <v>#DIV/0!</v>
      </c>
      <c r="AV14" s="1" t="e">
        <f>G14/F14*AF14</f>
        <v>#DIV/0!</v>
      </c>
      <c r="AW14" s="1" t="e">
        <f>J14/F14/(0.9*8760)</f>
        <v>#DIV/0!</v>
      </c>
      <c r="AX14" s="1" t="e">
        <f>K14/F14/(0.9*8760)</f>
        <v>#DIV/0!</v>
      </c>
      <c r="AY14" s="1" t="e">
        <f>L14/F14</f>
        <v>#DIV/0!</v>
      </c>
      <c r="AZ14" s="1" t="e">
        <f t="shared" si="6"/>
        <v>#REF!</v>
      </c>
      <c r="BA14" s="1" t="e">
        <f>(O14+P14)*-1*H14/F14</f>
        <v>#DIV/0!</v>
      </c>
      <c r="BB14" s="1" t="e">
        <f>AZ14*O14</f>
        <v>#REF!</v>
      </c>
      <c r="BC14" s="1" t="e">
        <f t="shared" si="7"/>
        <v>#REF!</v>
      </c>
      <c r="BD14" s="1" t="e">
        <f>P14*H14*-1/F14</f>
        <v>#DIV/0!</v>
      </c>
      <c r="BE14" s="1" t="e">
        <f>BC14*O14</f>
        <v>#REF!</v>
      </c>
      <c r="BF14" s="1" t="e">
        <f t="shared" si="8"/>
        <v>#REF!</v>
      </c>
      <c r="BG14" s="1" t="e">
        <f>(O14+P14)*-1*H14/F14</f>
        <v>#DIV/0!</v>
      </c>
      <c r="BH14" s="1" t="e">
        <f>BF14*O14</f>
        <v>#REF!</v>
      </c>
      <c r="BI14" s="1" t="e">
        <f t="shared" si="9"/>
        <v>#REF!</v>
      </c>
      <c r="BJ14" s="1" t="e">
        <f>H14/F14*P14*-1</f>
        <v>#DIV/0!</v>
      </c>
      <c r="BK14" s="1" t="e">
        <f>O14*BI14</f>
        <v>#REF!</v>
      </c>
      <c r="BM14" s="9">
        <v>3.14</v>
      </c>
      <c r="BN14" s="10">
        <v>0.22181100240000001</v>
      </c>
      <c r="BO14" s="9">
        <v>0.18104824</v>
      </c>
      <c r="BQ14" s="10" t="e">
        <f>1/F14*BN14</f>
        <v>#DIV/0!</v>
      </c>
      <c r="BR14" s="10" t="e">
        <f>G14/F14*BO14</f>
        <v>#DIV/0!</v>
      </c>
      <c r="BS14" s="10" t="e">
        <f t="shared" si="10"/>
        <v>#DIV/0!</v>
      </c>
      <c r="BU14" s="10">
        <f t="shared" si="11"/>
        <v>3.14</v>
      </c>
      <c r="BV14" s="10" t="e">
        <f>#REF!/F14*BO14</f>
        <v>#REF!</v>
      </c>
      <c r="BW14" s="10" t="e">
        <f>I14/F14</f>
        <v>#DIV/0!</v>
      </c>
      <c r="BX14" s="10" t="e">
        <f>H14/F14</f>
        <v>#DIV/0!</v>
      </c>
      <c r="BY14" s="10" t="e">
        <f t="shared" si="12"/>
        <v>#DIV/0!</v>
      </c>
      <c r="BZ14" s="10" t="e">
        <f t="shared" si="13"/>
        <v>#REF!</v>
      </c>
    </row>
    <row r="15" spans="2:78" x14ac:dyDescent="0.2">
      <c r="B15" s="14"/>
      <c r="C15" s="13" t="s">
        <v>72</v>
      </c>
      <c r="D15" s="13"/>
      <c r="E15" s="13"/>
      <c r="F15" s="13"/>
      <c r="G15" s="13"/>
      <c r="H15" s="13"/>
      <c r="I15" s="13"/>
      <c r="J15" s="13"/>
      <c r="K15" s="13"/>
      <c r="L15" s="13"/>
      <c r="M15" s="11" t="e">
        <f t="shared" si="0"/>
        <v>#DIV/0!</v>
      </c>
      <c r="O15" s="16"/>
      <c r="P15" s="16"/>
      <c r="Q15" s="16"/>
      <c r="R15" s="16"/>
      <c r="S15" s="16"/>
      <c r="T15" s="11">
        <v>21.986353300000001</v>
      </c>
      <c r="U15" s="17"/>
      <c r="V15" s="17"/>
      <c r="W15" s="16"/>
      <c r="X15" s="16"/>
      <c r="Y15" s="16"/>
      <c r="Z15" s="17"/>
      <c r="AA15" s="17"/>
      <c r="AB15" s="17"/>
      <c r="AC15" s="17"/>
      <c r="AD15" s="17"/>
      <c r="AE15" s="17"/>
      <c r="AF15" s="16"/>
      <c r="AG15" s="16"/>
      <c r="AH15" s="16"/>
      <c r="AI15" s="16"/>
      <c r="AK15" s="1">
        <f t="shared" si="1"/>
        <v>0</v>
      </c>
      <c r="AL15" s="1" t="str">
        <f t="shared" si="2"/>
        <v>Ethanol</v>
      </c>
      <c r="AM15" s="12" t="e">
        <f>SUM(AS15:AY15)+BA15+BB15</f>
        <v>#DIV/0!</v>
      </c>
      <c r="AN15" s="12" t="e">
        <f>SUM(AS15:AY15)+BD15+BE15</f>
        <v>#DIV/0!</v>
      </c>
      <c r="AO15" s="5" t="e">
        <f t="shared" si="3"/>
        <v>#DIV/0!</v>
      </c>
      <c r="AP15" s="12" t="e">
        <f>SUM(AS15:AY15)+BG15+BH15</f>
        <v>#DIV/0!</v>
      </c>
      <c r="AQ15" s="12" t="e">
        <f>SUM(AS15:AY15)+BJ15+BK15</f>
        <v>#DIV/0!</v>
      </c>
      <c r="AR15" s="5" t="e">
        <f t="shared" si="4"/>
        <v>#DIV/0!</v>
      </c>
      <c r="AS15" s="5" t="e">
        <f t="shared" si="5"/>
        <v>#DIV/0!</v>
      </c>
      <c r="AT15" s="1" t="e">
        <f>E15/F15*W15</f>
        <v>#DIV/0!</v>
      </c>
      <c r="AU15" s="1" t="e">
        <f>1/F15*T15</f>
        <v>#DIV/0!</v>
      </c>
      <c r="AV15" s="1" t="e">
        <f>G15/F15*AF15</f>
        <v>#DIV/0!</v>
      </c>
      <c r="AW15" s="1" t="e">
        <f>J15/F15/(0.9*8760)</f>
        <v>#DIV/0!</v>
      </c>
      <c r="AX15" s="1" t="e">
        <f>K15/F15/(0.9*8760)</f>
        <v>#DIV/0!</v>
      </c>
      <c r="AY15" s="1" t="e">
        <f>L15/F15</f>
        <v>#DIV/0!</v>
      </c>
      <c r="AZ15" s="1" t="e">
        <f t="shared" si="6"/>
        <v>#REF!</v>
      </c>
      <c r="BA15" s="1" t="e">
        <f>(O15+P15)*-1*H15/F15</f>
        <v>#DIV/0!</v>
      </c>
      <c r="BB15" s="1" t="e">
        <f>AZ15*O15</f>
        <v>#REF!</v>
      </c>
      <c r="BC15" s="1" t="e">
        <f t="shared" si="7"/>
        <v>#REF!</v>
      </c>
      <c r="BD15" s="1" t="e">
        <f>P15*H15*-1/F15</f>
        <v>#DIV/0!</v>
      </c>
      <c r="BE15" s="1" t="e">
        <f>BC15*O15</f>
        <v>#REF!</v>
      </c>
      <c r="BF15" s="1" t="e">
        <f t="shared" si="8"/>
        <v>#REF!</v>
      </c>
      <c r="BG15" s="1" t="e">
        <f>(O15+P15)*-1*H15/F15</f>
        <v>#DIV/0!</v>
      </c>
      <c r="BH15" s="1" t="e">
        <f>BF15*O15</f>
        <v>#REF!</v>
      </c>
      <c r="BI15" s="1" t="e">
        <f t="shared" si="9"/>
        <v>#REF!</v>
      </c>
      <c r="BJ15" s="1" t="e">
        <f>H15/F15*P15*-1</f>
        <v>#DIV/0!</v>
      </c>
      <c r="BK15" s="1" t="e">
        <f>O15*BI15</f>
        <v>#REF!</v>
      </c>
      <c r="BM15" s="9">
        <v>3.14</v>
      </c>
      <c r="BN15" s="10">
        <v>0.22181100240000001</v>
      </c>
      <c r="BO15" s="9">
        <v>0.18104824</v>
      </c>
      <c r="BQ15" s="10" t="e">
        <f>1/F15*BN15</f>
        <v>#DIV/0!</v>
      </c>
      <c r="BR15" s="10" t="e">
        <f>G15/F15*BO15</f>
        <v>#DIV/0!</v>
      </c>
      <c r="BS15" s="10" t="e">
        <f t="shared" si="10"/>
        <v>#DIV/0!</v>
      </c>
      <c r="BU15" s="10">
        <f t="shared" si="11"/>
        <v>3.14</v>
      </c>
      <c r="BV15" s="10" t="e">
        <f>#REF!/F15*BO15</f>
        <v>#REF!</v>
      </c>
      <c r="BW15" s="10" t="e">
        <f>I15/F15</f>
        <v>#DIV/0!</v>
      </c>
      <c r="BX15" s="10" t="e">
        <f>H15/F15</f>
        <v>#DIV/0!</v>
      </c>
      <c r="BY15" s="10" t="e">
        <f t="shared" si="12"/>
        <v>#DIV/0!</v>
      </c>
      <c r="BZ15" s="10" t="e">
        <f t="shared" si="13"/>
        <v>#REF!</v>
      </c>
    </row>
    <row r="16" spans="2:78" x14ac:dyDescent="0.2">
      <c r="B16" s="14"/>
      <c r="C16" s="13" t="s">
        <v>72</v>
      </c>
      <c r="D16" s="13"/>
      <c r="E16" s="13"/>
      <c r="F16" s="13"/>
      <c r="G16" s="13"/>
      <c r="H16" s="13"/>
      <c r="I16" s="13"/>
      <c r="J16" s="13"/>
      <c r="K16" s="13"/>
      <c r="L16" s="13"/>
      <c r="M16" s="11" t="e">
        <f t="shared" si="0"/>
        <v>#DIV/0!</v>
      </c>
      <c r="O16" s="16"/>
      <c r="P16" s="16"/>
      <c r="Q16" s="16"/>
      <c r="R16" s="16"/>
      <c r="S16" s="16"/>
      <c r="T16" s="11">
        <v>21.986353300000001</v>
      </c>
      <c r="U16" s="17"/>
      <c r="V16" s="17"/>
      <c r="W16" s="16"/>
      <c r="X16" s="16"/>
      <c r="Y16" s="16"/>
      <c r="Z16" s="17"/>
      <c r="AA16" s="17"/>
      <c r="AB16" s="17"/>
      <c r="AC16" s="17"/>
      <c r="AD16" s="17"/>
      <c r="AE16" s="17"/>
      <c r="AF16" s="16"/>
      <c r="AG16" s="16"/>
      <c r="AH16" s="16"/>
      <c r="AI16" s="16"/>
      <c r="AK16" s="1">
        <f t="shared" si="1"/>
        <v>0</v>
      </c>
      <c r="AL16" s="1" t="str">
        <f t="shared" si="2"/>
        <v>Ethanol</v>
      </c>
      <c r="AM16" s="12" t="e">
        <f>SUM(AS16:AY16)+BA16+BB16</f>
        <v>#DIV/0!</v>
      </c>
      <c r="AN16" s="12" t="e">
        <f>SUM(AS16:AY16)+BD16+BE16</f>
        <v>#DIV/0!</v>
      </c>
      <c r="AO16" s="5" t="e">
        <f t="shared" si="3"/>
        <v>#DIV/0!</v>
      </c>
      <c r="AP16" s="12" t="e">
        <f>SUM(AS16:AY16)+BG16+BH16</f>
        <v>#DIV/0!</v>
      </c>
      <c r="AQ16" s="12" t="e">
        <f>SUM(AS16:AY16)+BJ16+BK16</f>
        <v>#DIV/0!</v>
      </c>
      <c r="AR16" s="5" t="e">
        <f t="shared" si="4"/>
        <v>#DIV/0!</v>
      </c>
      <c r="AS16" s="5" t="e">
        <f t="shared" si="5"/>
        <v>#DIV/0!</v>
      </c>
      <c r="AT16" s="1" t="e">
        <f>E16/F16*W16</f>
        <v>#DIV/0!</v>
      </c>
      <c r="AU16" s="1" t="e">
        <f>1/F16*T16</f>
        <v>#DIV/0!</v>
      </c>
      <c r="AV16" s="1" t="e">
        <f>G16/F16*AF16</f>
        <v>#DIV/0!</v>
      </c>
      <c r="AW16" s="1" t="e">
        <f>J16/F16/(0.9*8760)</f>
        <v>#DIV/0!</v>
      </c>
      <c r="AX16" s="1" t="e">
        <f>K16/F16/(0.9*8760)</f>
        <v>#DIV/0!</v>
      </c>
      <c r="AY16" s="1" t="e">
        <f>L16/F16</f>
        <v>#DIV/0!</v>
      </c>
      <c r="AZ16" s="1" t="e">
        <f t="shared" si="6"/>
        <v>#REF!</v>
      </c>
      <c r="BA16" s="1" t="e">
        <f>(O16+P16)*-1*H16/F16</f>
        <v>#DIV/0!</v>
      </c>
      <c r="BB16" s="1" t="e">
        <f>AZ16*O16</f>
        <v>#REF!</v>
      </c>
      <c r="BC16" s="1" t="e">
        <f t="shared" si="7"/>
        <v>#REF!</v>
      </c>
      <c r="BD16" s="1" t="e">
        <f>P16*H16*-1/F16</f>
        <v>#DIV/0!</v>
      </c>
      <c r="BE16" s="1" t="e">
        <f>BC16*O16</f>
        <v>#REF!</v>
      </c>
      <c r="BF16" s="1" t="e">
        <f t="shared" si="8"/>
        <v>#REF!</v>
      </c>
      <c r="BG16" s="1" t="e">
        <f>(O16+P16)*-1*H16/F16</f>
        <v>#DIV/0!</v>
      </c>
      <c r="BH16" s="1" t="e">
        <f>BF16*O16</f>
        <v>#REF!</v>
      </c>
      <c r="BI16" s="1" t="e">
        <f t="shared" si="9"/>
        <v>#REF!</v>
      </c>
      <c r="BJ16" s="1" t="e">
        <f>H16/F16*P16*-1</f>
        <v>#DIV/0!</v>
      </c>
      <c r="BK16" s="1" t="e">
        <f>O16*BI16</f>
        <v>#REF!</v>
      </c>
      <c r="BM16" s="9">
        <v>3.14</v>
      </c>
      <c r="BN16" s="10">
        <v>0.22181100240000001</v>
      </c>
      <c r="BO16" s="9">
        <v>0.18104824</v>
      </c>
      <c r="BQ16" s="10" t="e">
        <f>1/F16*BN16</f>
        <v>#DIV/0!</v>
      </c>
      <c r="BR16" s="10" t="e">
        <f>G16/F16*BO16</f>
        <v>#DIV/0!</v>
      </c>
      <c r="BS16" s="10" t="e">
        <f t="shared" si="10"/>
        <v>#DIV/0!</v>
      </c>
      <c r="BU16" s="10">
        <f t="shared" si="11"/>
        <v>3.14</v>
      </c>
      <c r="BV16" s="10" t="e">
        <f>#REF!/F16*BO16</f>
        <v>#REF!</v>
      </c>
      <c r="BW16" s="10" t="e">
        <f>I16/F16</f>
        <v>#DIV/0!</v>
      </c>
      <c r="BX16" s="10" t="e">
        <f>H16/F16</f>
        <v>#DIV/0!</v>
      </c>
      <c r="BY16" s="10" t="e">
        <f t="shared" si="12"/>
        <v>#DIV/0!</v>
      </c>
      <c r="BZ16" s="10" t="e">
        <f t="shared" si="13"/>
        <v>#REF!</v>
      </c>
    </row>
    <row r="17" spans="2:78" x14ac:dyDescent="0.2">
      <c r="B17" s="14"/>
      <c r="C17" s="13" t="s">
        <v>72</v>
      </c>
      <c r="D17" s="13"/>
      <c r="E17" s="13"/>
      <c r="F17" s="13"/>
      <c r="G17" s="13"/>
      <c r="H17" s="13"/>
      <c r="I17" s="13"/>
      <c r="J17" s="13"/>
      <c r="K17" s="13"/>
      <c r="L17" s="13"/>
      <c r="M17" s="11" t="e">
        <f t="shared" si="0"/>
        <v>#DIV/0!</v>
      </c>
      <c r="O17" s="16"/>
      <c r="P17" s="16"/>
      <c r="Q17" s="16"/>
      <c r="R17" s="16"/>
      <c r="S17" s="16"/>
      <c r="T17" s="11">
        <v>21.986353300000001</v>
      </c>
      <c r="U17" s="17"/>
      <c r="V17" s="17"/>
      <c r="W17" s="16"/>
      <c r="X17" s="16"/>
      <c r="Y17" s="16"/>
      <c r="Z17" s="17"/>
      <c r="AA17" s="17"/>
      <c r="AB17" s="17"/>
      <c r="AC17" s="17"/>
      <c r="AD17" s="17"/>
      <c r="AE17" s="17"/>
      <c r="AF17" s="16"/>
      <c r="AG17" s="16"/>
      <c r="AH17" s="16"/>
      <c r="AI17" s="16"/>
      <c r="AK17" s="1">
        <f t="shared" si="1"/>
        <v>0</v>
      </c>
      <c r="AL17" s="1" t="str">
        <f t="shared" si="2"/>
        <v>Ethanol</v>
      </c>
      <c r="AM17" s="12" t="e">
        <f>SUM(AS17:AY17)+BA17+BB17</f>
        <v>#DIV/0!</v>
      </c>
      <c r="AN17" s="12" t="e">
        <f>SUM(AS17:AY17)+BD17+BE17</f>
        <v>#DIV/0!</v>
      </c>
      <c r="AO17" s="5" t="e">
        <f t="shared" si="3"/>
        <v>#DIV/0!</v>
      </c>
      <c r="AP17" s="12" t="e">
        <f>SUM(AS17:AY17)+BG17+BH17</f>
        <v>#DIV/0!</v>
      </c>
      <c r="AQ17" s="12" t="e">
        <f>SUM(AS17:AY17)+BJ17+BK17</f>
        <v>#DIV/0!</v>
      </c>
      <c r="AR17" s="5" t="e">
        <f t="shared" si="4"/>
        <v>#DIV/0!</v>
      </c>
      <c r="AS17" s="5" t="e">
        <f t="shared" si="5"/>
        <v>#DIV/0!</v>
      </c>
      <c r="AT17" s="1" t="e">
        <f>E17/F17*W17</f>
        <v>#DIV/0!</v>
      </c>
      <c r="AU17" s="1" t="e">
        <f>1/F17*T17</f>
        <v>#DIV/0!</v>
      </c>
      <c r="AV17" s="1" t="e">
        <f>G17/F17*AF17</f>
        <v>#DIV/0!</v>
      </c>
      <c r="AW17" s="1" t="e">
        <f>J17/F17/(0.9*8760)</f>
        <v>#DIV/0!</v>
      </c>
      <c r="AX17" s="1" t="e">
        <f>K17/F17/(0.9*8760)</f>
        <v>#DIV/0!</v>
      </c>
      <c r="AY17" s="1" t="e">
        <f>L17/F17</f>
        <v>#DIV/0!</v>
      </c>
      <c r="AZ17" s="1" t="e">
        <f t="shared" si="6"/>
        <v>#REF!</v>
      </c>
      <c r="BA17" s="1" t="e">
        <f>(O17+P17)*-1*H17/F17</f>
        <v>#DIV/0!</v>
      </c>
      <c r="BB17" s="1" t="e">
        <f>AZ17*O17</f>
        <v>#REF!</v>
      </c>
      <c r="BC17" s="1" t="e">
        <f t="shared" si="7"/>
        <v>#REF!</v>
      </c>
      <c r="BD17" s="1" t="e">
        <f>P17*H17*-1/F17</f>
        <v>#DIV/0!</v>
      </c>
      <c r="BE17" s="1" t="e">
        <f>BC17*O17</f>
        <v>#REF!</v>
      </c>
      <c r="BF17" s="1" t="e">
        <f t="shared" si="8"/>
        <v>#REF!</v>
      </c>
      <c r="BG17" s="1" t="e">
        <f>(O17+P17)*-1*H17/F17</f>
        <v>#DIV/0!</v>
      </c>
      <c r="BH17" s="1" t="e">
        <f>BF17*O17</f>
        <v>#REF!</v>
      </c>
      <c r="BI17" s="1" t="e">
        <f t="shared" si="9"/>
        <v>#REF!</v>
      </c>
      <c r="BJ17" s="1" t="e">
        <f>H17/F17*P17*-1</f>
        <v>#DIV/0!</v>
      </c>
      <c r="BK17" s="1" t="e">
        <f>O17*BI17</f>
        <v>#REF!</v>
      </c>
      <c r="BM17" s="9">
        <v>3.14</v>
      </c>
      <c r="BN17" s="10">
        <v>0.22181100240000001</v>
      </c>
      <c r="BO17" s="9">
        <v>0.18104824</v>
      </c>
      <c r="BQ17" s="10" t="e">
        <f>1/F17*BN17</f>
        <v>#DIV/0!</v>
      </c>
      <c r="BR17" s="10" t="e">
        <f>G17/F17*BO17</f>
        <v>#DIV/0!</v>
      </c>
      <c r="BS17" s="10" t="e">
        <f t="shared" si="10"/>
        <v>#DIV/0!</v>
      </c>
      <c r="BU17" s="10">
        <f t="shared" si="11"/>
        <v>3.14</v>
      </c>
      <c r="BV17" s="10" t="e">
        <f>#REF!/F17*BO17</f>
        <v>#REF!</v>
      </c>
      <c r="BW17" s="10" t="e">
        <f>I17/F17</f>
        <v>#DIV/0!</v>
      </c>
      <c r="BX17" s="10" t="e">
        <f>H17/F17</f>
        <v>#DIV/0!</v>
      </c>
      <c r="BY17" s="10" t="e">
        <f t="shared" si="12"/>
        <v>#DIV/0!</v>
      </c>
      <c r="BZ17" s="10" t="e">
        <f t="shared" si="13"/>
        <v>#REF!</v>
      </c>
    </row>
    <row r="18" spans="2:78" x14ac:dyDescent="0.2">
      <c r="B18" s="14"/>
      <c r="C18" s="13" t="s">
        <v>72</v>
      </c>
      <c r="D18" s="13"/>
      <c r="E18" s="13"/>
      <c r="F18" s="13"/>
      <c r="G18" s="13"/>
      <c r="H18" s="13"/>
      <c r="I18" s="13"/>
      <c r="J18" s="13"/>
      <c r="K18" s="13"/>
      <c r="L18" s="13"/>
      <c r="M18" s="11" t="e">
        <f t="shared" si="0"/>
        <v>#DIV/0!</v>
      </c>
      <c r="O18" s="16"/>
      <c r="P18" s="16"/>
      <c r="Q18" s="16"/>
      <c r="R18" s="16"/>
      <c r="S18" s="16"/>
      <c r="T18" s="11">
        <v>21.986353300000001</v>
      </c>
      <c r="U18" s="17"/>
      <c r="V18" s="17"/>
      <c r="W18" s="16"/>
      <c r="X18" s="16"/>
      <c r="Y18" s="16"/>
      <c r="Z18" s="17"/>
      <c r="AA18" s="17"/>
      <c r="AB18" s="17"/>
      <c r="AC18" s="17"/>
      <c r="AD18" s="17"/>
      <c r="AE18" s="17"/>
      <c r="AF18" s="16"/>
      <c r="AG18" s="16"/>
      <c r="AH18" s="16"/>
      <c r="AI18" s="16"/>
      <c r="AK18" s="1">
        <f t="shared" si="1"/>
        <v>0</v>
      </c>
      <c r="AL18" s="1" t="str">
        <f t="shared" si="2"/>
        <v>Ethanol</v>
      </c>
      <c r="AM18" s="12" t="e">
        <f>SUM(AS18:AY18)+BA18+BB18</f>
        <v>#DIV/0!</v>
      </c>
      <c r="AN18" s="12" t="e">
        <f>SUM(AS18:AY18)+BD18+BE18</f>
        <v>#DIV/0!</v>
      </c>
      <c r="AO18" s="5" t="e">
        <f t="shared" si="3"/>
        <v>#DIV/0!</v>
      </c>
      <c r="AP18" s="12" t="e">
        <f>SUM(AS18:AY18)+BG18+BH18</f>
        <v>#DIV/0!</v>
      </c>
      <c r="AQ18" s="12" t="e">
        <f>SUM(AS18:AY18)+BJ18+BK18</f>
        <v>#DIV/0!</v>
      </c>
      <c r="AR18" s="5" t="e">
        <f t="shared" si="4"/>
        <v>#DIV/0!</v>
      </c>
      <c r="AS18" s="5" t="e">
        <f t="shared" si="5"/>
        <v>#DIV/0!</v>
      </c>
      <c r="AT18" s="1" t="e">
        <f>E18/F18*W18</f>
        <v>#DIV/0!</v>
      </c>
      <c r="AU18" s="1" t="e">
        <f>1/F18*T18</f>
        <v>#DIV/0!</v>
      </c>
      <c r="AV18" s="1" t="e">
        <f>G18/F18*AF18</f>
        <v>#DIV/0!</v>
      </c>
      <c r="AW18" s="1" t="e">
        <f>J18/F18/(0.9*8760)</f>
        <v>#DIV/0!</v>
      </c>
      <c r="AX18" s="1" t="e">
        <f>K18/F18/(0.9*8760)</f>
        <v>#DIV/0!</v>
      </c>
      <c r="AY18" s="1" t="e">
        <f>L18/F18</f>
        <v>#DIV/0!</v>
      </c>
      <c r="AZ18" s="1" t="e">
        <f t="shared" si="6"/>
        <v>#REF!</v>
      </c>
      <c r="BA18" s="1" t="e">
        <f>(O18+P18)*-1*H18/F18</f>
        <v>#DIV/0!</v>
      </c>
      <c r="BB18" s="1" t="e">
        <f>AZ18*O18</f>
        <v>#REF!</v>
      </c>
      <c r="BC18" s="1" t="e">
        <f t="shared" si="7"/>
        <v>#REF!</v>
      </c>
      <c r="BD18" s="1" t="e">
        <f>P18*H18*-1/F18</f>
        <v>#DIV/0!</v>
      </c>
      <c r="BE18" s="1" t="e">
        <f>BC18*O18</f>
        <v>#REF!</v>
      </c>
      <c r="BF18" s="1" t="e">
        <f t="shared" si="8"/>
        <v>#REF!</v>
      </c>
      <c r="BG18" s="1" t="e">
        <f>(O18+P18)*-1*H18/F18</f>
        <v>#DIV/0!</v>
      </c>
      <c r="BH18" s="1" t="e">
        <f>BF18*O18</f>
        <v>#REF!</v>
      </c>
      <c r="BI18" s="1" t="e">
        <f t="shared" si="9"/>
        <v>#REF!</v>
      </c>
      <c r="BJ18" s="1" t="e">
        <f>H18/F18*P18*-1</f>
        <v>#DIV/0!</v>
      </c>
      <c r="BK18" s="1" t="e">
        <f>O18*BI18</f>
        <v>#REF!</v>
      </c>
      <c r="BM18" s="9">
        <v>3.14</v>
      </c>
      <c r="BN18" s="10">
        <v>0.22181100240000001</v>
      </c>
      <c r="BO18" s="9">
        <v>0.18104824</v>
      </c>
      <c r="BQ18" s="10" t="e">
        <f>1/F18*BN18</f>
        <v>#DIV/0!</v>
      </c>
      <c r="BR18" s="10" t="e">
        <f>G18/F18*BO18</f>
        <v>#DIV/0!</v>
      </c>
      <c r="BS18" s="10" t="e">
        <f t="shared" si="10"/>
        <v>#DIV/0!</v>
      </c>
      <c r="BU18" s="10">
        <f t="shared" si="11"/>
        <v>3.14</v>
      </c>
      <c r="BV18" s="10" t="e">
        <f>#REF!/F18*BO18</f>
        <v>#REF!</v>
      </c>
      <c r="BW18" s="10" t="e">
        <f>I18/F18</f>
        <v>#DIV/0!</v>
      </c>
      <c r="BX18" s="10" t="e">
        <f>H18/F18</f>
        <v>#DIV/0!</v>
      </c>
      <c r="BY18" s="10" t="e">
        <f t="shared" si="12"/>
        <v>#DIV/0!</v>
      </c>
      <c r="BZ18" s="10" t="e">
        <f t="shared" si="13"/>
        <v>#REF!</v>
      </c>
    </row>
    <row r="19" spans="2:78" x14ac:dyDescent="0.2">
      <c r="B19" s="14"/>
      <c r="C19" s="13" t="s">
        <v>72</v>
      </c>
      <c r="D19" s="13"/>
      <c r="E19" s="13"/>
      <c r="F19" s="13"/>
      <c r="G19" s="13"/>
      <c r="H19" s="13"/>
      <c r="I19" s="13"/>
      <c r="J19" s="13"/>
      <c r="K19" s="13"/>
      <c r="L19" s="13"/>
      <c r="M19" s="11" t="e">
        <f t="shared" si="0"/>
        <v>#DIV/0!</v>
      </c>
      <c r="O19" s="16"/>
      <c r="P19" s="16"/>
      <c r="Q19" s="16"/>
      <c r="R19" s="16"/>
      <c r="S19" s="16"/>
      <c r="T19" s="11">
        <v>21.986353300000001</v>
      </c>
      <c r="U19" s="17"/>
      <c r="V19" s="17"/>
      <c r="W19" s="16"/>
      <c r="X19" s="16"/>
      <c r="Y19" s="16"/>
      <c r="Z19" s="17"/>
      <c r="AA19" s="17"/>
      <c r="AB19" s="17"/>
      <c r="AC19" s="17"/>
      <c r="AD19" s="17"/>
      <c r="AE19" s="17"/>
      <c r="AF19" s="16"/>
      <c r="AG19" s="16"/>
      <c r="AH19" s="16"/>
      <c r="AI19" s="16"/>
      <c r="AK19" s="1">
        <f t="shared" si="1"/>
        <v>0</v>
      </c>
      <c r="AL19" s="1" t="str">
        <f t="shared" si="2"/>
        <v>Ethanol</v>
      </c>
      <c r="AM19" s="12" t="e">
        <f>SUM(AS19:AY19)+BA19+BB19</f>
        <v>#DIV/0!</v>
      </c>
      <c r="AN19" s="12" t="e">
        <f>SUM(AS19:AY19)+BD19+BE19</f>
        <v>#DIV/0!</v>
      </c>
      <c r="AO19" s="5" t="e">
        <f t="shared" si="3"/>
        <v>#DIV/0!</v>
      </c>
      <c r="AP19" s="12" t="e">
        <f>SUM(AS19:AY19)+BG19+BH19</f>
        <v>#DIV/0!</v>
      </c>
      <c r="AQ19" s="12" t="e">
        <f>SUM(AS19:AY19)+BJ19+BK19</f>
        <v>#DIV/0!</v>
      </c>
      <c r="AR19" s="5" t="e">
        <f t="shared" si="4"/>
        <v>#DIV/0!</v>
      </c>
      <c r="AS19" s="5" t="e">
        <f t="shared" si="5"/>
        <v>#DIV/0!</v>
      </c>
      <c r="AT19" s="1" t="e">
        <f>E19/F19*W19</f>
        <v>#DIV/0!</v>
      </c>
      <c r="AU19" s="1" t="e">
        <f>1/F19*T19</f>
        <v>#DIV/0!</v>
      </c>
      <c r="AV19" s="1" t="e">
        <f>G19/F19*AF19</f>
        <v>#DIV/0!</v>
      </c>
      <c r="AW19" s="1" t="e">
        <f>J19/F19/(0.9*8760)</f>
        <v>#DIV/0!</v>
      </c>
      <c r="AX19" s="1" t="e">
        <f>K19/F19/(0.9*8760)</f>
        <v>#DIV/0!</v>
      </c>
      <c r="AY19" s="1" t="e">
        <f>L19/F19</f>
        <v>#DIV/0!</v>
      </c>
      <c r="AZ19" s="1" t="e">
        <f t="shared" si="6"/>
        <v>#REF!</v>
      </c>
      <c r="BA19" s="1" t="e">
        <f>(O19+P19)*-1*H19/F19</f>
        <v>#DIV/0!</v>
      </c>
      <c r="BB19" s="1" t="e">
        <f>AZ19*O19</f>
        <v>#REF!</v>
      </c>
      <c r="BC19" s="1" t="e">
        <f t="shared" si="7"/>
        <v>#REF!</v>
      </c>
      <c r="BD19" s="1" t="e">
        <f>P19*H19*-1/F19</f>
        <v>#DIV/0!</v>
      </c>
      <c r="BE19" s="1" t="e">
        <f>BC19*O19</f>
        <v>#REF!</v>
      </c>
      <c r="BF19" s="1" t="e">
        <f t="shared" si="8"/>
        <v>#REF!</v>
      </c>
      <c r="BG19" s="1" t="e">
        <f>(O19+P19)*-1*H19/F19</f>
        <v>#DIV/0!</v>
      </c>
      <c r="BH19" s="1" t="e">
        <f>BF19*O19</f>
        <v>#REF!</v>
      </c>
      <c r="BI19" s="1" t="e">
        <f t="shared" si="9"/>
        <v>#REF!</v>
      </c>
      <c r="BJ19" s="1" t="e">
        <f>H19/F19*P19*-1</f>
        <v>#DIV/0!</v>
      </c>
      <c r="BK19" s="1" t="e">
        <f>O19*BI19</f>
        <v>#REF!</v>
      </c>
      <c r="BM19" s="9">
        <v>3.14</v>
      </c>
      <c r="BN19" s="10">
        <v>0.22181100240000001</v>
      </c>
      <c r="BO19" s="9">
        <v>0.18104824</v>
      </c>
      <c r="BQ19" s="10" t="e">
        <f>1/F19*BN19</f>
        <v>#DIV/0!</v>
      </c>
      <c r="BR19" s="10" t="e">
        <f>G19/F19*BO19</f>
        <v>#DIV/0!</v>
      </c>
      <c r="BS19" s="10" t="e">
        <f t="shared" si="10"/>
        <v>#DIV/0!</v>
      </c>
      <c r="BU19" s="10">
        <f t="shared" si="11"/>
        <v>3.14</v>
      </c>
      <c r="BV19" s="10" t="e">
        <f>#REF!/F19*BO19</f>
        <v>#REF!</v>
      </c>
      <c r="BW19" s="10" t="e">
        <f>I19/F19</f>
        <v>#DIV/0!</v>
      </c>
      <c r="BX19" s="10" t="e">
        <f>H19/F19</f>
        <v>#DIV/0!</v>
      </c>
      <c r="BY19" s="10" t="e">
        <f t="shared" si="12"/>
        <v>#DIV/0!</v>
      </c>
      <c r="BZ19" s="10" t="e">
        <f t="shared" si="13"/>
        <v>#REF!</v>
      </c>
    </row>
    <row r="20" spans="2:78" x14ac:dyDescent="0.2">
      <c r="B20" s="14"/>
      <c r="C20" s="13" t="s">
        <v>72</v>
      </c>
      <c r="D20" s="13"/>
      <c r="E20" s="13"/>
      <c r="F20" s="13"/>
      <c r="G20" s="13"/>
      <c r="H20" s="13"/>
      <c r="I20" s="13"/>
      <c r="J20" s="13"/>
      <c r="K20" s="13"/>
      <c r="L20" s="13"/>
      <c r="M20" s="11" t="e">
        <f t="shared" si="0"/>
        <v>#DIV/0!</v>
      </c>
      <c r="O20" s="16"/>
      <c r="P20" s="16"/>
      <c r="Q20" s="16"/>
      <c r="R20" s="16"/>
      <c r="S20" s="16"/>
      <c r="T20" s="11">
        <v>21.986353300000001</v>
      </c>
      <c r="U20" s="17"/>
      <c r="V20" s="17"/>
      <c r="W20" s="16"/>
      <c r="X20" s="16"/>
      <c r="Y20" s="16"/>
      <c r="Z20" s="17"/>
      <c r="AA20" s="17"/>
      <c r="AB20" s="17"/>
      <c r="AC20" s="17"/>
      <c r="AD20" s="17"/>
      <c r="AE20" s="17"/>
      <c r="AF20" s="16"/>
      <c r="AG20" s="16"/>
      <c r="AH20" s="16"/>
      <c r="AI20" s="16"/>
      <c r="AK20" s="1">
        <f t="shared" si="1"/>
        <v>0</v>
      </c>
      <c r="AL20" s="1" t="str">
        <f t="shared" si="2"/>
        <v>Ethanol</v>
      </c>
      <c r="AM20" s="12" t="e">
        <f>SUM(AS20:AY20)+BA20+BB20</f>
        <v>#DIV/0!</v>
      </c>
      <c r="AN20" s="12" t="e">
        <f>SUM(AS20:AY20)+BD20+BE20</f>
        <v>#DIV/0!</v>
      </c>
      <c r="AO20" s="5" t="e">
        <f t="shared" si="3"/>
        <v>#DIV/0!</v>
      </c>
      <c r="AP20" s="12" t="e">
        <f>SUM(AS20:AY20)+BG20+BH20</f>
        <v>#DIV/0!</v>
      </c>
      <c r="AQ20" s="12" t="e">
        <f>SUM(AS20:AY20)+BJ20+BK20</f>
        <v>#DIV/0!</v>
      </c>
      <c r="AR20" s="5" t="e">
        <f t="shared" si="4"/>
        <v>#DIV/0!</v>
      </c>
      <c r="AS20" s="5" t="e">
        <f t="shared" si="5"/>
        <v>#DIV/0!</v>
      </c>
      <c r="AT20" s="1" t="e">
        <f>E20/F20*W20</f>
        <v>#DIV/0!</v>
      </c>
      <c r="AU20" s="1" t="e">
        <f>1/F20*T20</f>
        <v>#DIV/0!</v>
      </c>
      <c r="AV20" s="1" t="e">
        <f>G20/F20*AF20</f>
        <v>#DIV/0!</v>
      </c>
      <c r="AW20" s="1" t="e">
        <f>J20/F20/(0.9*8760)</f>
        <v>#DIV/0!</v>
      </c>
      <c r="AX20" s="1" t="e">
        <f>K20/F20/(0.9*8760)</f>
        <v>#DIV/0!</v>
      </c>
      <c r="AY20" s="1" t="e">
        <f>L20/F20</f>
        <v>#DIV/0!</v>
      </c>
      <c r="AZ20" s="1" t="e">
        <f t="shared" si="6"/>
        <v>#REF!</v>
      </c>
      <c r="BA20" s="1" t="e">
        <f>(O20+P20)*-1*H20/F20</f>
        <v>#DIV/0!</v>
      </c>
      <c r="BB20" s="1" t="e">
        <f>AZ20*O20</f>
        <v>#REF!</v>
      </c>
      <c r="BC20" s="1" t="e">
        <f t="shared" si="7"/>
        <v>#REF!</v>
      </c>
      <c r="BD20" s="1" t="e">
        <f>P20*H20*-1/F20</f>
        <v>#DIV/0!</v>
      </c>
      <c r="BE20" s="1" t="e">
        <f>BC20*O20</f>
        <v>#REF!</v>
      </c>
      <c r="BF20" s="1" t="e">
        <f t="shared" si="8"/>
        <v>#REF!</v>
      </c>
      <c r="BG20" s="1" t="e">
        <f>(O20+P20)*-1*H20/F20</f>
        <v>#DIV/0!</v>
      </c>
      <c r="BH20" s="1" t="e">
        <f>BF20*O20</f>
        <v>#REF!</v>
      </c>
      <c r="BI20" s="1" t="e">
        <f t="shared" si="9"/>
        <v>#REF!</v>
      </c>
      <c r="BJ20" s="1" t="e">
        <f>H20/F20*P20*-1</f>
        <v>#DIV/0!</v>
      </c>
      <c r="BK20" s="1" t="e">
        <f>O20*BI20</f>
        <v>#REF!</v>
      </c>
      <c r="BM20" s="9">
        <v>3.14</v>
      </c>
      <c r="BN20" s="10">
        <v>0.22181100240000001</v>
      </c>
      <c r="BO20" s="9">
        <v>0.18104824</v>
      </c>
      <c r="BQ20" s="10" t="e">
        <f>1/F20*BN20</f>
        <v>#DIV/0!</v>
      </c>
      <c r="BR20" s="10" t="e">
        <f>G20/F20*BO20</f>
        <v>#DIV/0!</v>
      </c>
      <c r="BS20" s="10" t="e">
        <f t="shared" si="10"/>
        <v>#DIV/0!</v>
      </c>
      <c r="BU20" s="10">
        <f t="shared" si="11"/>
        <v>3.14</v>
      </c>
      <c r="BV20" s="10" t="e">
        <f>#REF!/F20*BO20</f>
        <v>#REF!</v>
      </c>
      <c r="BW20" s="10" t="e">
        <f>I20/F20</f>
        <v>#DIV/0!</v>
      </c>
      <c r="BX20" s="10" t="e">
        <f>H20/F20</f>
        <v>#DIV/0!</v>
      </c>
      <c r="BY20" s="10" t="e">
        <f t="shared" si="12"/>
        <v>#DIV/0!</v>
      </c>
      <c r="BZ20" s="10" t="e">
        <f t="shared" si="13"/>
        <v>#REF!</v>
      </c>
    </row>
    <row r="21" spans="2:78" x14ac:dyDescent="0.2">
      <c r="B21" s="14"/>
      <c r="C21" s="13" t="s">
        <v>72</v>
      </c>
      <c r="D21" s="13"/>
      <c r="E21" s="13"/>
      <c r="F21" s="13"/>
      <c r="G21" s="13"/>
      <c r="H21" s="13"/>
      <c r="I21" s="13"/>
      <c r="J21" s="13"/>
      <c r="K21" s="13"/>
      <c r="L21" s="13"/>
      <c r="M21" s="11" t="e">
        <f t="shared" si="0"/>
        <v>#DIV/0!</v>
      </c>
      <c r="O21" s="16"/>
      <c r="P21" s="16"/>
      <c r="Q21" s="16"/>
      <c r="R21" s="16"/>
      <c r="S21" s="16"/>
      <c r="T21" s="11">
        <v>21.986353300000001</v>
      </c>
      <c r="U21" s="17"/>
      <c r="V21" s="17"/>
      <c r="W21" s="16"/>
      <c r="X21" s="16"/>
      <c r="Y21" s="16"/>
      <c r="Z21" s="17"/>
      <c r="AA21" s="17"/>
      <c r="AB21" s="17"/>
      <c r="AC21" s="17"/>
      <c r="AD21" s="17"/>
      <c r="AE21" s="17"/>
      <c r="AF21" s="16"/>
      <c r="AG21" s="16"/>
      <c r="AH21" s="16"/>
      <c r="AI21" s="16"/>
      <c r="AK21" s="1">
        <f t="shared" si="1"/>
        <v>0</v>
      </c>
      <c r="AL21" s="1" t="str">
        <f t="shared" si="2"/>
        <v>Ethanol</v>
      </c>
      <c r="AM21" s="12" t="e">
        <f>SUM(AS21:AY21)+BA21+BB21</f>
        <v>#DIV/0!</v>
      </c>
      <c r="AN21" s="12" t="e">
        <f>SUM(AS21:AY21)+BD21+BE21</f>
        <v>#DIV/0!</v>
      </c>
      <c r="AO21" s="5" t="e">
        <f t="shared" si="3"/>
        <v>#DIV/0!</v>
      </c>
      <c r="AP21" s="12" t="e">
        <f>SUM(AS21:AY21)+BG21+BH21</f>
        <v>#DIV/0!</v>
      </c>
      <c r="AQ21" s="12" t="e">
        <f>SUM(AS21:AY21)+BJ21+BK21</f>
        <v>#DIV/0!</v>
      </c>
      <c r="AR21" s="5" t="e">
        <f t="shared" si="4"/>
        <v>#DIV/0!</v>
      </c>
      <c r="AS21" s="5" t="e">
        <f t="shared" si="5"/>
        <v>#DIV/0!</v>
      </c>
      <c r="AT21" s="1" t="e">
        <f>E21/F21*W21</f>
        <v>#DIV/0!</v>
      </c>
      <c r="AU21" s="1" t="e">
        <f>1/F21*T21</f>
        <v>#DIV/0!</v>
      </c>
      <c r="AV21" s="1" t="e">
        <f>G21/F21*AF21</f>
        <v>#DIV/0!</v>
      </c>
      <c r="AW21" s="1" t="e">
        <f>J21/F21/(0.9*8760)</f>
        <v>#DIV/0!</v>
      </c>
      <c r="AX21" s="1" t="e">
        <f>K21/F21/(0.9*8760)</f>
        <v>#DIV/0!</v>
      </c>
      <c r="AY21" s="1" t="e">
        <f>L21/F21</f>
        <v>#DIV/0!</v>
      </c>
      <c r="AZ21" s="1" t="e">
        <f t="shared" si="6"/>
        <v>#REF!</v>
      </c>
      <c r="BA21" s="1" t="e">
        <f>(O21+P21)*-1*H21/F21</f>
        <v>#DIV/0!</v>
      </c>
      <c r="BB21" s="1" t="e">
        <f>AZ21*O21</f>
        <v>#REF!</v>
      </c>
      <c r="BC21" s="1" t="e">
        <f t="shared" si="7"/>
        <v>#REF!</v>
      </c>
      <c r="BD21" s="1" t="e">
        <f>P21*H21*-1/F21</f>
        <v>#DIV/0!</v>
      </c>
      <c r="BE21" s="1" t="e">
        <f>BC21*O21</f>
        <v>#REF!</v>
      </c>
      <c r="BF21" s="1" t="e">
        <f t="shared" si="8"/>
        <v>#REF!</v>
      </c>
      <c r="BG21" s="1" t="e">
        <f>(O21+P21)*-1*H21/F21</f>
        <v>#DIV/0!</v>
      </c>
      <c r="BH21" s="1" t="e">
        <f>BF21*O21</f>
        <v>#REF!</v>
      </c>
      <c r="BI21" s="1" t="e">
        <f t="shared" si="9"/>
        <v>#REF!</v>
      </c>
      <c r="BJ21" s="1" t="e">
        <f>H21/F21*P21*-1</f>
        <v>#DIV/0!</v>
      </c>
      <c r="BK21" s="1" t="e">
        <f>O21*BI21</f>
        <v>#REF!</v>
      </c>
      <c r="BM21" s="9">
        <v>3.14</v>
      </c>
      <c r="BN21" s="10">
        <v>0.22181100240000001</v>
      </c>
      <c r="BO21" s="9">
        <v>0.18104824</v>
      </c>
      <c r="BQ21" s="10" t="e">
        <f>1/F21*BN21</f>
        <v>#DIV/0!</v>
      </c>
      <c r="BR21" s="10" t="e">
        <f>G21/F21*BO21</f>
        <v>#DIV/0!</v>
      </c>
      <c r="BS21" s="10" t="e">
        <f t="shared" si="10"/>
        <v>#DIV/0!</v>
      </c>
      <c r="BU21" s="10">
        <f t="shared" si="11"/>
        <v>3.14</v>
      </c>
      <c r="BV21" s="10" t="e">
        <f>#REF!/F21*BO21</f>
        <v>#REF!</v>
      </c>
      <c r="BW21" s="10" t="e">
        <f>I21/F21</f>
        <v>#DIV/0!</v>
      </c>
      <c r="BX21" s="10" t="e">
        <f>H21/F21</f>
        <v>#DIV/0!</v>
      </c>
      <c r="BY21" s="10" t="e">
        <f t="shared" si="12"/>
        <v>#DIV/0!</v>
      </c>
      <c r="BZ21" s="10" t="e">
        <f t="shared" si="13"/>
        <v>#REF!</v>
      </c>
    </row>
    <row r="22" spans="2:78" x14ac:dyDescent="0.2">
      <c r="B22" s="14"/>
      <c r="C22" s="13" t="s">
        <v>72</v>
      </c>
      <c r="D22" s="13"/>
      <c r="E22" s="13"/>
      <c r="F22" s="13"/>
      <c r="G22" s="13"/>
      <c r="H22" s="13"/>
      <c r="I22" s="13"/>
      <c r="J22" s="13"/>
      <c r="K22" s="13"/>
      <c r="L22" s="13"/>
      <c r="M22" s="11" t="e">
        <f t="shared" si="0"/>
        <v>#DIV/0!</v>
      </c>
      <c r="O22" s="16"/>
      <c r="P22" s="16"/>
      <c r="Q22" s="16"/>
      <c r="R22" s="16"/>
      <c r="S22" s="16"/>
      <c r="T22" s="11">
        <v>21.986353300000001</v>
      </c>
      <c r="U22" s="17"/>
      <c r="V22" s="17"/>
      <c r="W22" s="16"/>
      <c r="X22" s="16"/>
      <c r="Y22" s="16"/>
      <c r="Z22" s="17"/>
      <c r="AA22" s="17"/>
      <c r="AB22" s="17"/>
      <c r="AC22" s="17"/>
      <c r="AD22" s="17"/>
      <c r="AE22" s="17"/>
      <c r="AF22" s="16"/>
      <c r="AG22" s="16"/>
      <c r="AH22" s="16"/>
      <c r="AI22" s="16"/>
      <c r="AK22" s="1">
        <f t="shared" si="1"/>
        <v>0</v>
      </c>
      <c r="AL22" s="1" t="str">
        <f t="shared" si="2"/>
        <v>Ethanol</v>
      </c>
      <c r="AM22" s="12" t="e">
        <f>SUM(AS22:AY22)+BA22+BB22</f>
        <v>#DIV/0!</v>
      </c>
      <c r="AN22" s="12" t="e">
        <f>SUM(AS22:AY22)+BD22+BE22</f>
        <v>#DIV/0!</v>
      </c>
      <c r="AO22" s="5" t="e">
        <f t="shared" si="3"/>
        <v>#DIV/0!</v>
      </c>
      <c r="AP22" s="12" t="e">
        <f>SUM(AS22:AY22)+BG22+BH22</f>
        <v>#DIV/0!</v>
      </c>
      <c r="AQ22" s="12" t="e">
        <f>SUM(AS22:AY22)+BJ22+BK22</f>
        <v>#DIV/0!</v>
      </c>
      <c r="AR22" s="5" t="e">
        <f t="shared" si="4"/>
        <v>#DIV/0!</v>
      </c>
      <c r="AS22" s="5" t="e">
        <f t="shared" si="5"/>
        <v>#DIV/0!</v>
      </c>
      <c r="AT22" s="1" t="e">
        <f>E22/F22*W22</f>
        <v>#DIV/0!</v>
      </c>
      <c r="AU22" s="1" t="e">
        <f>1/F22*T22</f>
        <v>#DIV/0!</v>
      </c>
      <c r="AV22" s="1" t="e">
        <f>G22/F22*AF22</f>
        <v>#DIV/0!</v>
      </c>
      <c r="AW22" s="1" t="e">
        <f>J22/F22/(0.9*8760)</f>
        <v>#DIV/0!</v>
      </c>
      <c r="AX22" s="1" t="e">
        <f>K22/F22/(0.9*8760)</f>
        <v>#DIV/0!</v>
      </c>
      <c r="AY22" s="1" t="e">
        <f>L22/F22</f>
        <v>#DIV/0!</v>
      </c>
      <c r="AZ22" s="1" t="e">
        <f t="shared" si="6"/>
        <v>#REF!</v>
      </c>
      <c r="BA22" s="1" t="e">
        <f>(O22+P22)*-1*H22/F22</f>
        <v>#DIV/0!</v>
      </c>
      <c r="BB22" s="1" t="e">
        <f>AZ22*O22</f>
        <v>#REF!</v>
      </c>
      <c r="BC22" s="1" t="e">
        <f t="shared" si="7"/>
        <v>#REF!</v>
      </c>
      <c r="BD22" s="1" t="e">
        <f>P22*H22*-1/F22</f>
        <v>#DIV/0!</v>
      </c>
      <c r="BE22" s="1" t="e">
        <f>BC22*O22</f>
        <v>#REF!</v>
      </c>
      <c r="BF22" s="1" t="e">
        <f t="shared" si="8"/>
        <v>#REF!</v>
      </c>
      <c r="BG22" s="1" t="e">
        <f>(O22+P22)*-1*H22/F22</f>
        <v>#DIV/0!</v>
      </c>
      <c r="BH22" s="1" t="e">
        <f>BF22*O22</f>
        <v>#REF!</v>
      </c>
      <c r="BI22" s="1" t="e">
        <f t="shared" si="9"/>
        <v>#REF!</v>
      </c>
      <c r="BJ22" s="1" t="e">
        <f>H22/F22*P22*-1</f>
        <v>#DIV/0!</v>
      </c>
      <c r="BK22" s="1" t="e">
        <f>O22*BI22</f>
        <v>#REF!</v>
      </c>
      <c r="BM22" s="9">
        <v>3.14</v>
      </c>
      <c r="BN22" s="10">
        <v>0.22181100240000001</v>
      </c>
      <c r="BO22" s="9">
        <v>0.18104824</v>
      </c>
      <c r="BQ22" s="10" t="e">
        <f>1/F22*BN22</f>
        <v>#DIV/0!</v>
      </c>
      <c r="BR22" s="10" t="e">
        <f>G22/F22*BO22</f>
        <v>#DIV/0!</v>
      </c>
      <c r="BS22" s="10" t="e">
        <f t="shared" si="10"/>
        <v>#DIV/0!</v>
      </c>
      <c r="BU22" s="10">
        <f t="shared" si="11"/>
        <v>3.14</v>
      </c>
      <c r="BV22" s="10" t="e">
        <f>#REF!/F22*BO22</f>
        <v>#REF!</v>
      </c>
      <c r="BW22" s="10" t="e">
        <f>I22/F22</f>
        <v>#DIV/0!</v>
      </c>
      <c r="BX22" s="10" t="e">
        <f>H22/F22</f>
        <v>#DIV/0!</v>
      </c>
      <c r="BY22" s="10" t="e">
        <f t="shared" si="12"/>
        <v>#DIV/0!</v>
      </c>
      <c r="BZ22" s="10" t="e">
        <f t="shared" si="13"/>
        <v>#REF!</v>
      </c>
    </row>
    <row r="23" spans="2:78" x14ac:dyDescent="0.2">
      <c r="B23" s="14"/>
      <c r="C23" s="13" t="s">
        <v>72</v>
      </c>
      <c r="D23" s="13"/>
      <c r="E23" s="13"/>
      <c r="F23" s="13"/>
      <c r="G23" s="13"/>
      <c r="H23" s="13"/>
      <c r="I23" s="13"/>
      <c r="J23" s="13"/>
      <c r="K23" s="13"/>
      <c r="L23" s="13"/>
      <c r="M23" s="11" t="e">
        <f t="shared" si="0"/>
        <v>#DIV/0!</v>
      </c>
      <c r="O23" s="16"/>
      <c r="P23" s="16"/>
      <c r="Q23" s="16"/>
      <c r="R23" s="16"/>
      <c r="S23" s="16"/>
      <c r="T23" s="11">
        <v>21.986353300000001</v>
      </c>
      <c r="U23" s="17"/>
      <c r="V23" s="17"/>
      <c r="W23" s="16"/>
      <c r="X23" s="16"/>
      <c r="Y23" s="16"/>
      <c r="Z23" s="17"/>
      <c r="AA23" s="17"/>
      <c r="AB23" s="17"/>
      <c r="AC23" s="17"/>
      <c r="AD23" s="17"/>
      <c r="AE23" s="17"/>
      <c r="AF23" s="16"/>
      <c r="AG23" s="16"/>
      <c r="AH23" s="16"/>
      <c r="AI23" s="16"/>
      <c r="AK23" s="1">
        <f t="shared" si="1"/>
        <v>0</v>
      </c>
      <c r="AL23" s="1" t="str">
        <f t="shared" si="2"/>
        <v>Ethanol</v>
      </c>
      <c r="AM23" s="12" t="e">
        <f>SUM(AS23:AY23)+BA23+BB23</f>
        <v>#DIV/0!</v>
      </c>
      <c r="AN23" s="12" t="e">
        <f>SUM(AS23:AY23)+BD23+BE23</f>
        <v>#DIV/0!</v>
      </c>
      <c r="AO23" s="5" t="e">
        <f t="shared" si="3"/>
        <v>#DIV/0!</v>
      </c>
      <c r="AP23" s="12" t="e">
        <f>SUM(AS23:AY23)+BG23+BH23</f>
        <v>#DIV/0!</v>
      </c>
      <c r="AQ23" s="12" t="e">
        <f>SUM(AS23:AY23)+BJ23+BK23</f>
        <v>#DIV/0!</v>
      </c>
      <c r="AR23" s="5" t="e">
        <f t="shared" si="4"/>
        <v>#DIV/0!</v>
      </c>
      <c r="AS23" s="5" t="e">
        <f t="shared" si="5"/>
        <v>#DIV/0!</v>
      </c>
      <c r="AT23" s="1" t="e">
        <f>E23/F23*W23</f>
        <v>#DIV/0!</v>
      </c>
      <c r="AU23" s="1" t="e">
        <f>1/F23*T23</f>
        <v>#DIV/0!</v>
      </c>
      <c r="AV23" s="1" t="e">
        <f>G23/F23*AF23</f>
        <v>#DIV/0!</v>
      </c>
      <c r="AW23" s="1" t="e">
        <f>J23/F23/(0.9*8760)</f>
        <v>#DIV/0!</v>
      </c>
      <c r="AX23" s="1" t="e">
        <f>K23/F23/(0.9*8760)</f>
        <v>#DIV/0!</v>
      </c>
      <c r="AY23" s="1" t="e">
        <f>L23/F23</f>
        <v>#DIV/0!</v>
      </c>
      <c r="AZ23" s="1" t="e">
        <f t="shared" si="6"/>
        <v>#REF!</v>
      </c>
      <c r="BA23" s="1" t="e">
        <f>(O23+P23)*-1*H23/F23</f>
        <v>#DIV/0!</v>
      </c>
      <c r="BB23" s="1" t="e">
        <f>AZ23*O23</f>
        <v>#REF!</v>
      </c>
      <c r="BC23" s="1" t="e">
        <f t="shared" si="7"/>
        <v>#REF!</v>
      </c>
      <c r="BD23" s="1" t="e">
        <f>P23*H23*-1/F23</f>
        <v>#DIV/0!</v>
      </c>
      <c r="BE23" s="1" t="e">
        <f>BC23*O23</f>
        <v>#REF!</v>
      </c>
      <c r="BF23" s="1" t="e">
        <f t="shared" si="8"/>
        <v>#REF!</v>
      </c>
      <c r="BG23" s="1" t="e">
        <f>(O23+P23)*-1*H23/F23</f>
        <v>#DIV/0!</v>
      </c>
      <c r="BH23" s="1" t="e">
        <f>BF23*O23</f>
        <v>#REF!</v>
      </c>
      <c r="BI23" s="1" t="e">
        <f t="shared" si="9"/>
        <v>#REF!</v>
      </c>
      <c r="BJ23" s="1" t="e">
        <f>H23/F23*P23*-1</f>
        <v>#DIV/0!</v>
      </c>
      <c r="BK23" s="1" t="e">
        <f>O23*BI23</f>
        <v>#REF!</v>
      </c>
      <c r="BM23" s="9">
        <v>3.14</v>
      </c>
      <c r="BN23" s="10">
        <v>0.22181100240000001</v>
      </c>
      <c r="BO23" s="9">
        <v>0.18104824</v>
      </c>
      <c r="BQ23" s="10" t="e">
        <f>1/F23*BN23</f>
        <v>#DIV/0!</v>
      </c>
      <c r="BR23" s="10" t="e">
        <f>G23/F23*BO23</f>
        <v>#DIV/0!</v>
      </c>
      <c r="BS23" s="10" t="e">
        <f t="shared" si="10"/>
        <v>#DIV/0!</v>
      </c>
      <c r="BU23" s="10">
        <f t="shared" si="11"/>
        <v>3.14</v>
      </c>
      <c r="BV23" s="10" t="e">
        <f>#REF!/F23*BO23</f>
        <v>#REF!</v>
      </c>
      <c r="BW23" s="10" t="e">
        <f>I23/F23</f>
        <v>#DIV/0!</v>
      </c>
      <c r="BX23" s="10" t="e">
        <f>H23/F23</f>
        <v>#DIV/0!</v>
      </c>
      <c r="BY23" s="10" t="e">
        <f t="shared" si="12"/>
        <v>#DIV/0!</v>
      </c>
      <c r="BZ23" s="10" t="e">
        <f t="shared" si="13"/>
        <v>#REF!</v>
      </c>
    </row>
    <row r="24" spans="2:78" x14ac:dyDescent="0.2">
      <c r="B24" s="14"/>
      <c r="C24" s="13" t="s">
        <v>72</v>
      </c>
      <c r="D24" s="13"/>
      <c r="E24" s="13"/>
      <c r="F24" s="13"/>
      <c r="G24" s="13"/>
      <c r="H24" s="13"/>
      <c r="I24" s="13"/>
      <c r="J24" s="13"/>
      <c r="K24" s="13"/>
      <c r="L24" s="13"/>
      <c r="M24" s="11" t="e">
        <f t="shared" si="0"/>
        <v>#DIV/0!</v>
      </c>
      <c r="O24" s="16"/>
      <c r="P24" s="16"/>
      <c r="Q24" s="16"/>
      <c r="R24" s="16"/>
      <c r="S24" s="16"/>
      <c r="T24" s="11">
        <v>21.986353300000001</v>
      </c>
      <c r="U24" s="17"/>
      <c r="V24" s="17"/>
      <c r="W24" s="16"/>
      <c r="X24" s="16"/>
      <c r="Y24" s="16"/>
      <c r="Z24" s="17"/>
      <c r="AA24" s="17"/>
      <c r="AB24" s="17"/>
      <c r="AC24" s="17"/>
      <c r="AD24" s="17"/>
      <c r="AE24" s="17"/>
      <c r="AF24" s="16"/>
      <c r="AG24" s="16"/>
      <c r="AH24" s="16"/>
      <c r="AI24" s="16"/>
      <c r="AK24" s="1">
        <f t="shared" si="1"/>
        <v>0</v>
      </c>
      <c r="AL24" s="1" t="str">
        <f t="shared" si="2"/>
        <v>Ethanol</v>
      </c>
      <c r="AM24" s="12" t="e">
        <f>SUM(AS24:AY24)+BA24+BB24</f>
        <v>#DIV/0!</v>
      </c>
      <c r="AN24" s="12" t="e">
        <f>SUM(AS24:AY24)+BD24+BE24</f>
        <v>#DIV/0!</v>
      </c>
      <c r="AO24" s="5" t="e">
        <f t="shared" si="3"/>
        <v>#DIV/0!</v>
      </c>
      <c r="AP24" s="12" t="e">
        <f>SUM(AS24:AY24)+BG24+BH24</f>
        <v>#DIV/0!</v>
      </c>
      <c r="AQ24" s="12" t="e">
        <f>SUM(AS24:AY24)+BJ24+BK24</f>
        <v>#DIV/0!</v>
      </c>
      <c r="AR24" s="5" t="e">
        <f t="shared" si="4"/>
        <v>#DIV/0!</v>
      </c>
      <c r="AS24" s="5" t="e">
        <f t="shared" si="5"/>
        <v>#DIV/0!</v>
      </c>
      <c r="AT24" s="1" t="e">
        <f>E24/F24*W24</f>
        <v>#DIV/0!</v>
      </c>
      <c r="AU24" s="1" t="e">
        <f>1/F24*T24</f>
        <v>#DIV/0!</v>
      </c>
      <c r="AV24" s="1" t="e">
        <f>G24/F24*AF24</f>
        <v>#DIV/0!</v>
      </c>
      <c r="AW24" s="1" t="e">
        <f>J24/F24/(0.9*8760)</f>
        <v>#DIV/0!</v>
      </c>
      <c r="AX24" s="1" t="e">
        <f>K24/F24/(0.9*8760)</f>
        <v>#DIV/0!</v>
      </c>
      <c r="AY24" s="1" t="e">
        <f>L24/F24</f>
        <v>#DIV/0!</v>
      </c>
      <c r="AZ24" s="1" t="e">
        <f t="shared" si="6"/>
        <v>#REF!</v>
      </c>
      <c r="BA24" s="1" t="e">
        <f>(O24+P24)*-1*H24/F24</f>
        <v>#DIV/0!</v>
      </c>
      <c r="BB24" s="1" t="e">
        <f>AZ24*O24</f>
        <v>#REF!</v>
      </c>
      <c r="BC24" s="1" t="e">
        <f t="shared" si="7"/>
        <v>#REF!</v>
      </c>
      <c r="BD24" s="1" t="e">
        <f>P24*H24*-1/F24</f>
        <v>#DIV/0!</v>
      </c>
      <c r="BE24" s="1" t="e">
        <f>BC24*O24</f>
        <v>#REF!</v>
      </c>
      <c r="BF24" s="1" t="e">
        <f t="shared" si="8"/>
        <v>#REF!</v>
      </c>
      <c r="BG24" s="1" t="e">
        <f>(O24+P24)*-1*H24/F24</f>
        <v>#DIV/0!</v>
      </c>
      <c r="BH24" s="1" t="e">
        <f>BF24*O24</f>
        <v>#REF!</v>
      </c>
      <c r="BI24" s="1" t="e">
        <f t="shared" si="9"/>
        <v>#REF!</v>
      </c>
      <c r="BJ24" s="1" t="e">
        <f>H24/F24*P24*-1</f>
        <v>#DIV/0!</v>
      </c>
      <c r="BK24" s="1" t="e">
        <f>O24*BI24</f>
        <v>#REF!</v>
      </c>
      <c r="BM24" s="9">
        <v>3.14</v>
      </c>
      <c r="BN24" s="10">
        <v>0.22181100240000001</v>
      </c>
      <c r="BO24" s="9">
        <v>0.18104824</v>
      </c>
      <c r="BQ24" s="10" t="e">
        <f>1/F24*BN24</f>
        <v>#DIV/0!</v>
      </c>
      <c r="BR24" s="10" t="e">
        <f>G24/F24*BO24</f>
        <v>#DIV/0!</v>
      </c>
      <c r="BS24" s="10" t="e">
        <f t="shared" si="10"/>
        <v>#DIV/0!</v>
      </c>
      <c r="BU24" s="10">
        <f t="shared" si="11"/>
        <v>3.14</v>
      </c>
      <c r="BV24" s="10" t="e">
        <f>#REF!/F24*BO24</f>
        <v>#REF!</v>
      </c>
      <c r="BW24" s="10" t="e">
        <f>I24/F24</f>
        <v>#DIV/0!</v>
      </c>
      <c r="BX24" s="10" t="e">
        <f>H24/F24</f>
        <v>#DIV/0!</v>
      </c>
      <c r="BY24" s="10" t="e">
        <f t="shared" si="12"/>
        <v>#DIV/0!</v>
      </c>
      <c r="BZ24" s="10" t="e">
        <f t="shared" si="13"/>
        <v>#REF!</v>
      </c>
    </row>
    <row r="25" spans="2:78" x14ac:dyDescent="0.2">
      <c r="B25" s="14"/>
      <c r="C25" s="13" t="s">
        <v>72</v>
      </c>
      <c r="D25" s="13"/>
      <c r="E25" s="13"/>
      <c r="F25" s="13"/>
      <c r="G25" s="13"/>
      <c r="H25" s="13"/>
      <c r="I25" s="13"/>
      <c r="J25" s="13"/>
      <c r="K25" s="13"/>
      <c r="L25" s="13"/>
      <c r="M25" s="11" t="e">
        <f t="shared" si="0"/>
        <v>#DIV/0!</v>
      </c>
      <c r="O25" s="16"/>
      <c r="P25" s="16"/>
      <c r="Q25" s="16"/>
      <c r="R25" s="16"/>
      <c r="S25" s="16"/>
      <c r="T25" s="11">
        <v>21.986353300000001</v>
      </c>
      <c r="U25" s="17"/>
      <c r="V25" s="17"/>
      <c r="W25" s="16"/>
      <c r="X25" s="16"/>
      <c r="Y25" s="16"/>
      <c r="Z25" s="17"/>
      <c r="AA25" s="17"/>
      <c r="AB25" s="17"/>
      <c r="AC25" s="17"/>
      <c r="AD25" s="17"/>
      <c r="AE25" s="17"/>
      <c r="AF25" s="16"/>
      <c r="AG25" s="16"/>
      <c r="AH25" s="16"/>
      <c r="AI25" s="16"/>
      <c r="AK25" s="1">
        <f t="shared" si="1"/>
        <v>0</v>
      </c>
      <c r="AL25" s="1" t="str">
        <f t="shared" si="2"/>
        <v>Ethanol</v>
      </c>
      <c r="AM25" s="12" t="e">
        <f>SUM(AS25:AY25)+BA25+BB25</f>
        <v>#DIV/0!</v>
      </c>
      <c r="AN25" s="12" t="e">
        <f>SUM(AS25:AY25)+BD25+BE25</f>
        <v>#DIV/0!</v>
      </c>
      <c r="AO25" s="5" t="e">
        <f t="shared" si="3"/>
        <v>#DIV/0!</v>
      </c>
      <c r="AP25" s="12" t="e">
        <f>SUM(AS25:AY25)+BG25+BH25</f>
        <v>#DIV/0!</v>
      </c>
      <c r="AQ25" s="12" t="e">
        <f>SUM(AS25:AY25)+BJ25+BK25</f>
        <v>#DIV/0!</v>
      </c>
      <c r="AR25" s="5" t="e">
        <f t="shared" si="4"/>
        <v>#DIV/0!</v>
      </c>
      <c r="AS25" s="5" t="e">
        <f t="shared" si="5"/>
        <v>#DIV/0!</v>
      </c>
      <c r="AT25" s="1" t="e">
        <f>E25/F25*W25</f>
        <v>#DIV/0!</v>
      </c>
      <c r="AU25" s="1" t="e">
        <f>1/F25*T25</f>
        <v>#DIV/0!</v>
      </c>
      <c r="AV25" s="1" t="e">
        <f>G25/F25*AF25</f>
        <v>#DIV/0!</v>
      </c>
      <c r="AW25" s="1" t="e">
        <f>J25/F25/(0.9*8760)</f>
        <v>#DIV/0!</v>
      </c>
      <c r="AX25" s="1" t="e">
        <f>K25/F25/(0.9*8760)</f>
        <v>#DIV/0!</v>
      </c>
      <c r="AY25" s="1" t="e">
        <f>L25/F25</f>
        <v>#DIV/0!</v>
      </c>
      <c r="AZ25" s="1" t="e">
        <f t="shared" si="6"/>
        <v>#REF!</v>
      </c>
      <c r="BA25" s="1" t="e">
        <f>(O25+P25)*-1*H25/F25</f>
        <v>#DIV/0!</v>
      </c>
      <c r="BB25" s="1" t="e">
        <f>AZ25*O25</f>
        <v>#REF!</v>
      </c>
      <c r="BC25" s="1" t="e">
        <f t="shared" si="7"/>
        <v>#REF!</v>
      </c>
      <c r="BD25" s="1" t="e">
        <f>P25*H25*-1/F25</f>
        <v>#DIV/0!</v>
      </c>
      <c r="BE25" s="1" t="e">
        <f>BC25*O25</f>
        <v>#REF!</v>
      </c>
      <c r="BF25" s="1" t="e">
        <f t="shared" si="8"/>
        <v>#REF!</v>
      </c>
      <c r="BG25" s="1" t="e">
        <f>(O25+P25)*-1*H25/F25</f>
        <v>#DIV/0!</v>
      </c>
      <c r="BH25" s="1" t="e">
        <f>BF25*O25</f>
        <v>#REF!</v>
      </c>
      <c r="BI25" s="1" t="e">
        <f t="shared" si="9"/>
        <v>#REF!</v>
      </c>
      <c r="BJ25" s="1" t="e">
        <f>H25/F25*P25*-1</f>
        <v>#DIV/0!</v>
      </c>
      <c r="BK25" s="1" t="e">
        <f>O25*BI25</f>
        <v>#REF!</v>
      </c>
      <c r="BM25" s="9">
        <v>3.14</v>
      </c>
      <c r="BN25" s="10">
        <v>0.22181100240000001</v>
      </c>
      <c r="BO25" s="9">
        <v>0.18104824</v>
      </c>
      <c r="BQ25" s="10" t="e">
        <f>1/F25*BN25</f>
        <v>#DIV/0!</v>
      </c>
      <c r="BR25" s="10" t="e">
        <f>G25/F25*BO25</f>
        <v>#DIV/0!</v>
      </c>
      <c r="BS25" s="10" t="e">
        <f t="shared" si="10"/>
        <v>#DIV/0!</v>
      </c>
      <c r="BU25" s="10">
        <f t="shared" si="11"/>
        <v>3.14</v>
      </c>
      <c r="BV25" s="10" t="e">
        <f>#REF!/F25*BO25</f>
        <v>#REF!</v>
      </c>
      <c r="BW25" s="10" t="e">
        <f>I25/F25</f>
        <v>#DIV/0!</v>
      </c>
      <c r="BX25" s="10" t="e">
        <f>H25/F25</f>
        <v>#DIV/0!</v>
      </c>
      <c r="BY25" s="10" t="e">
        <f t="shared" si="12"/>
        <v>#DIV/0!</v>
      </c>
      <c r="BZ25" s="10" t="e">
        <f t="shared" si="13"/>
        <v>#REF!</v>
      </c>
    </row>
    <row r="26" spans="2:78" x14ac:dyDescent="0.2">
      <c r="B26" s="14"/>
      <c r="C26" s="13" t="s">
        <v>72</v>
      </c>
      <c r="D26" s="13"/>
      <c r="E26" s="13"/>
      <c r="F26" s="13"/>
      <c r="G26" s="13"/>
      <c r="H26" s="13"/>
      <c r="I26" s="13"/>
      <c r="J26" s="13"/>
      <c r="K26" s="13"/>
      <c r="L26" s="13"/>
      <c r="M26" s="11" t="e">
        <f t="shared" si="0"/>
        <v>#DIV/0!</v>
      </c>
      <c r="O26" s="16"/>
      <c r="P26" s="16"/>
      <c r="Q26" s="16"/>
      <c r="R26" s="16"/>
      <c r="S26" s="16"/>
      <c r="T26" s="11">
        <v>21.986353300000001</v>
      </c>
      <c r="U26" s="17"/>
      <c r="V26" s="17"/>
      <c r="W26" s="16"/>
      <c r="X26" s="16"/>
      <c r="Y26" s="16"/>
      <c r="Z26" s="17"/>
      <c r="AA26" s="17"/>
      <c r="AB26" s="17"/>
      <c r="AC26" s="17"/>
      <c r="AD26" s="17"/>
      <c r="AE26" s="17"/>
      <c r="AF26" s="16"/>
      <c r="AG26" s="16"/>
      <c r="AH26" s="16"/>
      <c r="AI26" s="16"/>
      <c r="AK26" s="1">
        <f t="shared" si="1"/>
        <v>0</v>
      </c>
      <c r="AL26" s="1" t="str">
        <f t="shared" si="2"/>
        <v>Ethanol</v>
      </c>
      <c r="AM26" s="12" t="e">
        <f>SUM(AS26:AY26)+BA26+BB26</f>
        <v>#DIV/0!</v>
      </c>
      <c r="AN26" s="12" t="e">
        <f>SUM(AS26:AY26)+BD26+BE26</f>
        <v>#DIV/0!</v>
      </c>
      <c r="AO26" s="5" t="e">
        <f t="shared" si="3"/>
        <v>#DIV/0!</v>
      </c>
      <c r="AP26" s="12" t="e">
        <f>SUM(AS26:AY26)+BG26+BH26</f>
        <v>#DIV/0!</v>
      </c>
      <c r="AQ26" s="12" t="e">
        <f>SUM(AS26:AY26)+BJ26+BK26</f>
        <v>#DIV/0!</v>
      </c>
      <c r="AR26" s="5" t="e">
        <f t="shared" si="4"/>
        <v>#DIV/0!</v>
      </c>
      <c r="AS26" s="5" t="e">
        <f t="shared" si="5"/>
        <v>#DIV/0!</v>
      </c>
      <c r="AT26" s="1" t="e">
        <f>E26/F26*W26</f>
        <v>#DIV/0!</v>
      </c>
      <c r="AU26" s="1" t="e">
        <f>1/F26*T26</f>
        <v>#DIV/0!</v>
      </c>
      <c r="AV26" s="1" t="e">
        <f>G26/F26*AF26</f>
        <v>#DIV/0!</v>
      </c>
      <c r="AW26" s="1" t="e">
        <f>J26/F26/(0.9*8760)</f>
        <v>#DIV/0!</v>
      </c>
      <c r="AX26" s="1" t="e">
        <f>K26/F26/(0.9*8760)</f>
        <v>#DIV/0!</v>
      </c>
      <c r="AY26" s="1" t="e">
        <f>L26/F26</f>
        <v>#DIV/0!</v>
      </c>
      <c r="AZ26" s="1" t="e">
        <f t="shared" si="6"/>
        <v>#REF!</v>
      </c>
      <c r="BA26" s="1" t="e">
        <f>(O26+P26)*-1*H26/F26</f>
        <v>#DIV/0!</v>
      </c>
      <c r="BB26" s="1" t="e">
        <f>AZ26*O26</f>
        <v>#REF!</v>
      </c>
      <c r="BC26" s="1" t="e">
        <f t="shared" si="7"/>
        <v>#REF!</v>
      </c>
      <c r="BD26" s="1" t="e">
        <f>P26*H26*-1/F26</f>
        <v>#DIV/0!</v>
      </c>
      <c r="BE26" s="1" t="e">
        <f>BC26*O26</f>
        <v>#REF!</v>
      </c>
      <c r="BF26" s="1" t="e">
        <f t="shared" si="8"/>
        <v>#REF!</v>
      </c>
      <c r="BG26" s="1" t="e">
        <f>(O26+P26)*-1*H26/F26</f>
        <v>#DIV/0!</v>
      </c>
      <c r="BH26" s="1" t="e">
        <f>BF26*O26</f>
        <v>#REF!</v>
      </c>
      <c r="BI26" s="1" t="e">
        <f t="shared" si="9"/>
        <v>#REF!</v>
      </c>
      <c r="BJ26" s="1" t="e">
        <f>H26/F26*P26*-1</f>
        <v>#DIV/0!</v>
      </c>
      <c r="BK26" s="1" t="e">
        <f>O26*BI26</f>
        <v>#REF!</v>
      </c>
      <c r="BM26" s="9">
        <v>3.14</v>
      </c>
      <c r="BN26" s="10">
        <v>0.22181100240000001</v>
      </c>
      <c r="BO26" s="9">
        <v>0.18104824</v>
      </c>
      <c r="BQ26" s="10" t="e">
        <f>1/F26*BN26</f>
        <v>#DIV/0!</v>
      </c>
      <c r="BR26" s="10" t="e">
        <f>G26/F26*BO26</f>
        <v>#DIV/0!</v>
      </c>
      <c r="BS26" s="10" t="e">
        <f t="shared" si="10"/>
        <v>#DIV/0!</v>
      </c>
      <c r="BU26" s="10">
        <f t="shared" si="11"/>
        <v>3.14</v>
      </c>
      <c r="BV26" s="10" t="e">
        <f>#REF!/F26*BO26</f>
        <v>#REF!</v>
      </c>
      <c r="BW26" s="10" t="e">
        <f>I26/F26</f>
        <v>#DIV/0!</v>
      </c>
      <c r="BX26" s="10" t="e">
        <f>H26/F26</f>
        <v>#DIV/0!</v>
      </c>
      <c r="BY26" s="10" t="e">
        <f t="shared" si="12"/>
        <v>#DIV/0!</v>
      </c>
      <c r="BZ26" s="10" t="e">
        <f t="shared" si="13"/>
        <v>#REF!</v>
      </c>
    </row>
    <row r="27" spans="2:78" x14ac:dyDescent="0.2">
      <c r="B27" s="14"/>
      <c r="C27" s="13" t="s">
        <v>72</v>
      </c>
      <c r="D27" s="13"/>
      <c r="E27" s="13"/>
      <c r="F27" s="13"/>
      <c r="G27" s="13"/>
      <c r="H27" s="13"/>
      <c r="I27" s="13"/>
      <c r="J27" s="13"/>
      <c r="K27" s="13"/>
      <c r="L27" s="13"/>
      <c r="M27" s="11" t="e">
        <f t="shared" si="0"/>
        <v>#DIV/0!</v>
      </c>
      <c r="O27" s="16"/>
      <c r="P27" s="16"/>
      <c r="Q27" s="16"/>
      <c r="R27" s="16"/>
      <c r="S27" s="16"/>
      <c r="T27" s="11">
        <v>21.986353300000001</v>
      </c>
      <c r="U27" s="17"/>
      <c r="V27" s="17"/>
      <c r="W27" s="16"/>
      <c r="X27" s="16"/>
      <c r="Y27" s="16"/>
      <c r="Z27" s="17"/>
      <c r="AA27" s="17"/>
      <c r="AB27" s="17"/>
      <c r="AC27" s="17"/>
      <c r="AD27" s="17"/>
      <c r="AE27" s="17"/>
      <c r="AF27" s="16"/>
      <c r="AG27" s="16"/>
      <c r="AH27" s="16"/>
      <c r="AI27" s="16"/>
      <c r="AK27" s="1">
        <f t="shared" si="1"/>
        <v>0</v>
      </c>
      <c r="AL27" s="1" t="str">
        <f t="shared" si="2"/>
        <v>Ethanol</v>
      </c>
      <c r="AM27" s="12" t="e">
        <f>SUM(AS27:AY27)+BA27+BB27</f>
        <v>#DIV/0!</v>
      </c>
      <c r="AN27" s="12" t="e">
        <f>SUM(AS27:AY27)+BD27+BE27</f>
        <v>#DIV/0!</v>
      </c>
      <c r="AO27" s="5" t="e">
        <f t="shared" si="3"/>
        <v>#DIV/0!</v>
      </c>
      <c r="AP27" s="12" t="e">
        <f>SUM(AS27:AY27)+BG27+BH27</f>
        <v>#DIV/0!</v>
      </c>
      <c r="AQ27" s="12" t="e">
        <f>SUM(AS27:AY27)+BJ27+BK27</f>
        <v>#DIV/0!</v>
      </c>
      <c r="AR27" s="5" t="e">
        <f t="shared" si="4"/>
        <v>#DIV/0!</v>
      </c>
      <c r="AS27" s="5" t="e">
        <f t="shared" si="5"/>
        <v>#DIV/0!</v>
      </c>
      <c r="AT27" s="1" t="e">
        <f>E27/F27*W27</f>
        <v>#DIV/0!</v>
      </c>
      <c r="AU27" s="1" t="e">
        <f>1/F27*T27</f>
        <v>#DIV/0!</v>
      </c>
      <c r="AV27" s="1" t="e">
        <f>G27/F27*AF27</f>
        <v>#DIV/0!</v>
      </c>
      <c r="AW27" s="1" t="e">
        <f>J27/F27/(0.9*8760)</f>
        <v>#DIV/0!</v>
      </c>
      <c r="AX27" s="1" t="e">
        <f>K27/F27/(0.9*8760)</f>
        <v>#DIV/0!</v>
      </c>
      <c r="AY27" s="1" t="e">
        <f>L27/F27</f>
        <v>#DIV/0!</v>
      </c>
      <c r="AZ27" s="1" t="e">
        <f t="shared" si="6"/>
        <v>#REF!</v>
      </c>
      <c r="BA27" s="1" t="e">
        <f>(O27+P27)*-1*H27/F27</f>
        <v>#DIV/0!</v>
      </c>
      <c r="BB27" s="1" t="e">
        <f>AZ27*O27</f>
        <v>#REF!</v>
      </c>
      <c r="BC27" s="1" t="e">
        <f t="shared" si="7"/>
        <v>#REF!</v>
      </c>
      <c r="BD27" s="1" t="e">
        <f>P27*H27*-1/F27</f>
        <v>#DIV/0!</v>
      </c>
      <c r="BE27" s="1" t="e">
        <f>BC27*O27</f>
        <v>#REF!</v>
      </c>
      <c r="BF27" s="1" t="e">
        <f t="shared" si="8"/>
        <v>#REF!</v>
      </c>
      <c r="BG27" s="1" t="e">
        <f>(O27+P27)*-1*H27/F27</f>
        <v>#DIV/0!</v>
      </c>
      <c r="BH27" s="1" t="e">
        <f>BF27*O27</f>
        <v>#REF!</v>
      </c>
      <c r="BI27" s="1" t="e">
        <f t="shared" si="9"/>
        <v>#REF!</v>
      </c>
      <c r="BJ27" s="1" t="e">
        <f>H27/F27*P27*-1</f>
        <v>#DIV/0!</v>
      </c>
      <c r="BK27" s="1" t="e">
        <f>O27*BI27</f>
        <v>#REF!</v>
      </c>
      <c r="BM27" s="9">
        <v>3.14</v>
      </c>
      <c r="BN27" s="10">
        <v>0.22181100240000001</v>
      </c>
      <c r="BO27" s="9">
        <v>0.18104824</v>
      </c>
      <c r="BQ27" s="10" t="e">
        <f>1/F27*BN27</f>
        <v>#DIV/0!</v>
      </c>
      <c r="BR27" s="10" t="e">
        <f>G27/F27*BO27</f>
        <v>#DIV/0!</v>
      </c>
      <c r="BS27" s="10" t="e">
        <f t="shared" si="10"/>
        <v>#DIV/0!</v>
      </c>
      <c r="BU27" s="10">
        <f t="shared" si="11"/>
        <v>3.14</v>
      </c>
      <c r="BV27" s="10" t="e">
        <f>#REF!/F27*BO27</f>
        <v>#REF!</v>
      </c>
      <c r="BW27" s="10" t="e">
        <f>I27/F27</f>
        <v>#DIV/0!</v>
      </c>
      <c r="BX27" s="10" t="e">
        <f>H27/F27</f>
        <v>#DIV/0!</v>
      </c>
      <c r="BY27" s="10" t="e">
        <f t="shared" si="12"/>
        <v>#DIV/0!</v>
      </c>
      <c r="BZ27" s="10" t="e">
        <f t="shared" si="13"/>
        <v>#REF!</v>
      </c>
    </row>
    <row r="28" spans="2:78" x14ac:dyDescent="0.2">
      <c r="B28" s="14"/>
      <c r="C28" s="13" t="s">
        <v>72</v>
      </c>
      <c r="D28" s="13"/>
      <c r="E28" s="13"/>
      <c r="F28" s="13"/>
      <c r="G28" s="13"/>
      <c r="H28" s="13"/>
      <c r="I28" s="13"/>
      <c r="J28" s="13"/>
      <c r="K28" s="13"/>
      <c r="L28" s="13"/>
      <c r="M28" s="11" t="e">
        <f t="shared" si="0"/>
        <v>#DIV/0!</v>
      </c>
      <c r="O28" s="16"/>
      <c r="P28" s="16"/>
      <c r="Q28" s="16"/>
      <c r="R28" s="16"/>
      <c r="S28" s="16"/>
      <c r="T28" s="11">
        <v>21.986353300000001</v>
      </c>
      <c r="U28" s="17"/>
      <c r="V28" s="17"/>
      <c r="W28" s="16"/>
      <c r="X28" s="16"/>
      <c r="Y28" s="16"/>
      <c r="Z28" s="17"/>
      <c r="AA28" s="17"/>
      <c r="AB28" s="17"/>
      <c r="AC28" s="17"/>
      <c r="AD28" s="17"/>
      <c r="AE28" s="17"/>
      <c r="AF28" s="16"/>
      <c r="AG28" s="16"/>
      <c r="AH28" s="16"/>
      <c r="AI28" s="16"/>
      <c r="AK28" s="1">
        <f t="shared" si="1"/>
        <v>0</v>
      </c>
      <c r="AL28" s="1" t="str">
        <f t="shared" si="2"/>
        <v>Ethanol</v>
      </c>
      <c r="AM28" s="12" t="e">
        <f>SUM(AS28:AY28)+BA28+BB28</f>
        <v>#DIV/0!</v>
      </c>
      <c r="AN28" s="12" t="e">
        <f>SUM(AS28:AY28)+BD28+BE28</f>
        <v>#DIV/0!</v>
      </c>
      <c r="AO28" s="5" t="e">
        <f t="shared" si="3"/>
        <v>#DIV/0!</v>
      </c>
      <c r="AP28" s="12" t="e">
        <f>SUM(AS28:AY28)+BG28+BH28</f>
        <v>#DIV/0!</v>
      </c>
      <c r="AQ28" s="12" t="e">
        <f>SUM(AS28:AY28)+BJ28+BK28</f>
        <v>#DIV/0!</v>
      </c>
      <c r="AR28" s="5" t="e">
        <f t="shared" si="4"/>
        <v>#DIV/0!</v>
      </c>
      <c r="AS28" s="5" t="e">
        <f t="shared" si="5"/>
        <v>#DIV/0!</v>
      </c>
      <c r="AT28" s="1" t="e">
        <f>E28/F28*W28</f>
        <v>#DIV/0!</v>
      </c>
      <c r="AU28" s="1" t="e">
        <f>1/F28*T28</f>
        <v>#DIV/0!</v>
      </c>
      <c r="AV28" s="1" t="e">
        <f>G28/F28*AF28</f>
        <v>#DIV/0!</v>
      </c>
      <c r="AW28" s="1" t="e">
        <f>J28/F28/(0.9*8760)</f>
        <v>#DIV/0!</v>
      </c>
      <c r="AX28" s="1" t="e">
        <f>K28/F28/(0.9*8760)</f>
        <v>#DIV/0!</v>
      </c>
      <c r="AY28" s="1" t="e">
        <f>L28/F28</f>
        <v>#DIV/0!</v>
      </c>
      <c r="AZ28" s="1" t="e">
        <f t="shared" si="6"/>
        <v>#REF!</v>
      </c>
      <c r="BA28" s="1" t="e">
        <f>(O28+P28)*-1*H28/F28</f>
        <v>#DIV/0!</v>
      </c>
      <c r="BB28" s="1" t="e">
        <f>AZ28*O28</f>
        <v>#REF!</v>
      </c>
      <c r="BC28" s="1" t="e">
        <f t="shared" si="7"/>
        <v>#REF!</v>
      </c>
      <c r="BD28" s="1" t="e">
        <f>P28*H28*-1/F28</f>
        <v>#DIV/0!</v>
      </c>
      <c r="BE28" s="1" t="e">
        <f>BC28*O28</f>
        <v>#REF!</v>
      </c>
      <c r="BF28" s="1" t="e">
        <f t="shared" si="8"/>
        <v>#REF!</v>
      </c>
      <c r="BG28" s="1" t="e">
        <f>(O28+P28)*-1*H28/F28</f>
        <v>#DIV/0!</v>
      </c>
      <c r="BH28" s="1" t="e">
        <f>BF28*O28</f>
        <v>#REF!</v>
      </c>
      <c r="BI28" s="1" t="e">
        <f t="shared" si="9"/>
        <v>#REF!</v>
      </c>
      <c r="BJ28" s="1" t="e">
        <f>H28/F28*P28*-1</f>
        <v>#DIV/0!</v>
      </c>
      <c r="BK28" s="1" t="e">
        <f>O28*BI28</f>
        <v>#REF!</v>
      </c>
      <c r="BM28" s="9">
        <v>3.14</v>
      </c>
      <c r="BN28" s="10">
        <v>0.22181100240000001</v>
      </c>
      <c r="BO28" s="9">
        <v>0.18104824</v>
      </c>
      <c r="BQ28" s="10" t="e">
        <f>1/F28*BN28</f>
        <v>#DIV/0!</v>
      </c>
      <c r="BR28" s="10" t="e">
        <f>G28/F28*BO28</f>
        <v>#DIV/0!</v>
      </c>
      <c r="BS28" s="10" t="e">
        <f t="shared" si="10"/>
        <v>#DIV/0!</v>
      </c>
      <c r="BU28" s="10">
        <f t="shared" si="11"/>
        <v>3.14</v>
      </c>
      <c r="BV28" s="10" t="e">
        <f>#REF!/F28*BO28</f>
        <v>#REF!</v>
      </c>
      <c r="BW28" s="10" t="e">
        <f>I28/F28</f>
        <v>#DIV/0!</v>
      </c>
      <c r="BX28" s="10" t="e">
        <f>H28/F28</f>
        <v>#DIV/0!</v>
      </c>
      <c r="BY28" s="10" t="e">
        <f t="shared" si="12"/>
        <v>#DIV/0!</v>
      </c>
      <c r="BZ28" s="10" t="e">
        <f t="shared" si="13"/>
        <v>#REF!</v>
      </c>
    </row>
    <row r="29" spans="2:78" x14ac:dyDescent="0.2">
      <c r="B29" s="14"/>
      <c r="C29" s="13" t="s">
        <v>72</v>
      </c>
      <c r="D29" s="13"/>
      <c r="E29" s="13"/>
      <c r="F29" s="13"/>
      <c r="G29" s="13"/>
      <c r="H29" s="13"/>
      <c r="I29" s="13"/>
      <c r="J29" s="13"/>
      <c r="K29" s="13"/>
      <c r="L29" s="13"/>
      <c r="M29" s="11" t="e">
        <f t="shared" si="0"/>
        <v>#DIV/0!</v>
      </c>
      <c r="O29" s="16"/>
      <c r="P29" s="16"/>
      <c r="Q29" s="16"/>
      <c r="R29" s="16"/>
      <c r="S29" s="16"/>
      <c r="T29" s="11">
        <v>21.986353300000001</v>
      </c>
      <c r="U29" s="17"/>
      <c r="V29" s="17"/>
      <c r="W29" s="16"/>
      <c r="X29" s="16"/>
      <c r="Y29" s="16"/>
      <c r="Z29" s="17"/>
      <c r="AA29" s="17"/>
      <c r="AB29" s="17"/>
      <c r="AC29" s="17"/>
      <c r="AD29" s="17"/>
      <c r="AE29" s="17"/>
      <c r="AF29" s="16"/>
      <c r="AG29" s="16"/>
      <c r="AH29" s="16"/>
      <c r="AI29" s="16"/>
      <c r="AK29" s="1">
        <f t="shared" si="1"/>
        <v>0</v>
      </c>
      <c r="AL29" s="1" t="str">
        <f t="shared" si="2"/>
        <v>Ethanol</v>
      </c>
      <c r="AM29" s="12" t="e">
        <f>SUM(AS29:AY29)+BA29+BB29</f>
        <v>#DIV/0!</v>
      </c>
      <c r="AN29" s="12" t="e">
        <f>SUM(AS29:AY29)+BD29+BE29</f>
        <v>#DIV/0!</v>
      </c>
      <c r="AO29" s="5" t="e">
        <f t="shared" si="3"/>
        <v>#DIV/0!</v>
      </c>
      <c r="AP29" s="12" t="e">
        <f>SUM(AS29:AY29)+BG29+BH29</f>
        <v>#DIV/0!</v>
      </c>
      <c r="AQ29" s="12" t="e">
        <f>SUM(AS29:AY29)+BJ29+BK29</f>
        <v>#DIV/0!</v>
      </c>
      <c r="AR29" s="5" t="e">
        <f t="shared" si="4"/>
        <v>#DIV/0!</v>
      </c>
      <c r="AS29" s="5" t="e">
        <f t="shared" si="5"/>
        <v>#DIV/0!</v>
      </c>
      <c r="AT29" s="1" t="e">
        <f>E29/F29*W29</f>
        <v>#DIV/0!</v>
      </c>
      <c r="AU29" s="1" t="e">
        <f>1/F29*T29</f>
        <v>#DIV/0!</v>
      </c>
      <c r="AV29" s="1" t="e">
        <f>G29/F29*AF29</f>
        <v>#DIV/0!</v>
      </c>
      <c r="AW29" s="1" t="e">
        <f>J29/F29/(0.9*8760)</f>
        <v>#DIV/0!</v>
      </c>
      <c r="AX29" s="1" t="e">
        <f>K29/F29/(0.9*8760)</f>
        <v>#DIV/0!</v>
      </c>
      <c r="AY29" s="1" t="e">
        <f>L29/F29</f>
        <v>#DIV/0!</v>
      </c>
      <c r="AZ29" s="1" t="e">
        <f t="shared" si="6"/>
        <v>#REF!</v>
      </c>
      <c r="BA29" s="1" t="e">
        <f>(O29+P29)*-1*H29/F29</f>
        <v>#DIV/0!</v>
      </c>
      <c r="BB29" s="1" t="e">
        <f>AZ29*O29</f>
        <v>#REF!</v>
      </c>
      <c r="BC29" s="1" t="e">
        <f t="shared" si="7"/>
        <v>#REF!</v>
      </c>
      <c r="BD29" s="1" t="e">
        <f>P29*H29*-1/F29</f>
        <v>#DIV/0!</v>
      </c>
      <c r="BE29" s="1" t="e">
        <f>BC29*O29</f>
        <v>#REF!</v>
      </c>
      <c r="BF29" s="1" t="e">
        <f t="shared" si="8"/>
        <v>#REF!</v>
      </c>
      <c r="BG29" s="1" t="e">
        <f>(O29+P29)*-1*H29/F29</f>
        <v>#DIV/0!</v>
      </c>
      <c r="BH29" s="1" t="e">
        <f>BF29*O29</f>
        <v>#REF!</v>
      </c>
      <c r="BI29" s="1" t="e">
        <f t="shared" si="9"/>
        <v>#REF!</v>
      </c>
      <c r="BJ29" s="1" t="e">
        <f>H29/F29*P29*-1</f>
        <v>#DIV/0!</v>
      </c>
      <c r="BK29" s="1" t="e">
        <f>O29*BI29</f>
        <v>#REF!</v>
      </c>
      <c r="BM29" s="9">
        <v>3.14</v>
      </c>
      <c r="BN29" s="10">
        <v>0.22181100240000001</v>
      </c>
      <c r="BO29" s="9">
        <v>0.18104824</v>
      </c>
      <c r="BQ29" s="10" t="e">
        <f>1/F29*BN29</f>
        <v>#DIV/0!</v>
      </c>
      <c r="BR29" s="10" t="e">
        <f>G29/F29*BO29</f>
        <v>#DIV/0!</v>
      </c>
      <c r="BS29" s="10" t="e">
        <f t="shared" si="10"/>
        <v>#DIV/0!</v>
      </c>
      <c r="BU29" s="10">
        <f t="shared" si="11"/>
        <v>3.14</v>
      </c>
      <c r="BV29" s="10" t="e">
        <f>#REF!/F29*BO29</f>
        <v>#REF!</v>
      </c>
      <c r="BW29" s="10" t="e">
        <f>I29/F29</f>
        <v>#DIV/0!</v>
      </c>
      <c r="BX29" s="10" t="e">
        <f>H29/F29</f>
        <v>#DIV/0!</v>
      </c>
      <c r="BY29" s="10" t="e">
        <f t="shared" si="12"/>
        <v>#DIV/0!</v>
      </c>
      <c r="BZ29" s="10" t="e">
        <f t="shared" si="13"/>
        <v>#REF!</v>
      </c>
    </row>
    <row r="30" spans="2:78" x14ac:dyDescent="0.2">
      <c r="B30" s="14"/>
      <c r="C30" s="13" t="s">
        <v>72</v>
      </c>
      <c r="D30" s="13"/>
      <c r="E30" s="13"/>
      <c r="F30" s="13"/>
      <c r="G30" s="13"/>
      <c r="H30" s="13"/>
      <c r="I30" s="13"/>
      <c r="J30" s="13"/>
      <c r="K30" s="13"/>
      <c r="L30" s="13"/>
      <c r="M30" s="11" t="e">
        <f t="shared" si="0"/>
        <v>#DIV/0!</v>
      </c>
      <c r="O30" s="16"/>
      <c r="P30" s="16"/>
      <c r="Q30" s="16"/>
      <c r="R30" s="16"/>
      <c r="S30" s="16"/>
      <c r="T30" s="11">
        <v>21.986353300000001</v>
      </c>
      <c r="U30" s="17"/>
      <c r="V30" s="17"/>
      <c r="W30" s="16"/>
      <c r="X30" s="16"/>
      <c r="Y30" s="16"/>
      <c r="Z30" s="17"/>
      <c r="AA30" s="17"/>
      <c r="AB30" s="17"/>
      <c r="AC30" s="17"/>
      <c r="AD30" s="17"/>
      <c r="AE30" s="17"/>
      <c r="AF30" s="16"/>
      <c r="AG30" s="16"/>
      <c r="AH30" s="16"/>
      <c r="AI30" s="16"/>
      <c r="AK30" s="1">
        <f t="shared" si="1"/>
        <v>0</v>
      </c>
      <c r="AL30" s="1" t="str">
        <f t="shared" si="2"/>
        <v>Ethanol</v>
      </c>
      <c r="AM30" s="12" t="e">
        <f>SUM(AS30:AY30)+BA30+BB30</f>
        <v>#DIV/0!</v>
      </c>
      <c r="AN30" s="12" t="e">
        <f>SUM(AS30:AY30)+BD30+BE30</f>
        <v>#DIV/0!</v>
      </c>
      <c r="AO30" s="5" t="e">
        <f t="shared" si="3"/>
        <v>#DIV/0!</v>
      </c>
      <c r="AP30" s="12" t="e">
        <f>SUM(AS30:AY30)+BG30+BH30</f>
        <v>#DIV/0!</v>
      </c>
      <c r="AQ30" s="12" t="e">
        <f>SUM(AS30:AY30)+BJ30+BK30</f>
        <v>#DIV/0!</v>
      </c>
      <c r="AR30" s="5" t="e">
        <f t="shared" si="4"/>
        <v>#DIV/0!</v>
      </c>
      <c r="AS30" s="5" t="e">
        <f t="shared" si="5"/>
        <v>#DIV/0!</v>
      </c>
      <c r="AT30" s="1" t="e">
        <f>E30/F30*W30</f>
        <v>#DIV/0!</v>
      </c>
      <c r="AU30" s="1" t="e">
        <f>1/F30*T30</f>
        <v>#DIV/0!</v>
      </c>
      <c r="AV30" s="1" t="e">
        <f>G30/F30*AF30</f>
        <v>#DIV/0!</v>
      </c>
      <c r="AW30" s="1" t="e">
        <f>J30/F30/(0.9*8760)</f>
        <v>#DIV/0!</v>
      </c>
      <c r="AX30" s="1" t="e">
        <f>K30/F30/(0.9*8760)</f>
        <v>#DIV/0!</v>
      </c>
      <c r="AY30" s="1" t="e">
        <f>L30/F30</f>
        <v>#DIV/0!</v>
      </c>
      <c r="AZ30" s="1" t="e">
        <f t="shared" si="6"/>
        <v>#REF!</v>
      </c>
      <c r="BA30" s="1" t="e">
        <f>(O30+P30)*-1*H30/F30</f>
        <v>#DIV/0!</v>
      </c>
      <c r="BB30" s="1" t="e">
        <f>AZ30*O30</f>
        <v>#REF!</v>
      </c>
      <c r="BC30" s="1" t="e">
        <f t="shared" si="7"/>
        <v>#REF!</v>
      </c>
      <c r="BD30" s="1" t="e">
        <f>P30*H30*-1/F30</f>
        <v>#DIV/0!</v>
      </c>
      <c r="BE30" s="1" t="e">
        <f>BC30*O30</f>
        <v>#REF!</v>
      </c>
      <c r="BF30" s="1" t="e">
        <f t="shared" si="8"/>
        <v>#REF!</v>
      </c>
      <c r="BG30" s="1" t="e">
        <f>(O30+P30)*-1*H30/F30</f>
        <v>#DIV/0!</v>
      </c>
      <c r="BH30" s="1" t="e">
        <f>BF30*O30</f>
        <v>#REF!</v>
      </c>
      <c r="BI30" s="1" t="e">
        <f t="shared" si="9"/>
        <v>#REF!</v>
      </c>
      <c r="BJ30" s="1" t="e">
        <f>H30/F30*P30*-1</f>
        <v>#DIV/0!</v>
      </c>
      <c r="BK30" s="1" t="e">
        <f>O30*BI30</f>
        <v>#REF!</v>
      </c>
      <c r="BM30" s="9">
        <v>3.14</v>
      </c>
      <c r="BN30" s="10">
        <v>0.22181100240000001</v>
      </c>
      <c r="BO30" s="9">
        <v>0.18104824</v>
      </c>
      <c r="BQ30" s="10" t="e">
        <f>1/F30*BN30</f>
        <v>#DIV/0!</v>
      </c>
      <c r="BR30" s="10" t="e">
        <f>G30/F30*BO30</f>
        <v>#DIV/0!</v>
      </c>
      <c r="BS30" s="10" t="e">
        <f t="shared" si="10"/>
        <v>#DIV/0!</v>
      </c>
      <c r="BU30" s="10">
        <f t="shared" si="11"/>
        <v>3.14</v>
      </c>
      <c r="BV30" s="10" t="e">
        <f>#REF!/F30*BO30</f>
        <v>#REF!</v>
      </c>
      <c r="BW30" s="10" t="e">
        <f>I30/F30</f>
        <v>#DIV/0!</v>
      </c>
      <c r="BX30" s="10" t="e">
        <f>H30/F30</f>
        <v>#DIV/0!</v>
      </c>
      <c r="BY30" s="10" t="e">
        <f t="shared" si="12"/>
        <v>#DIV/0!</v>
      </c>
      <c r="BZ30" s="10" t="e">
        <f t="shared" si="13"/>
        <v>#REF!</v>
      </c>
    </row>
    <row r="31" spans="2:78" x14ac:dyDescent="0.2">
      <c r="B31" s="14"/>
      <c r="C31" s="13" t="s">
        <v>72</v>
      </c>
      <c r="D31" s="13"/>
      <c r="E31" s="13"/>
      <c r="F31" s="13"/>
      <c r="G31" s="13"/>
      <c r="H31" s="13"/>
      <c r="I31" s="13"/>
      <c r="J31" s="13"/>
      <c r="K31" s="13"/>
      <c r="L31" s="13"/>
      <c r="M31" s="11" t="e">
        <f t="shared" si="0"/>
        <v>#DIV/0!</v>
      </c>
      <c r="O31" s="16"/>
      <c r="P31" s="16"/>
      <c r="Q31" s="16"/>
      <c r="R31" s="16"/>
      <c r="S31" s="16"/>
      <c r="T31" s="11">
        <v>21.986353300000001</v>
      </c>
      <c r="U31" s="17"/>
      <c r="V31" s="17"/>
      <c r="W31" s="16"/>
      <c r="X31" s="16"/>
      <c r="Y31" s="16"/>
      <c r="Z31" s="17"/>
      <c r="AA31" s="17"/>
      <c r="AB31" s="17"/>
      <c r="AC31" s="17"/>
      <c r="AD31" s="17"/>
      <c r="AE31" s="17"/>
      <c r="AF31" s="16"/>
      <c r="AG31" s="16"/>
      <c r="AH31" s="16"/>
      <c r="AI31" s="16"/>
      <c r="AK31" s="1">
        <f t="shared" si="1"/>
        <v>0</v>
      </c>
      <c r="AL31" s="1" t="str">
        <f t="shared" si="2"/>
        <v>Ethanol</v>
      </c>
      <c r="AM31" s="12" t="e">
        <f>SUM(AS31:AY31)+BA31+BB31</f>
        <v>#DIV/0!</v>
      </c>
      <c r="AN31" s="12" t="e">
        <f>SUM(AS31:AY31)+BD31+BE31</f>
        <v>#DIV/0!</v>
      </c>
      <c r="AO31" s="5" t="e">
        <f t="shared" si="3"/>
        <v>#DIV/0!</v>
      </c>
      <c r="AP31" s="12" t="e">
        <f>SUM(AS31:AY31)+BG31+BH31</f>
        <v>#DIV/0!</v>
      </c>
      <c r="AQ31" s="12" t="e">
        <f>SUM(AS31:AY31)+BJ31+BK31</f>
        <v>#DIV/0!</v>
      </c>
      <c r="AR31" s="5" t="e">
        <f t="shared" si="4"/>
        <v>#DIV/0!</v>
      </c>
      <c r="AS31" s="5" t="e">
        <f t="shared" si="5"/>
        <v>#DIV/0!</v>
      </c>
      <c r="AT31" s="1" t="e">
        <f>E31/F31*W31</f>
        <v>#DIV/0!</v>
      </c>
      <c r="AU31" s="1" t="e">
        <f>1/F31*T31</f>
        <v>#DIV/0!</v>
      </c>
      <c r="AV31" s="1" t="e">
        <f>G31/F31*AF31</f>
        <v>#DIV/0!</v>
      </c>
      <c r="AW31" s="1" t="e">
        <f>J31/F31/(0.9*8760)</f>
        <v>#DIV/0!</v>
      </c>
      <c r="AX31" s="1" t="e">
        <f>K31/F31/(0.9*8760)</f>
        <v>#DIV/0!</v>
      </c>
      <c r="AY31" s="1" t="e">
        <f>L31/F31</f>
        <v>#DIV/0!</v>
      </c>
      <c r="AZ31" s="1" t="e">
        <f t="shared" si="6"/>
        <v>#REF!</v>
      </c>
      <c r="BA31" s="1" t="e">
        <f>(O31+P31)*-1*H31/F31</f>
        <v>#DIV/0!</v>
      </c>
      <c r="BB31" s="1" t="e">
        <f>AZ31*O31</f>
        <v>#REF!</v>
      </c>
      <c r="BC31" s="1" t="e">
        <f t="shared" si="7"/>
        <v>#REF!</v>
      </c>
      <c r="BD31" s="1" t="e">
        <f>P31*H31*-1/F31</f>
        <v>#DIV/0!</v>
      </c>
      <c r="BE31" s="1" t="e">
        <f>BC31*O31</f>
        <v>#REF!</v>
      </c>
      <c r="BF31" s="1" t="e">
        <f t="shared" si="8"/>
        <v>#REF!</v>
      </c>
      <c r="BG31" s="1" t="e">
        <f>(O31+P31)*-1*H31/F31</f>
        <v>#DIV/0!</v>
      </c>
      <c r="BH31" s="1" t="e">
        <f>BF31*O31</f>
        <v>#REF!</v>
      </c>
      <c r="BI31" s="1" t="e">
        <f t="shared" si="9"/>
        <v>#REF!</v>
      </c>
      <c r="BJ31" s="1" t="e">
        <f>H31/F31*P31*-1</f>
        <v>#DIV/0!</v>
      </c>
      <c r="BK31" s="1" t="e">
        <f>O31*BI31</f>
        <v>#REF!</v>
      </c>
      <c r="BM31" s="9">
        <v>3.14</v>
      </c>
      <c r="BN31" s="10">
        <v>0.22181100240000001</v>
      </c>
      <c r="BO31" s="9">
        <v>0.18104824</v>
      </c>
      <c r="BQ31" s="10" t="e">
        <f>1/F31*BN31</f>
        <v>#DIV/0!</v>
      </c>
      <c r="BR31" s="10" t="e">
        <f>G31/F31*BO31</f>
        <v>#DIV/0!</v>
      </c>
      <c r="BS31" s="10" t="e">
        <f t="shared" si="10"/>
        <v>#DIV/0!</v>
      </c>
      <c r="BU31" s="10">
        <f t="shared" si="11"/>
        <v>3.14</v>
      </c>
      <c r="BV31" s="10" t="e">
        <f>#REF!/F31*BO31</f>
        <v>#REF!</v>
      </c>
      <c r="BW31" s="10" t="e">
        <f>I31/F31</f>
        <v>#DIV/0!</v>
      </c>
      <c r="BX31" s="10" t="e">
        <f>H31/F31</f>
        <v>#DIV/0!</v>
      </c>
      <c r="BY31" s="10" t="e">
        <f t="shared" si="12"/>
        <v>#DIV/0!</v>
      </c>
      <c r="BZ31" s="10" t="e">
        <f t="shared" si="13"/>
        <v>#REF!</v>
      </c>
    </row>
    <row r="32" spans="2:78" x14ac:dyDescent="0.2">
      <c r="B32" s="14"/>
      <c r="C32" s="13" t="s">
        <v>72</v>
      </c>
      <c r="D32" s="13"/>
      <c r="E32" s="13"/>
      <c r="F32" s="13"/>
      <c r="G32" s="13"/>
      <c r="H32" s="13"/>
      <c r="I32" s="13"/>
      <c r="J32" s="13"/>
      <c r="K32" s="13"/>
      <c r="L32" s="13"/>
      <c r="M32" s="11" t="e">
        <f t="shared" si="0"/>
        <v>#DIV/0!</v>
      </c>
      <c r="O32" s="16"/>
      <c r="P32" s="16"/>
      <c r="Q32" s="16"/>
      <c r="R32" s="16"/>
      <c r="S32" s="16"/>
      <c r="T32" s="11">
        <v>21.986353300000001</v>
      </c>
      <c r="U32" s="17"/>
      <c r="V32" s="17"/>
      <c r="W32" s="16"/>
      <c r="X32" s="16"/>
      <c r="Y32" s="16"/>
      <c r="Z32" s="17"/>
      <c r="AA32" s="17"/>
      <c r="AB32" s="17"/>
      <c r="AC32" s="17"/>
      <c r="AD32" s="17"/>
      <c r="AE32" s="17"/>
      <c r="AF32" s="16"/>
      <c r="AG32" s="16"/>
      <c r="AH32" s="16"/>
      <c r="AI32" s="16"/>
      <c r="AK32" s="1">
        <f t="shared" si="1"/>
        <v>0</v>
      </c>
      <c r="AL32" s="1" t="str">
        <f t="shared" si="2"/>
        <v>Ethanol</v>
      </c>
      <c r="AM32" s="12" t="e">
        <f>SUM(AS32:AY32)+BA32+BB32</f>
        <v>#DIV/0!</v>
      </c>
      <c r="AN32" s="12" t="e">
        <f>SUM(AS32:AY32)+BD32+BE32</f>
        <v>#DIV/0!</v>
      </c>
      <c r="AO32" s="5" t="e">
        <f t="shared" si="3"/>
        <v>#DIV/0!</v>
      </c>
      <c r="AP32" s="12" t="e">
        <f>SUM(AS32:AY32)+BG32+BH32</f>
        <v>#DIV/0!</v>
      </c>
      <c r="AQ32" s="12" t="e">
        <f>SUM(AS32:AY32)+BJ32+BK32</f>
        <v>#DIV/0!</v>
      </c>
      <c r="AR32" s="5" t="e">
        <f t="shared" si="4"/>
        <v>#DIV/0!</v>
      </c>
      <c r="AS32" s="5" t="e">
        <f t="shared" si="5"/>
        <v>#DIV/0!</v>
      </c>
      <c r="AT32" s="1" t="e">
        <f>E32/F32*W32</f>
        <v>#DIV/0!</v>
      </c>
      <c r="AU32" s="1" t="e">
        <f>1/F32*T32</f>
        <v>#DIV/0!</v>
      </c>
      <c r="AV32" s="1" t="e">
        <f>G32/F32*AF32</f>
        <v>#DIV/0!</v>
      </c>
      <c r="AW32" s="1" t="e">
        <f>J32/F32/(0.9*8760)</f>
        <v>#DIV/0!</v>
      </c>
      <c r="AX32" s="1" t="e">
        <f>K32/F32/(0.9*8760)</f>
        <v>#DIV/0!</v>
      </c>
      <c r="AY32" s="1" t="e">
        <f>L32/F32</f>
        <v>#DIV/0!</v>
      </c>
      <c r="AZ32" s="1" t="e">
        <f t="shared" si="6"/>
        <v>#REF!</v>
      </c>
      <c r="BA32" s="1" t="e">
        <f>(O32+P32)*-1*H32/F32</f>
        <v>#DIV/0!</v>
      </c>
      <c r="BB32" s="1" t="e">
        <f>AZ32*O32</f>
        <v>#REF!</v>
      </c>
      <c r="BC32" s="1" t="e">
        <f t="shared" si="7"/>
        <v>#REF!</v>
      </c>
      <c r="BD32" s="1" t="e">
        <f>P32*H32*-1/F32</f>
        <v>#DIV/0!</v>
      </c>
      <c r="BE32" s="1" t="e">
        <f>BC32*O32</f>
        <v>#REF!</v>
      </c>
      <c r="BF32" s="1" t="e">
        <f t="shared" si="8"/>
        <v>#REF!</v>
      </c>
      <c r="BG32" s="1" t="e">
        <f>(O32+P32)*-1*H32/F32</f>
        <v>#DIV/0!</v>
      </c>
      <c r="BH32" s="1" t="e">
        <f>BF32*O32</f>
        <v>#REF!</v>
      </c>
      <c r="BI32" s="1" t="e">
        <f t="shared" si="9"/>
        <v>#REF!</v>
      </c>
      <c r="BJ32" s="1" t="e">
        <f>H32/F32*P32*-1</f>
        <v>#DIV/0!</v>
      </c>
      <c r="BK32" s="1" t="e">
        <f>O32*BI32</f>
        <v>#REF!</v>
      </c>
      <c r="BM32" s="9">
        <v>3.14</v>
      </c>
      <c r="BN32" s="10">
        <v>0.22181100240000001</v>
      </c>
      <c r="BO32" s="9">
        <v>0.18104824</v>
      </c>
      <c r="BQ32" s="10" t="e">
        <f>1/F32*BN32</f>
        <v>#DIV/0!</v>
      </c>
      <c r="BR32" s="10" t="e">
        <f>G32/F32*BO32</f>
        <v>#DIV/0!</v>
      </c>
      <c r="BS32" s="10" t="e">
        <f t="shared" si="10"/>
        <v>#DIV/0!</v>
      </c>
      <c r="BU32" s="10">
        <f t="shared" si="11"/>
        <v>3.14</v>
      </c>
      <c r="BV32" s="10" t="e">
        <f>#REF!/F32*BO32</f>
        <v>#REF!</v>
      </c>
      <c r="BW32" s="10" t="e">
        <f>I32/F32</f>
        <v>#DIV/0!</v>
      </c>
      <c r="BX32" s="10" t="e">
        <f>H32/F32</f>
        <v>#DIV/0!</v>
      </c>
      <c r="BY32" s="10" t="e">
        <f t="shared" si="12"/>
        <v>#DIV/0!</v>
      </c>
      <c r="BZ32" s="10" t="e">
        <f t="shared" si="13"/>
        <v>#REF!</v>
      </c>
    </row>
    <row r="33" spans="2:78" x14ac:dyDescent="0.2">
      <c r="B33" s="14"/>
      <c r="C33" s="13" t="s">
        <v>72</v>
      </c>
      <c r="D33" s="13"/>
      <c r="E33" s="13"/>
      <c r="F33" s="13"/>
      <c r="G33" s="13"/>
      <c r="H33" s="13"/>
      <c r="I33" s="13"/>
      <c r="J33" s="13"/>
      <c r="K33" s="13"/>
      <c r="L33" s="13"/>
      <c r="M33" s="11" t="e">
        <f t="shared" si="0"/>
        <v>#DIV/0!</v>
      </c>
      <c r="O33" s="16"/>
      <c r="P33" s="16"/>
      <c r="Q33" s="16"/>
      <c r="R33" s="16"/>
      <c r="S33" s="16"/>
      <c r="T33" s="11">
        <v>21.986353300000001</v>
      </c>
      <c r="U33" s="17"/>
      <c r="V33" s="17"/>
      <c r="W33" s="16"/>
      <c r="X33" s="16"/>
      <c r="Y33" s="16"/>
      <c r="Z33" s="17"/>
      <c r="AA33" s="17"/>
      <c r="AB33" s="17"/>
      <c r="AC33" s="17"/>
      <c r="AD33" s="17"/>
      <c r="AE33" s="17"/>
      <c r="AF33" s="16"/>
      <c r="AG33" s="16"/>
      <c r="AH33" s="16"/>
      <c r="AI33" s="16"/>
      <c r="AK33" s="1">
        <f t="shared" si="1"/>
        <v>0</v>
      </c>
      <c r="AL33" s="1" t="str">
        <f t="shared" si="2"/>
        <v>Ethanol</v>
      </c>
      <c r="AM33" s="12" t="e">
        <f>SUM(AS33:AY33)+BA33+BB33</f>
        <v>#DIV/0!</v>
      </c>
      <c r="AN33" s="12" t="e">
        <f>SUM(AS33:AY33)+BD33+BE33</f>
        <v>#DIV/0!</v>
      </c>
      <c r="AO33" s="5" t="e">
        <f t="shared" si="3"/>
        <v>#DIV/0!</v>
      </c>
      <c r="AP33" s="12" t="e">
        <f>SUM(AS33:AY33)+BG33+BH33</f>
        <v>#DIV/0!</v>
      </c>
      <c r="AQ33" s="12" t="e">
        <f>SUM(AS33:AY33)+BJ33+BK33</f>
        <v>#DIV/0!</v>
      </c>
      <c r="AR33" s="5" t="e">
        <f t="shared" si="4"/>
        <v>#DIV/0!</v>
      </c>
      <c r="AS33" s="5" t="e">
        <f t="shared" si="5"/>
        <v>#DIV/0!</v>
      </c>
      <c r="AT33" s="1" t="e">
        <f>E33/F33*W33</f>
        <v>#DIV/0!</v>
      </c>
      <c r="AU33" s="1" t="e">
        <f>1/F33*T33</f>
        <v>#DIV/0!</v>
      </c>
      <c r="AV33" s="1" t="e">
        <f>G33/F33*AF33</f>
        <v>#DIV/0!</v>
      </c>
      <c r="AW33" s="1" t="e">
        <f>J33/F33/(0.9*8760)</f>
        <v>#DIV/0!</v>
      </c>
      <c r="AX33" s="1" t="e">
        <f>K33/F33/(0.9*8760)</f>
        <v>#DIV/0!</v>
      </c>
      <c r="AY33" s="1" t="e">
        <f>L33/F33</f>
        <v>#DIV/0!</v>
      </c>
      <c r="AZ33" s="1" t="e">
        <f t="shared" si="6"/>
        <v>#REF!</v>
      </c>
      <c r="BA33" s="1" t="e">
        <f>(O33+P33)*-1*H33/F33</f>
        <v>#DIV/0!</v>
      </c>
      <c r="BB33" s="1" t="e">
        <f>AZ33*O33</f>
        <v>#REF!</v>
      </c>
      <c r="BC33" s="1" t="e">
        <f t="shared" si="7"/>
        <v>#REF!</v>
      </c>
      <c r="BD33" s="1" t="e">
        <f>P33*H33*-1/F33</f>
        <v>#DIV/0!</v>
      </c>
      <c r="BE33" s="1" t="e">
        <f>BC33*O33</f>
        <v>#REF!</v>
      </c>
      <c r="BF33" s="1" t="e">
        <f t="shared" si="8"/>
        <v>#REF!</v>
      </c>
      <c r="BG33" s="1" t="e">
        <f>(O33+P33)*-1*H33/F33</f>
        <v>#DIV/0!</v>
      </c>
      <c r="BH33" s="1" t="e">
        <f>BF33*O33</f>
        <v>#REF!</v>
      </c>
      <c r="BI33" s="1" t="e">
        <f t="shared" si="9"/>
        <v>#REF!</v>
      </c>
      <c r="BJ33" s="1" t="e">
        <f>H33/F33*P33*-1</f>
        <v>#DIV/0!</v>
      </c>
      <c r="BK33" s="1" t="e">
        <f>O33*BI33</f>
        <v>#REF!</v>
      </c>
      <c r="BM33" s="9">
        <v>3.14</v>
      </c>
      <c r="BN33" s="10">
        <v>0.22181100240000001</v>
      </c>
      <c r="BO33" s="9">
        <v>0.18104824</v>
      </c>
      <c r="BQ33" s="10" t="e">
        <f>1/F33*BN33</f>
        <v>#DIV/0!</v>
      </c>
      <c r="BR33" s="10" t="e">
        <f>G33/F33*BO33</f>
        <v>#DIV/0!</v>
      </c>
      <c r="BS33" s="10" t="e">
        <f t="shared" si="10"/>
        <v>#DIV/0!</v>
      </c>
      <c r="BU33" s="10">
        <f t="shared" si="11"/>
        <v>3.14</v>
      </c>
      <c r="BV33" s="10" t="e">
        <f>#REF!/F33*BO33</f>
        <v>#REF!</v>
      </c>
      <c r="BW33" s="10" t="e">
        <f>I33/F33</f>
        <v>#DIV/0!</v>
      </c>
      <c r="BX33" s="10" t="e">
        <f>H33/F33</f>
        <v>#DIV/0!</v>
      </c>
      <c r="BY33" s="10" t="e">
        <f t="shared" si="12"/>
        <v>#DIV/0!</v>
      </c>
      <c r="BZ33" s="10" t="e">
        <f t="shared" si="13"/>
        <v>#REF!</v>
      </c>
    </row>
    <row r="34" spans="2:78" x14ac:dyDescent="0.2">
      <c r="B34" s="14"/>
      <c r="C34" s="13" t="s">
        <v>72</v>
      </c>
      <c r="D34" s="13"/>
      <c r="E34" s="13"/>
      <c r="F34" s="13"/>
      <c r="G34" s="13"/>
      <c r="H34" s="13"/>
      <c r="I34" s="13"/>
      <c r="J34" s="13"/>
      <c r="K34" s="13"/>
      <c r="L34" s="13"/>
      <c r="M34" s="11" t="e">
        <f t="shared" si="0"/>
        <v>#DIV/0!</v>
      </c>
      <c r="O34" s="16"/>
      <c r="P34" s="16"/>
      <c r="Q34" s="16"/>
      <c r="R34" s="16"/>
      <c r="S34" s="16"/>
      <c r="T34" s="11">
        <v>21.986353300000001</v>
      </c>
      <c r="U34" s="17"/>
      <c r="V34" s="17"/>
      <c r="W34" s="16"/>
      <c r="X34" s="16"/>
      <c r="Y34" s="16"/>
      <c r="Z34" s="17"/>
      <c r="AA34" s="17"/>
      <c r="AB34" s="17"/>
      <c r="AC34" s="17"/>
      <c r="AD34" s="17"/>
      <c r="AE34" s="17"/>
      <c r="AF34" s="16"/>
      <c r="AG34" s="16"/>
      <c r="AH34" s="16"/>
      <c r="AI34" s="16"/>
      <c r="AK34" s="1">
        <f t="shared" si="1"/>
        <v>0</v>
      </c>
      <c r="AL34" s="1" t="str">
        <f t="shared" si="2"/>
        <v>Ethanol</v>
      </c>
      <c r="AM34" s="12" t="e">
        <f>SUM(AS34:AY34)+BA34+BB34</f>
        <v>#DIV/0!</v>
      </c>
      <c r="AN34" s="12" t="e">
        <f>SUM(AS34:AY34)+BD34+BE34</f>
        <v>#DIV/0!</v>
      </c>
      <c r="AO34" s="5" t="e">
        <f t="shared" si="3"/>
        <v>#DIV/0!</v>
      </c>
      <c r="AP34" s="12" t="e">
        <f>SUM(AS34:AY34)+BG34+BH34</f>
        <v>#DIV/0!</v>
      </c>
      <c r="AQ34" s="12" t="e">
        <f>SUM(AS34:AY34)+BJ34+BK34</f>
        <v>#DIV/0!</v>
      </c>
      <c r="AR34" s="5" t="e">
        <f t="shared" si="4"/>
        <v>#DIV/0!</v>
      </c>
      <c r="AS34" s="5" t="e">
        <f t="shared" si="5"/>
        <v>#DIV/0!</v>
      </c>
      <c r="AT34" s="1" t="e">
        <f>E34/F34*W34</f>
        <v>#DIV/0!</v>
      </c>
      <c r="AU34" s="1" t="e">
        <f>1/F34*T34</f>
        <v>#DIV/0!</v>
      </c>
      <c r="AV34" s="1" t="e">
        <f>G34/F34*AF34</f>
        <v>#DIV/0!</v>
      </c>
      <c r="AW34" s="1" t="e">
        <f>J34/F34/(0.9*8760)</f>
        <v>#DIV/0!</v>
      </c>
      <c r="AX34" s="1" t="e">
        <f>K34/F34/(0.9*8760)</f>
        <v>#DIV/0!</v>
      </c>
      <c r="AY34" s="1" t="e">
        <f>L34/F34</f>
        <v>#DIV/0!</v>
      </c>
      <c r="AZ34" s="1" t="e">
        <f t="shared" si="6"/>
        <v>#REF!</v>
      </c>
      <c r="BA34" s="1" t="e">
        <f>(O34+P34)*-1*H34/F34</f>
        <v>#DIV/0!</v>
      </c>
      <c r="BB34" s="1" t="e">
        <f>AZ34*O34</f>
        <v>#REF!</v>
      </c>
      <c r="BC34" s="1" t="e">
        <f t="shared" si="7"/>
        <v>#REF!</v>
      </c>
      <c r="BD34" s="1" t="e">
        <f>P34*H34*-1/F34</f>
        <v>#DIV/0!</v>
      </c>
      <c r="BE34" s="1" t="e">
        <f>BC34*O34</f>
        <v>#REF!</v>
      </c>
      <c r="BF34" s="1" t="e">
        <f t="shared" si="8"/>
        <v>#REF!</v>
      </c>
      <c r="BG34" s="1" t="e">
        <f>(O34+P34)*-1*H34/F34</f>
        <v>#DIV/0!</v>
      </c>
      <c r="BH34" s="1" t="e">
        <f>BF34*O34</f>
        <v>#REF!</v>
      </c>
      <c r="BI34" s="1" t="e">
        <f t="shared" si="9"/>
        <v>#REF!</v>
      </c>
      <c r="BJ34" s="1" t="e">
        <f>H34/F34*P34*-1</f>
        <v>#DIV/0!</v>
      </c>
      <c r="BK34" s="1" t="e">
        <f>O34*BI34</f>
        <v>#REF!</v>
      </c>
      <c r="BM34" s="9">
        <v>3.14</v>
      </c>
      <c r="BN34" s="10">
        <v>0.22181100240000001</v>
      </c>
      <c r="BO34" s="9">
        <v>0.18104824</v>
      </c>
      <c r="BQ34" s="10" t="e">
        <f>1/F34*BN34</f>
        <v>#DIV/0!</v>
      </c>
      <c r="BR34" s="10" t="e">
        <f>G34/F34*BO34</f>
        <v>#DIV/0!</v>
      </c>
      <c r="BS34" s="10" t="e">
        <f t="shared" si="10"/>
        <v>#DIV/0!</v>
      </c>
      <c r="BU34" s="10">
        <f t="shared" si="11"/>
        <v>3.14</v>
      </c>
      <c r="BV34" s="10" t="e">
        <f>#REF!/F34*BO34</f>
        <v>#REF!</v>
      </c>
      <c r="BW34" s="10" t="e">
        <f>I34/F34</f>
        <v>#DIV/0!</v>
      </c>
      <c r="BX34" s="10" t="e">
        <f>H34/F34</f>
        <v>#DIV/0!</v>
      </c>
      <c r="BY34" s="10" t="e">
        <f t="shared" si="12"/>
        <v>#DIV/0!</v>
      </c>
      <c r="BZ34" s="10" t="e">
        <f t="shared" si="13"/>
        <v>#REF!</v>
      </c>
    </row>
    <row r="35" spans="2:78" x14ac:dyDescent="0.2">
      <c r="B35" s="14"/>
      <c r="C35" s="13" t="s">
        <v>72</v>
      </c>
      <c r="D35" s="13"/>
      <c r="E35" s="13"/>
      <c r="F35" s="13"/>
      <c r="G35" s="13"/>
      <c r="H35" s="13"/>
      <c r="I35" s="13"/>
      <c r="J35" s="13"/>
      <c r="K35" s="13"/>
      <c r="L35" s="13"/>
      <c r="M35" s="11" t="e">
        <f t="shared" si="0"/>
        <v>#DIV/0!</v>
      </c>
      <c r="O35" s="16"/>
      <c r="P35" s="16"/>
      <c r="Q35" s="16"/>
      <c r="R35" s="16"/>
      <c r="S35" s="16"/>
      <c r="T35" s="11">
        <v>21.986353300000001</v>
      </c>
      <c r="U35" s="17"/>
      <c r="V35" s="17"/>
      <c r="W35" s="16"/>
      <c r="X35" s="16"/>
      <c r="Y35" s="16"/>
      <c r="Z35" s="17"/>
      <c r="AA35" s="17"/>
      <c r="AB35" s="17"/>
      <c r="AC35" s="17"/>
      <c r="AD35" s="17"/>
      <c r="AE35" s="17"/>
      <c r="AF35" s="16"/>
      <c r="AG35" s="16"/>
      <c r="AH35" s="16"/>
      <c r="AI35" s="16"/>
      <c r="AK35" s="1">
        <f t="shared" si="1"/>
        <v>0</v>
      </c>
      <c r="AL35" s="1" t="str">
        <f t="shared" si="2"/>
        <v>Ethanol</v>
      </c>
      <c r="AM35" s="12" t="e">
        <f>SUM(AS35:AY35)+BA35+BB35</f>
        <v>#DIV/0!</v>
      </c>
      <c r="AN35" s="12" t="e">
        <f>SUM(AS35:AY35)+BD35+BE35</f>
        <v>#DIV/0!</v>
      </c>
      <c r="AO35" s="5" t="e">
        <f t="shared" si="3"/>
        <v>#DIV/0!</v>
      </c>
      <c r="AP35" s="12" t="e">
        <f>SUM(AS35:AY35)+BG35+BH35</f>
        <v>#DIV/0!</v>
      </c>
      <c r="AQ35" s="12" t="e">
        <f>SUM(AS35:AY35)+BJ35+BK35</f>
        <v>#DIV/0!</v>
      </c>
      <c r="AR35" s="5" t="e">
        <f t="shared" si="4"/>
        <v>#DIV/0!</v>
      </c>
      <c r="AS35" s="5" t="e">
        <f t="shared" si="5"/>
        <v>#DIV/0!</v>
      </c>
      <c r="AT35" s="1" t="e">
        <f>E35/F35*W35</f>
        <v>#DIV/0!</v>
      </c>
      <c r="AU35" s="1" t="e">
        <f>1/F35*T35</f>
        <v>#DIV/0!</v>
      </c>
      <c r="AV35" s="1" t="e">
        <f>G35/F35*AF35</f>
        <v>#DIV/0!</v>
      </c>
      <c r="AW35" s="1" t="e">
        <f>J35/F35/(0.9*8760)</f>
        <v>#DIV/0!</v>
      </c>
      <c r="AX35" s="1" t="e">
        <f>K35/F35/(0.9*8760)</f>
        <v>#DIV/0!</v>
      </c>
      <c r="AY35" s="1" t="e">
        <f>L35/F35</f>
        <v>#DIV/0!</v>
      </c>
      <c r="AZ35" s="1" t="e">
        <f t="shared" si="6"/>
        <v>#REF!</v>
      </c>
      <c r="BA35" s="1" t="e">
        <f>(O35+P35)*-1*H35/F35</f>
        <v>#DIV/0!</v>
      </c>
      <c r="BB35" s="1" t="e">
        <f>AZ35*O35</f>
        <v>#REF!</v>
      </c>
      <c r="BC35" s="1" t="e">
        <f t="shared" si="7"/>
        <v>#REF!</v>
      </c>
      <c r="BD35" s="1" t="e">
        <f>P35*H35*-1/F35</f>
        <v>#DIV/0!</v>
      </c>
      <c r="BE35" s="1" t="e">
        <f>BC35*O35</f>
        <v>#REF!</v>
      </c>
      <c r="BF35" s="1" t="e">
        <f t="shared" si="8"/>
        <v>#REF!</v>
      </c>
      <c r="BG35" s="1" t="e">
        <f>(O35+P35)*-1*H35/F35</f>
        <v>#DIV/0!</v>
      </c>
      <c r="BH35" s="1" t="e">
        <f>BF35*O35</f>
        <v>#REF!</v>
      </c>
      <c r="BI35" s="1" t="e">
        <f t="shared" si="9"/>
        <v>#REF!</v>
      </c>
      <c r="BJ35" s="1" t="e">
        <f>H35/F35*P35*-1</f>
        <v>#DIV/0!</v>
      </c>
      <c r="BK35" s="1" t="e">
        <f>O35*BI35</f>
        <v>#REF!</v>
      </c>
      <c r="BM35" s="9">
        <v>3.14</v>
      </c>
      <c r="BN35" s="10">
        <v>0.22181100240000001</v>
      </c>
      <c r="BO35" s="9">
        <v>0.18104824</v>
      </c>
      <c r="BQ35" s="10" t="e">
        <f>1/F35*BN35</f>
        <v>#DIV/0!</v>
      </c>
      <c r="BR35" s="10" t="e">
        <f>G35/F35*BO35</f>
        <v>#DIV/0!</v>
      </c>
      <c r="BS35" s="10" t="e">
        <f t="shared" si="10"/>
        <v>#DIV/0!</v>
      </c>
      <c r="BU35" s="10">
        <f t="shared" si="11"/>
        <v>3.14</v>
      </c>
      <c r="BV35" s="10" t="e">
        <f>#REF!/F35*BO35</f>
        <v>#REF!</v>
      </c>
      <c r="BW35" s="10" t="e">
        <f>I35/F35</f>
        <v>#DIV/0!</v>
      </c>
      <c r="BX35" s="10" t="e">
        <f>H35/F35</f>
        <v>#DIV/0!</v>
      </c>
      <c r="BY35" s="10" t="e">
        <f t="shared" si="12"/>
        <v>#DIV/0!</v>
      </c>
      <c r="BZ35" s="10" t="e">
        <f t="shared" si="13"/>
        <v>#REF!</v>
      </c>
    </row>
    <row r="36" spans="2:78" x14ac:dyDescent="0.2">
      <c r="B36" s="14"/>
      <c r="C36" s="13" t="s">
        <v>72</v>
      </c>
      <c r="D36" s="13"/>
      <c r="E36" s="13"/>
      <c r="F36" s="13"/>
      <c r="G36" s="13"/>
      <c r="H36" s="13"/>
      <c r="I36" s="13"/>
      <c r="J36" s="13"/>
      <c r="K36" s="13"/>
      <c r="L36" s="13"/>
      <c r="M36" s="11" t="e">
        <f t="shared" ref="M36:M66" si="14">BY36/0.22/14</f>
        <v>#DIV/0!</v>
      </c>
      <c r="O36" s="16"/>
      <c r="P36" s="16"/>
      <c r="Q36" s="16"/>
      <c r="R36" s="16"/>
      <c r="S36" s="16"/>
      <c r="T36" s="11">
        <v>21.986353300000001</v>
      </c>
      <c r="U36" s="17"/>
      <c r="V36" s="17"/>
      <c r="W36" s="16"/>
      <c r="X36" s="16"/>
      <c r="Y36" s="16"/>
      <c r="Z36" s="17"/>
      <c r="AA36" s="17"/>
      <c r="AB36" s="17"/>
      <c r="AC36" s="17"/>
      <c r="AD36" s="17"/>
      <c r="AE36" s="17"/>
      <c r="AF36" s="16"/>
      <c r="AG36" s="16"/>
      <c r="AH36" s="16"/>
      <c r="AI36" s="16"/>
      <c r="AK36" s="1">
        <f t="shared" ref="AK36:AK66" si="15">B36</f>
        <v>0</v>
      </c>
      <c r="AL36" s="1" t="str">
        <f t="shared" ref="AL36:AL66" si="16">C36</f>
        <v>Ethanol</v>
      </c>
      <c r="AM36" s="12" t="e">
        <f>SUM(AS36:AY36)+BA36+BB36</f>
        <v>#DIV/0!</v>
      </c>
      <c r="AN36" s="12" t="e">
        <f>SUM(AS36:AY36)+BD36+BE36</f>
        <v>#DIV/0!</v>
      </c>
      <c r="AO36" s="5" t="e">
        <f t="shared" ref="AO36:AO66" si="17">AM36-AN36</f>
        <v>#DIV/0!</v>
      </c>
      <c r="AP36" s="12" t="e">
        <f>SUM(AS36:AY36)+BG36+BH36</f>
        <v>#DIV/0!</v>
      </c>
      <c r="AQ36" s="12" t="e">
        <f>SUM(AS36:AY36)+BJ36+BK36</f>
        <v>#DIV/0!</v>
      </c>
      <c r="AR36" s="5" t="e">
        <f t="shared" ref="AR36:AR66" si="18">AP36-AQ36</f>
        <v>#DIV/0!</v>
      </c>
      <c r="AS36" s="5" t="e">
        <f t="shared" ref="AS36:AS66" si="19">D36/F36*X36</f>
        <v>#DIV/0!</v>
      </c>
      <c r="AT36" s="1" t="e">
        <f>E36/F36*W36</f>
        <v>#DIV/0!</v>
      </c>
      <c r="AU36" s="1" t="e">
        <f>1/F36*T36</f>
        <v>#DIV/0!</v>
      </c>
      <c r="AV36" s="1" t="e">
        <f>G36/F36*AF36</f>
        <v>#DIV/0!</v>
      </c>
      <c r="AW36" s="1" t="e">
        <f>J36/F36/(0.9*8760)</f>
        <v>#DIV/0!</v>
      </c>
      <c r="AX36" s="1" t="e">
        <f>K36/F36/(0.9*8760)</f>
        <v>#DIV/0!</v>
      </c>
      <c r="AY36" s="1" t="e">
        <f>L36/F36</f>
        <v>#DIV/0!</v>
      </c>
      <c r="AZ36" s="1" t="e">
        <f t="shared" ref="AZ36:AZ66" si="20">BV36+BW36+BX36</f>
        <v>#REF!</v>
      </c>
      <c r="BA36" s="1" t="e">
        <f>(O36+P36)*-1*H36/F36</f>
        <v>#DIV/0!</v>
      </c>
      <c r="BB36" s="1" t="e">
        <f>AZ36*O36</f>
        <v>#REF!</v>
      </c>
      <c r="BC36" s="1" t="e">
        <f t="shared" ref="BC36:BC66" si="21">BV36+BW36</f>
        <v>#REF!</v>
      </c>
      <c r="BD36" s="1" t="e">
        <f>P36*H36*-1/F36</f>
        <v>#DIV/0!</v>
      </c>
      <c r="BE36" s="1" t="e">
        <f>BC36*O36</f>
        <v>#REF!</v>
      </c>
      <c r="BF36" s="1" t="e">
        <f t="shared" ref="BF36:BF66" si="22">SUM(BU36:BY36)</f>
        <v>#REF!</v>
      </c>
      <c r="BG36" s="1" t="e">
        <f>(O36+P36)*-1*H36/F36</f>
        <v>#DIV/0!</v>
      </c>
      <c r="BH36" s="1" t="e">
        <f>BF36*O36</f>
        <v>#REF!</v>
      </c>
      <c r="BI36" s="1" t="e">
        <f t="shared" ref="BI36:BI66" si="23">BU36+BV36+BW36+BY36</f>
        <v>#REF!</v>
      </c>
      <c r="BJ36" s="1" t="e">
        <f>H36/F36*P36*-1</f>
        <v>#DIV/0!</v>
      </c>
      <c r="BK36" s="1" t="e">
        <f>O36*BI36</f>
        <v>#REF!</v>
      </c>
      <c r="BM36" s="9">
        <v>3.14</v>
      </c>
      <c r="BN36" s="10">
        <v>0.22181100240000001</v>
      </c>
      <c r="BO36" s="9">
        <v>0.18104824</v>
      </c>
      <c r="BQ36" s="10" t="e">
        <f>1/F36*BN36</f>
        <v>#DIV/0!</v>
      </c>
      <c r="BR36" s="10" t="e">
        <f>G36/F36*BO36</f>
        <v>#DIV/0!</v>
      </c>
      <c r="BS36" s="10" t="e">
        <f t="shared" ref="BS36:BS67" si="24">BQ36+BR36</f>
        <v>#DIV/0!</v>
      </c>
      <c r="BU36" s="10">
        <f t="shared" ref="BU36:BU66" si="25">BM36</f>
        <v>3.14</v>
      </c>
      <c r="BV36" s="10" t="e">
        <f>#REF!/F36*BO36</f>
        <v>#REF!</v>
      </c>
      <c r="BW36" s="10" t="e">
        <f>I36/F36</f>
        <v>#DIV/0!</v>
      </c>
      <c r="BX36" s="10" t="e">
        <f>H36/F36</f>
        <v>#DIV/0!</v>
      </c>
      <c r="BY36" s="10" t="e">
        <f t="shared" ref="BY36:BY67" si="26">BS36-SUM(BU36:BX36)</f>
        <v>#DIV/0!</v>
      </c>
      <c r="BZ36" s="10" t="e">
        <f t="shared" ref="BZ36:BZ67" si="27">SUM(BU36:BY36)</f>
        <v>#REF!</v>
      </c>
    </row>
    <row r="37" spans="2:78" x14ac:dyDescent="0.2">
      <c r="B37" s="14"/>
      <c r="C37" s="13" t="s">
        <v>72</v>
      </c>
      <c r="D37" s="13"/>
      <c r="E37" s="13"/>
      <c r="F37" s="13"/>
      <c r="G37" s="13"/>
      <c r="H37" s="13"/>
      <c r="I37" s="13"/>
      <c r="J37" s="13"/>
      <c r="K37" s="13"/>
      <c r="L37" s="13"/>
      <c r="M37" s="11" t="e">
        <f t="shared" si="14"/>
        <v>#DIV/0!</v>
      </c>
      <c r="O37" s="16"/>
      <c r="P37" s="16"/>
      <c r="Q37" s="16"/>
      <c r="R37" s="16"/>
      <c r="S37" s="16"/>
      <c r="T37" s="11">
        <v>21.986353300000001</v>
      </c>
      <c r="U37" s="17"/>
      <c r="V37" s="17"/>
      <c r="W37" s="16"/>
      <c r="X37" s="16"/>
      <c r="Y37" s="16"/>
      <c r="Z37" s="17"/>
      <c r="AA37" s="17"/>
      <c r="AB37" s="17"/>
      <c r="AC37" s="17"/>
      <c r="AD37" s="17"/>
      <c r="AE37" s="17"/>
      <c r="AF37" s="16"/>
      <c r="AG37" s="16"/>
      <c r="AH37" s="16"/>
      <c r="AI37" s="16"/>
      <c r="AK37" s="1">
        <f t="shared" si="15"/>
        <v>0</v>
      </c>
      <c r="AL37" s="1" t="str">
        <f t="shared" si="16"/>
        <v>Ethanol</v>
      </c>
      <c r="AM37" s="12" t="e">
        <f>SUM(AS37:AY37)+BA37+BB37</f>
        <v>#DIV/0!</v>
      </c>
      <c r="AN37" s="12" t="e">
        <f>SUM(AS37:AY37)+BD37+BE37</f>
        <v>#DIV/0!</v>
      </c>
      <c r="AO37" s="5" t="e">
        <f t="shared" si="17"/>
        <v>#DIV/0!</v>
      </c>
      <c r="AP37" s="12" t="e">
        <f>SUM(AS37:AY37)+BG37+BH37</f>
        <v>#DIV/0!</v>
      </c>
      <c r="AQ37" s="12" t="e">
        <f>SUM(AS37:AY37)+BJ37+BK37</f>
        <v>#DIV/0!</v>
      </c>
      <c r="AR37" s="5" t="e">
        <f t="shared" si="18"/>
        <v>#DIV/0!</v>
      </c>
      <c r="AS37" s="5" t="e">
        <f t="shared" si="19"/>
        <v>#DIV/0!</v>
      </c>
      <c r="AT37" s="1" t="e">
        <f>E37/F37*W37</f>
        <v>#DIV/0!</v>
      </c>
      <c r="AU37" s="1" t="e">
        <f>1/F37*T37</f>
        <v>#DIV/0!</v>
      </c>
      <c r="AV37" s="1" t="e">
        <f>G37/F37*AF37</f>
        <v>#DIV/0!</v>
      </c>
      <c r="AW37" s="1" t="e">
        <f>J37/F37/(0.9*8760)</f>
        <v>#DIV/0!</v>
      </c>
      <c r="AX37" s="1" t="e">
        <f>K37/F37/(0.9*8760)</f>
        <v>#DIV/0!</v>
      </c>
      <c r="AY37" s="1" t="e">
        <f>L37/F37</f>
        <v>#DIV/0!</v>
      </c>
      <c r="AZ37" s="1" t="e">
        <f t="shared" si="20"/>
        <v>#REF!</v>
      </c>
      <c r="BA37" s="1" t="e">
        <f>(O37+P37)*-1*H37/F37</f>
        <v>#DIV/0!</v>
      </c>
      <c r="BB37" s="1" t="e">
        <f>AZ37*O37</f>
        <v>#REF!</v>
      </c>
      <c r="BC37" s="1" t="e">
        <f t="shared" si="21"/>
        <v>#REF!</v>
      </c>
      <c r="BD37" s="1" t="e">
        <f>P37*H37*-1/F37</f>
        <v>#DIV/0!</v>
      </c>
      <c r="BE37" s="1" t="e">
        <f>BC37*O37</f>
        <v>#REF!</v>
      </c>
      <c r="BF37" s="1" t="e">
        <f t="shared" si="22"/>
        <v>#REF!</v>
      </c>
      <c r="BG37" s="1" t="e">
        <f>(O37+P37)*-1*H37/F37</f>
        <v>#DIV/0!</v>
      </c>
      <c r="BH37" s="1" t="e">
        <f>BF37*O37</f>
        <v>#REF!</v>
      </c>
      <c r="BI37" s="1" t="e">
        <f t="shared" si="23"/>
        <v>#REF!</v>
      </c>
      <c r="BJ37" s="1" t="e">
        <f>H37/F37*P37*-1</f>
        <v>#DIV/0!</v>
      </c>
      <c r="BK37" s="1" t="e">
        <f>O37*BI37</f>
        <v>#REF!</v>
      </c>
      <c r="BM37" s="9">
        <v>3.14</v>
      </c>
      <c r="BN37" s="10">
        <v>0.22181100240000001</v>
      </c>
      <c r="BO37" s="9">
        <v>0.18104824</v>
      </c>
      <c r="BQ37" s="10" t="e">
        <f>1/F37*BN37</f>
        <v>#DIV/0!</v>
      </c>
      <c r="BR37" s="10" t="e">
        <f>G37/F37*BO37</f>
        <v>#DIV/0!</v>
      </c>
      <c r="BS37" s="10" t="e">
        <f t="shared" si="24"/>
        <v>#DIV/0!</v>
      </c>
      <c r="BU37" s="10">
        <f t="shared" si="25"/>
        <v>3.14</v>
      </c>
      <c r="BV37" s="10" t="e">
        <f>#REF!/F37*BO37</f>
        <v>#REF!</v>
      </c>
      <c r="BW37" s="10" t="e">
        <f>I37/F37</f>
        <v>#DIV/0!</v>
      </c>
      <c r="BX37" s="10" t="e">
        <f>H37/F37</f>
        <v>#DIV/0!</v>
      </c>
      <c r="BY37" s="10" t="e">
        <f t="shared" si="26"/>
        <v>#DIV/0!</v>
      </c>
      <c r="BZ37" s="10" t="e">
        <f t="shared" si="27"/>
        <v>#REF!</v>
      </c>
    </row>
    <row r="38" spans="2:78" x14ac:dyDescent="0.2">
      <c r="B38" s="14"/>
      <c r="C38" s="13" t="s">
        <v>72</v>
      </c>
      <c r="D38" s="13"/>
      <c r="E38" s="13"/>
      <c r="F38" s="13"/>
      <c r="G38" s="13"/>
      <c r="H38" s="13"/>
      <c r="I38" s="13"/>
      <c r="J38" s="13"/>
      <c r="K38" s="13"/>
      <c r="L38" s="13"/>
      <c r="M38" s="11" t="e">
        <f t="shared" si="14"/>
        <v>#DIV/0!</v>
      </c>
      <c r="O38" s="16"/>
      <c r="P38" s="16"/>
      <c r="Q38" s="16"/>
      <c r="R38" s="16"/>
      <c r="S38" s="16"/>
      <c r="T38" s="11">
        <v>21.986353300000001</v>
      </c>
      <c r="U38" s="17"/>
      <c r="V38" s="17"/>
      <c r="W38" s="16"/>
      <c r="X38" s="16"/>
      <c r="Y38" s="16"/>
      <c r="Z38" s="17"/>
      <c r="AA38" s="17"/>
      <c r="AB38" s="17"/>
      <c r="AC38" s="17"/>
      <c r="AD38" s="17"/>
      <c r="AE38" s="17"/>
      <c r="AF38" s="16"/>
      <c r="AG38" s="16"/>
      <c r="AH38" s="16"/>
      <c r="AI38" s="16"/>
      <c r="AK38" s="1">
        <f t="shared" si="15"/>
        <v>0</v>
      </c>
      <c r="AL38" s="1" t="str">
        <f t="shared" si="16"/>
        <v>Ethanol</v>
      </c>
      <c r="AM38" s="12" t="e">
        <f>SUM(AS38:AY38)+BA38+BB38</f>
        <v>#DIV/0!</v>
      </c>
      <c r="AN38" s="12" t="e">
        <f>SUM(AS38:AY38)+BD38+BE38</f>
        <v>#DIV/0!</v>
      </c>
      <c r="AO38" s="5" t="e">
        <f t="shared" si="17"/>
        <v>#DIV/0!</v>
      </c>
      <c r="AP38" s="12" t="e">
        <f>SUM(AS38:AY38)+BG38+BH38</f>
        <v>#DIV/0!</v>
      </c>
      <c r="AQ38" s="12" t="e">
        <f>SUM(AS38:AY38)+BJ38+BK38</f>
        <v>#DIV/0!</v>
      </c>
      <c r="AR38" s="5" t="e">
        <f t="shared" si="18"/>
        <v>#DIV/0!</v>
      </c>
      <c r="AS38" s="5" t="e">
        <f t="shared" si="19"/>
        <v>#DIV/0!</v>
      </c>
      <c r="AT38" s="1" t="e">
        <f>E38/F38*W38</f>
        <v>#DIV/0!</v>
      </c>
      <c r="AU38" s="1" t="e">
        <f>1/F38*T38</f>
        <v>#DIV/0!</v>
      </c>
      <c r="AV38" s="1" t="e">
        <f>G38/F38*AF38</f>
        <v>#DIV/0!</v>
      </c>
      <c r="AW38" s="1" t="e">
        <f>J38/F38/(0.9*8760)</f>
        <v>#DIV/0!</v>
      </c>
      <c r="AX38" s="1" t="e">
        <f>K38/F38/(0.9*8760)</f>
        <v>#DIV/0!</v>
      </c>
      <c r="AY38" s="1" t="e">
        <f>L38/F38</f>
        <v>#DIV/0!</v>
      </c>
      <c r="AZ38" s="1" t="e">
        <f t="shared" si="20"/>
        <v>#REF!</v>
      </c>
      <c r="BA38" s="1" t="e">
        <f>(O38+P38)*-1*H38/F38</f>
        <v>#DIV/0!</v>
      </c>
      <c r="BB38" s="1" t="e">
        <f>AZ38*O38</f>
        <v>#REF!</v>
      </c>
      <c r="BC38" s="1" t="e">
        <f t="shared" si="21"/>
        <v>#REF!</v>
      </c>
      <c r="BD38" s="1" t="e">
        <f>P38*H38*-1/F38</f>
        <v>#DIV/0!</v>
      </c>
      <c r="BE38" s="1" t="e">
        <f>BC38*O38</f>
        <v>#REF!</v>
      </c>
      <c r="BF38" s="1" t="e">
        <f t="shared" si="22"/>
        <v>#REF!</v>
      </c>
      <c r="BG38" s="1" t="e">
        <f>(O38+P38)*-1*H38/F38</f>
        <v>#DIV/0!</v>
      </c>
      <c r="BH38" s="1" t="e">
        <f>BF38*O38</f>
        <v>#REF!</v>
      </c>
      <c r="BI38" s="1" t="e">
        <f t="shared" si="23"/>
        <v>#REF!</v>
      </c>
      <c r="BJ38" s="1" t="e">
        <f>H38/F38*P38*-1</f>
        <v>#DIV/0!</v>
      </c>
      <c r="BK38" s="1" t="e">
        <f>O38*BI38</f>
        <v>#REF!</v>
      </c>
      <c r="BM38" s="9">
        <v>3.14</v>
      </c>
      <c r="BN38" s="10">
        <v>0.22181100240000001</v>
      </c>
      <c r="BO38" s="9">
        <v>0.18104824</v>
      </c>
      <c r="BQ38" s="10" t="e">
        <f>1/F38*BN38</f>
        <v>#DIV/0!</v>
      </c>
      <c r="BR38" s="10" t="e">
        <f>G38/F38*BO38</f>
        <v>#DIV/0!</v>
      </c>
      <c r="BS38" s="10" t="e">
        <f t="shared" si="24"/>
        <v>#DIV/0!</v>
      </c>
      <c r="BU38" s="10">
        <f t="shared" si="25"/>
        <v>3.14</v>
      </c>
      <c r="BV38" s="10" t="e">
        <f>#REF!/F38*BO38</f>
        <v>#REF!</v>
      </c>
      <c r="BW38" s="10" t="e">
        <f>I38/F38</f>
        <v>#DIV/0!</v>
      </c>
      <c r="BX38" s="10" t="e">
        <f>H38/F38</f>
        <v>#DIV/0!</v>
      </c>
      <c r="BY38" s="10" t="e">
        <f t="shared" si="26"/>
        <v>#DIV/0!</v>
      </c>
      <c r="BZ38" s="10" t="e">
        <f t="shared" si="27"/>
        <v>#REF!</v>
      </c>
    </row>
    <row r="39" spans="2:78" x14ac:dyDescent="0.2">
      <c r="B39" s="14"/>
      <c r="C39" s="13" t="s">
        <v>72</v>
      </c>
      <c r="D39" s="13"/>
      <c r="E39" s="13"/>
      <c r="F39" s="13"/>
      <c r="G39" s="13"/>
      <c r="H39" s="13"/>
      <c r="I39" s="13"/>
      <c r="J39" s="13"/>
      <c r="K39" s="13"/>
      <c r="L39" s="13"/>
      <c r="M39" s="11" t="e">
        <f t="shared" si="14"/>
        <v>#DIV/0!</v>
      </c>
      <c r="O39" s="16"/>
      <c r="P39" s="16"/>
      <c r="Q39" s="16"/>
      <c r="R39" s="16"/>
      <c r="S39" s="16"/>
      <c r="T39" s="11">
        <v>21.986353300000001</v>
      </c>
      <c r="U39" s="17"/>
      <c r="V39" s="17"/>
      <c r="W39" s="16"/>
      <c r="X39" s="16"/>
      <c r="Y39" s="16"/>
      <c r="Z39" s="17"/>
      <c r="AA39" s="17"/>
      <c r="AB39" s="17"/>
      <c r="AC39" s="17"/>
      <c r="AD39" s="17"/>
      <c r="AE39" s="17"/>
      <c r="AF39" s="16"/>
      <c r="AG39" s="16"/>
      <c r="AH39" s="16"/>
      <c r="AI39" s="16"/>
      <c r="AK39" s="1">
        <f t="shared" si="15"/>
        <v>0</v>
      </c>
      <c r="AL39" s="1" t="str">
        <f t="shared" si="16"/>
        <v>Ethanol</v>
      </c>
      <c r="AM39" s="12" t="e">
        <f>SUM(AS39:AY39)+BA39+BB39</f>
        <v>#DIV/0!</v>
      </c>
      <c r="AN39" s="12" t="e">
        <f>SUM(AS39:AY39)+BD39+BE39</f>
        <v>#DIV/0!</v>
      </c>
      <c r="AO39" s="5" t="e">
        <f t="shared" si="17"/>
        <v>#DIV/0!</v>
      </c>
      <c r="AP39" s="12" t="e">
        <f>SUM(AS39:AY39)+BG39+BH39</f>
        <v>#DIV/0!</v>
      </c>
      <c r="AQ39" s="12" t="e">
        <f>SUM(AS39:AY39)+BJ39+BK39</f>
        <v>#DIV/0!</v>
      </c>
      <c r="AR39" s="5" t="e">
        <f t="shared" si="18"/>
        <v>#DIV/0!</v>
      </c>
      <c r="AS39" s="5" t="e">
        <f t="shared" si="19"/>
        <v>#DIV/0!</v>
      </c>
      <c r="AT39" s="1" t="e">
        <f>E39/F39*W39</f>
        <v>#DIV/0!</v>
      </c>
      <c r="AU39" s="1" t="e">
        <f>1/F39*T39</f>
        <v>#DIV/0!</v>
      </c>
      <c r="AV39" s="1" t="e">
        <f>G39/F39*AF39</f>
        <v>#DIV/0!</v>
      </c>
      <c r="AW39" s="1" t="e">
        <f>J39/F39/(0.9*8760)</f>
        <v>#DIV/0!</v>
      </c>
      <c r="AX39" s="1" t="e">
        <f>K39/F39/(0.9*8760)</f>
        <v>#DIV/0!</v>
      </c>
      <c r="AY39" s="1" t="e">
        <f>L39/F39</f>
        <v>#DIV/0!</v>
      </c>
      <c r="AZ39" s="1" t="e">
        <f t="shared" si="20"/>
        <v>#REF!</v>
      </c>
      <c r="BA39" s="1" t="e">
        <f>(O39+P39)*-1*H39/F39</f>
        <v>#DIV/0!</v>
      </c>
      <c r="BB39" s="1" t="e">
        <f>AZ39*O39</f>
        <v>#REF!</v>
      </c>
      <c r="BC39" s="1" t="e">
        <f t="shared" si="21"/>
        <v>#REF!</v>
      </c>
      <c r="BD39" s="1" t="e">
        <f>P39*H39*-1/F39</f>
        <v>#DIV/0!</v>
      </c>
      <c r="BE39" s="1" t="e">
        <f>BC39*O39</f>
        <v>#REF!</v>
      </c>
      <c r="BF39" s="1" t="e">
        <f t="shared" si="22"/>
        <v>#REF!</v>
      </c>
      <c r="BG39" s="1" t="e">
        <f>(O39+P39)*-1*H39/F39</f>
        <v>#DIV/0!</v>
      </c>
      <c r="BH39" s="1" t="e">
        <f>BF39*O39</f>
        <v>#REF!</v>
      </c>
      <c r="BI39" s="1" t="e">
        <f t="shared" si="23"/>
        <v>#REF!</v>
      </c>
      <c r="BJ39" s="1" t="e">
        <f>H39/F39*P39*-1</f>
        <v>#DIV/0!</v>
      </c>
      <c r="BK39" s="1" t="e">
        <f>O39*BI39</f>
        <v>#REF!</v>
      </c>
      <c r="BM39" s="9">
        <v>3.14</v>
      </c>
      <c r="BN39" s="10">
        <v>0.22181100240000001</v>
      </c>
      <c r="BO39" s="9">
        <v>0.18104824</v>
      </c>
      <c r="BQ39" s="10" t="e">
        <f>1/F39*BN39</f>
        <v>#DIV/0!</v>
      </c>
      <c r="BR39" s="10" t="e">
        <f>G39/F39*BO39</f>
        <v>#DIV/0!</v>
      </c>
      <c r="BS39" s="10" t="e">
        <f t="shared" si="24"/>
        <v>#DIV/0!</v>
      </c>
      <c r="BU39" s="10">
        <f t="shared" si="25"/>
        <v>3.14</v>
      </c>
      <c r="BV39" s="10" t="e">
        <f>#REF!/F39*BO39</f>
        <v>#REF!</v>
      </c>
      <c r="BW39" s="10" t="e">
        <f>I39/F39</f>
        <v>#DIV/0!</v>
      </c>
      <c r="BX39" s="10" t="e">
        <f>H39/F39</f>
        <v>#DIV/0!</v>
      </c>
      <c r="BY39" s="10" t="e">
        <f t="shared" si="26"/>
        <v>#DIV/0!</v>
      </c>
      <c r="BZ39" s="10" t="e">
        <f t="shared" si="27"/>
        <v>#REF!</v>
      </c>
    </row>
    <row r="40" spans="2:78" x14ac:dyDescent="0.2">
      <c r="B40" s="14"/>
      <c r="C40" s="13" t="s">
        <v>72</v>
      </c>
      <c r="D40" s="13"/>
      <c r="E40" s="13"/>
      <c r="F40" s="13"/>
      <c r="G40" s="13"/>
      <c r="H40" s="13"/>
      <c r="I40" s="13"/>
      <c r="J40" s="13"/>
      <c r="K40" s="13"/>
      <c r="L40" s="13"/>
      <c r="M40" s="11" t="e">
        <f t="shared" si="14"/>
        <v>#DIV/0!</v>
      </c>
      <c r="O40" s="16"/>
      <c r="P40" s="16"/>
      <c r="Q40" s="16"/>
      <c r="R40" s="16"/>
      <c r="S40" s="16"/>
      <c r="T40" s="11">
        <v>21.986353300000001</v>
      </c>
      <c r="U40" s="17"/>
      <c r="V40" s="17"/>
      <c r="W40" s="16"/>
      <c r="X40" s="16"/>
      <c r="Y40" s="16"/>
      <c r="Z40" s="17"/>
      <c r="AA40" s="17"/>
      <c r="AB40" s="17"/>
      <c r="AC40" s="17"/>
      <c r="AD40" s="17"/>
      <c r="AE40" s="17"/>
      <c r="AF40" s="16"/>
      <c r="AG40" s="16"/>
      <c r="AH40" s="16"/>
      <c r="AI40" s="16"/>
      <c r="AK40" s="1">
        <f t="shared" si="15"/>
        <v>0</v>
      </c>
      <c r="AL40" s="1" t="str">
        <f t="shared" si="16"/>
        <v>Ethanol</v>
      </c>
      <c r="AM40" s="12" t="e">
        <f>SUM(AS40:AY40)+BA40+BB40</f>
        <v>#DIV/0!</v>
      </c>
      <c r="AN40" s="12" t="e">
        <f>SUM(AS40:AY40)+BD40+BE40</f>
        <v>#DIV/0!</v>
      </c>
      <c r="AO40" s="5" t="e">
        <f t="shared" si="17"/>
        <v>#DIV/0!</v>
      </c>
      <c r="AP40" s="12" t="e">
        <f>SUM(AS40:AY40)+BG40+BH40</f>
        <v>#DIV/0!</v>
      </c>
      <c r="AQ40" s="12" t="e">
        <f>SUM(AS40:AY40)+BJ40+BK40</f>
        <v>#DIV/0!</v>
      </c>
      <c r="AR40" s="5" t="e">
        <f t="shared" si="18"/>
        <v>#DIV/0!</v>
      </c>
      <c r="AS40" s="5" t="e">
        <f t="shared" si="19"/>
        <v>#DIV/0!</v>
      </c>
      <c r="AT40" s="1" t="e">
        <f>E40/F40*W40</f>
        <v>#DIV/0!</v>
      </c>
      <c r="AU40" s="1" t="e">
        <f>1/F40*T40</f>
        <v>#DIV/0!</v>
      </c>
      <c r="AV40" s="1" t="e">
        <f>G40/F40*AF40</f>
        <v>#DIV/0!</v>
      </c>
      <c r="AW40" s="1" t="e">
        <f>J40/F40/(0.9*8760)</f>
        <v>#DIV/0!</v>
      </c>
      <c r="AX40" s="1" t="e">
        <f>K40/F40/(0.9*8760)</f>
        <v>#DIV/0!</v>
      </c>
      <c r="AY40" s="1" t="e">
        <f>L40/F40</f>
        <v>#DIV/0!</v>
      </c>
      <c r="AZ40" s="1" t="e">
        <f t="shared" si="20"/>
        <v>#REF!</v>
      </c>
      <c r="BA40" s="1" t="e">
        <f>(O40+P40)*-1*H40/F40</f>
        <v>#DIV/0!</v>
      </c>
      <c r="BB40" s="1" t="e">
        <f>AZ40*O40</f>
        <v>#REF!</v>
      </c>
      <c r="BC40" s="1" t="e">
        <f t="shared" si="21"/>
        <v>#REF!</v>
      </c>
      <c r="BD40" s="1" t="e">
        <f>P40*H40*-1/F40</f>
        <v>#DIV/0!</v>
      </c>
      <c r="BE40" s="1" t="e">
        <f>BC40*O40</f>
        <v>#REF!</v>
      </c>
      <c r="BF40" s="1" t="e">
        <f t="shared" si="22"/>
        <v>#REF!</v>
      </c>
      <c r="BG40" s="1" t="e">
        <f>(O40+P40)*-1*H40/F40</f>
        <v>#DIV/0!</v>
      </c>
      <c r="BH40" s="1" t="e">
        <f>BF40*O40</f>
        <v>#REF!</v>
      </c>
      <c r="BI40" s="1" t="e">
        <f t="shared" si="23"/>
        <v>#REF!</v>
      </c>
      <c r="BJ40" s="1" t="e">
        <f>H40/F40*P40*-1</f>
        <v>#DIV/0!</v>
      </c>
      <c r="BK40" s="1" t="e">
        <f>O40*BI40</f>
        <v>#REF!</v>
      </c>
      <c r="BM40" s="9">
        <v>3.14</v>
      </c>
      <c r="BN40" s="10">
        <v>0.22181100240000001</v>
      </c>
      <c r="BO40" s="9">
        <v>0.18104824</v>
      </c>
      <c r="BQ40" s="10" t="e">
        <f>1/F40*BN40</f>
        <v>#DIV/0!</v>
      </c>
      <c r="BR40" s="10" t="e">
        <f>G40/F40*BO40</f>
        <v>#DIV/0!</v>
      </c>
      <c r="BS40" s="10" t="e">
        <f t="shared" si="24"/>
        <v>#DIV/0!</v>
      </c>
      <c r="BU40" s="10">
        <f t="shared" si="25"/>
        <v>3.14</v>
      </c>
      <c r="BV40" s="10" t="e">
        <f>#REF!/F40*BO40</f>
        <v>#REF!</v>
      </c>
      <c r="BW40" s="10" t="e">
        <f>I40/F40</f>
        <v>#DIV/0!</v>
      </c>
      <c r="BX40" s="10" t="e">
        <f>H40/F40</f>
        <v>#DIV/0!</v>
      </c>
      <c r="BY40" s="10" t="e">
        <f t="shared" si="26"/>
        <v>#DIV/0!</v>
      </c>
      <c r="BZ40" s="10" t="e">
        <f t="shared" si="27"/>
        <v>#REF!</v>
      </c>
    </row>
    <row r="41" spans="2:78" x14ac:dyDescent="0.2">
      <c r="B41" s="14"/>
      <c r="C41" s="13" t="s">
        <v>72</v>
      </c>
      <c r="D41" s="13"/>
      <c r="E41" s="13"/>
      <c r="F41" s="13"/>
      <c r="G41" s="13"/>
      <c r="H41" s="13"/>
      <c r="I41" s="13"/>
      <c r="J41" s="13"/>
      <c r="K41" s="13"/>
      <c r="L41" s="13"/>
      <c r="M41" s="11" t="e">
        <f t="shared" si="14"/>
        <v>#DIV/0!</v>
      </c>
      <c r="O41" s="16"/>
      <c r="P41" s="16"/>
      <c r="Q41" s="16"/>
      <c r="R41" s="16"/>
      <c r="S41" s="16"/>
      <c r="T41" s="11">
        <v>21.986353300000001</v>
      </c>
      <c r="U41" s="17"/>
      <c r="V41" s="17"/>
      <c r="W41" s="16"/>
      <c r="X41" s="16"/>
      <c r="Y41" s="16"/>
      <c r="Z41" s="17"/>
      <c r="AA41" s="17"/>
      <c r="AB41" s="17"/>
      <c r="AC41" s="17"/>
      <c r="AD41" s="17"/>
      <c r="AE41" s="17"/>
      <c r="AF41" s="16"/>
      <c r="AG41" s="16"/>
      <c r="AH41" s="16"/>
      <c r="AI41" s="16"/>
      <c r="AK41" s="1">
        <f t="shared" si="15"/>
        <v>0</v>
      </c>
      <c r="AL41" s="1" t="str">
        <f t="shared" si="16"/>
        <v>Ethanol</v>
      </c>
      <c r="AM41" s="12" t="e">
        <f>SUM(AS41:AY41)+BA41+BB41</f>
        <v>#DIV/0!</v>
      </c>
      <c r="AN41" s="12" t="e">
        <f>SUM(AS41:AY41)+BD41+BE41</f>
        <v>#DIV/0!</v>
      </c>
      <c r="AO41" s="5" t="e">
        <f t="shared" si="17"/>
        <v>#DIV/0!</v>
      </c>
      <c r="AP41" s="12" t="e">
        <f>SUM(AS41:AY41)+BG41+BH41</f>
        <v>#DIV/0!</v>
      </c>
      <c r="AQ41" s="12" t="e">
        <f>SUM(AS41:AY41)+BJ41+BK41</f>
        <v>#DIV/0!</v>
      </c>
      <c r="AR41" s="5" t="e">
        <f t="shared" si="18"/>
        <v>#DIV/0!</v>
      </c>
      <c r="AS41" s="5" t="e">
        <f t="shared" si="19"/>
        <v>#DIV/0!</v>
      </c>
      <c r="AT41" s="1" t="e">
        <f>E41/F41*W41</f>
        <v>#DIV/0!</v>
      </c>
      <c r="AU41" s="1" t="e">
        <f>1/F41*T41</f>
        <v>#DIV/0!</v>
      </c>
      <c r="AV41" s="1" t="e">
        <f>G41/F41*AF41</f>
        <v>#DIV/0!</v>
      </c>
      <c r="AW41" s="1" t="e">
        <f>J41/F41/(0.9*8760)</f>
        <v>#DIV/0!</v>
      </c>
      <c r="AX41" s="1" t="e">
        <f>K41/F41/(0.9*8760)</f>
        <v>#DIV/0!</v>
      </c>
      <c r="AY41" s="1" t="e">
        <f>L41/F41</f>
        <v>#DIV/0!</v>
      </c>
      <c r="AZ41" s="1" t="e">
        <f t="shared" si="20"/>
        <v>#REF!</v>
      </c>
      <c r="BA41" s="1" t="e">
        <f>(O41+P41)*-1*H41/F41</f>
        <v>#DIV/0!</v>
      </c>
      <c r="BB41" s="1" t="e">
        <f>AZ41*O41</f>
        <v>#REF!</v>
      </c>
      <c r="BC41" s="1" t="e">
        <f t="shared" si="21"/>
        <v>#REF!</v>
      </c>
      <c r="BD41" s="1" t="e">
        <f>P41*H41*-1/F41</f>
        <v>#DIV/0!</v>
      </c>
      <c r="BE41" s="1" t="e">
        <f>BC41*O41</f>
        <v>#REF!</v>
      </c>
      <c r="BF41" s="1" t="e">
        <f t="shared" si="22"/>
        <v>#REF!</v>
      </c>
      <c r="BG41" s="1" t="e">
        <f>(O41+P41)*-1*H41/F41</f>
        <v>#DIV/0!</v>
      </c>
      <c r="BH41" s="1" t="e">
        <f>BF41*O41</f>
        <v>#REF!</v>
      </c>
      <c r="BI41" s="1" t="e">
        <f t="shared" si="23"/>
        <v>#REF!</v>
      </c>
      <c r="BJ41" s="1" t="e">
        <f>H41/F41*P41*-1</f>
        <v>#DIV/0!</v>
      </c>
      <c r="BK41" s="1" t="e">
        <f>O41*BI41</f>
        <v>#REF!</v>
      </c>
      <c r="BM41" s="9">
        <v>3.14</v>
      </c>
      <c r="BN41" s="10">
        <v>0.22181100240000001</v>
      </c>
      <c r="BO41" s="9">
        <v>0.18104824</v>
      </c>
      <c r="BQ41" s="10" t="e">
        <f>1/F41*BN41</f>
        <v>#DIV/0!</v>
      </c>
      <c r="BR41" s="10" t="e">
        <f>G41/F41*BO41</f>
        <v>#DIV/0!</v>
      </c>
      <c r="BS41" s="10" t="e">
        <f t="shared" si="24"/>
        <v>#DIV/0!</v>
      </c>
      <c r="BU41" s="10">
        <f t="shared" si="25"/>
        <v>3.14</v>
      </c>
      <c r="BV41" s="10" t="e">
        <f>#REF!/F41*BO41</f>
        <v>#REF!</v>
      </c>
      <c r="BW41" s="10" t="e">
        <f>I41/F41</f>
        <v>#DIV/0!</v>
      </c>
      <c r="BX41" s="10" t="e">
        <f>H41/F41</f>
        <v>#DIV/0!</v>
      </c>
      <c r="BY41" s="10" t="e">
        <f t="shared" si="26"/>
        <v>#DIV/0!</v>
      </c>
      <c r="BZ41" s="10" t="e">
        <f t="shared" si="27"/>
        <v>#REF!</v>
      </c>
    </row>
    <row r="42" spans="2:78" x14ac:dyDescent="0.2">
      <c r="B42" s="14"/>
      <c r="C42" s="13" t="s">
        <v>72</v>
      </c>
      <c r="D42" s="13"/>
      <c r="E42" s="13"/>
      <c r="F42" s="13"/>
      <c r="G42" s="13"/>
      <c r="H42" s="13"/>
      <c r="I42" s="13"/>
      <c r="J42" s="13"/>
      <c r="K42" s="13"/>
      <c r="L42" s="13"/>
      <c r="M42" s="11" t="e">
        <f t="shared" si="14"/>
        <v>#DIV/0!</v>
      </c>
      <c r="O42" s="16"/>
      <c r="P42" s="16"/>
      <c r="Q42" s="16"/>
      <c r="R42" s="16"/>
      <c r="S42" s="16"/>
      <c r="T42" s="11">
        <v>21.986353300000001</v>
      </c>
      <c r="U42" s="17"/>
      <c r="V42" s="17"/>
      <c r="W42" s="16"/>
      <c r="X42" s="16"/>
      <c r="Y42" s="16"/>
      <c r="Z42" s="17"/>
      <c r="AA42" s="17"/>
      <c r="AB42" s="17"/>
      <c r="AC42" s="17"/>
      <c r="AD42" s="17"/>
      <c r="AE42" s="17"/>
      <c r="AF42" s="16"/>
      <c r="AG42" s="16"/>
      <c r="AH42" s="16"/>
      <c r="AI42" s="16"/>
      <c r="AK42" s="1">
        <f t="shared" si="15"/>
        <v>0</v>
      </c>
      <c r="AL42" s="1" t="str">
        <f t="shared" si="16"/>
        <v>Ethanol</v>
      </c>
      <c r="AM42" s="12" t="e">
        <f>SUM(AS42:AY42)+BA42+BB42</f>
        <v>#DIV/0!</v>
      </c>
      <c r="AN42" s="12" t="e">
        <f>SUM(AS42:AY42)+BD42+BE42</f>
        <v>#DIV/0!</v>
      </c>
      <c r="AO42" s="5" t="e">
        <f t="shared" si="17"/>
        <v>#DIV/0!</v>
      </c>
      <c r="AP42" s="12" t="e">
        <f>SUM(AS42:AY42)+BG42+BH42</f>
        <v>#DIV/0!</v>
      </c>
      <c r="AQ42" s="12" t="e">
        <f>SUM(AS42:AY42)+BJ42+BK42</f>
        <v>#DIV/0!</v>
      </c>
      <c r="AR42" s="5" t="e">
        <f t="shared" si="18"/>
        <v>#DIV/0!</v>
      </c>
      <c r="AS42" s="5" t="e">
        <f t="shared" si="19"/>
        <v>#DIV/0!</v>
      </c>
      <c r="AT42" s="1" t="e">
        <f>E42/F42*W42</f>
        <v>#DIV/0!</v>
      </c>
      <c r="AU42" s="1" t="e">
        <f>1/F42*T42</f>
        <v>#DIV/0!</v>
      </c>
      <c r="AV42" s="1" t="e">
        <f>G42/F42*AF42</f>
        <v>#DIV/0!</v>
      </c>
      <c r="AW42" s="1" t="e">
        <f>J42/F42/(0.9*8760)</f>
        <v>#DIV/0!</v>
      </c>
      <c r="AX42" s="1" t="e">
        <f>K42/F42/(0.9*8760)</f>
        <v>#DIV/0!</v>
      </c>
      <c r="AY42" s="1" t="e">
        <f>L42/F42</f>
        <v>#DIV/0!</v>
      </c>
      <c r="AZ42" s="1" t="e">
        <f t="shared" si="20"/>
        <v>#REF!</v>
      </c>
      <c r="BA42" s="1" t="e">
        <f>(O42+P42)*-1*H42/F42</f>
        <v>#DIV/0!</v>
      </c>
      <c r="BB42" s="1" t="e">
        <f>AZ42*O42</f>
        <v>#REF!</v>
      </c>
      <c r="BC42" s="1" t="e">
        <f t="shared" si="21"/>
        <v>#REF!</v>
      </c>
      <c r="BD42" s="1" t="e">
        <f>P42*H42*-1/F42</f>
        <v>#DIV/0!</v>
      </c>
      <c r="BE42" s="1" t="e">
        <f>BC42*O42</f>
        <v>#REF!</v>
      </c>
      <c r="BF42" s="1" t="e">
        <f t="shared" si="22"/>
        <v>#REF!</v>
      </c>
      <c r="BG42" s="1" t="e">
        <f>(O42+P42)*-1*H42/F42</f>
        <v>#DIV/0!</v>
      </c>
      <c r="BH42" s="1" t="e">
        <f>BF42*O42</f>
        <v>#REF!</v>
      </c>
      <c r="BI42" s="1" t="e">
        <f t="shared" si="23"/>
        <v>#REF!</v>
      </c>
      <c r="BJ42" s="1" t="e">
        <f>H42/F42*P42*-1</f>
        <v>#DIV/0!</v>
      </c>
      <c r="BK42" s="1" t="e">
        <f>O42*BI42</f>
        <v>#REF!</v>
      </c>
      <c r="BM42" s="9">
        <v>3.14</v>
      </c>
      <c r="BN42" s="10">
        <v>0.22181100240000001</v>
      </c>
      <c r="BO42" s="9">
        <v>0.18104824</v>
      </c>
      <c r="BQ42" s="10" t="e">
        <f>1/F42*BN42</f>
        <v>#DIV/0!</v>
      </c>
      <c r="BR42" s="10" t="e">
        <f>G42/F42*BO42</f>
        <v>#DIV/0!</v>
      </c>
      <c r="BS42" s="10" t="e">
        <f t="shared" si="24"/>
        <v>#DIV/0!</v>
      </c>
      <c r="BU42" s="10">
        <f t="shared" si="25"/>
        <v>3.14</v>
      </c>
      <c r="BV42" s="10" t="e">
        <f>#REF!/F42*BO42</f>
        <v>#REF!</v>
      </c>
      <c r="BW42" s="10" t="e">
        <f>I42/F42</f>
        <v>#DIV/0!</v>
      </c>
      <c r="BX42" s="10" t="e">
        <f>H42/F42</f>
        <v>#DIV/0!</v>
      </c>
      <c r="BY42" s="10" t="e">
        <f t="shared" si="26"/>
        <v>#DIV/0!</v>
      </c>
      <c r="BZ42" s="10" t="e">
        <f t="shared" si="27"/>
        <v>#REF!</v>
      </c>
    </row>
    <row r="43" spans="2:78" x14ac:dyDescent="0.2">
      <c r="B43" s="14"/>
      <c r="C43" s="13" t="s">
        <v>72</v>
      </c>
      <c r="D43" s="13"/>
      <c r="E43" s="13"/>
      <c r="F43" s="13"/>
      <c r="G43" s="13"/>
      <c r="H43" s="13"/>
      <c r="I43" s="13"/>
      <c r="J43" s="13"/>
      <c r="K43" s="13"/>
      <c r="L43" s="13"/>
      <c r="M43" s="11" t="e">
        <f t="shared" si="14"/>
        <v>#DIV/0!</v>
      </c>
      <c r="O43" s="16"/>
      <c r="P43" s="16"/>
      <c r="Q43" s="16"/>
      <c r="R43" s="16"/>
      <c r="S43" s="16"/>
      <c r="T43" s="11">
        <v>21.986353300000001</v>
      </c>
      <c r="U43" s="17"/>
      <c r="V43" s="17"/>
      <c r="W43" s="16"/>
      <c r="X43" s="16"/>
      <c r="Y43" s="16"/>
      <c r="Z43" s="17"/>
      <c r="AA43" s="17"/>
      <c r="AB43" s="17"/>
      <c r="AC43" s="17"/>
      <c r="AD43" s="17"/>
      <c r="AE43" s="17"/>
      <c r="AF43" s="16"/>
      <c r="AG43" s="16"/>
      <c r="AH43" s="16"/>
      <c r="AI43" s="16"/>
      <c r="AK43" s="1">
        <f t="shared" si="15"/>
        <v>0</v>
      </c>
      <c r="AL43" s="1" t="str">
        <f t="shared" si="16"/>
        <v>Ethanol</v>
      </c>
      <c r="AM43" s="12" t="e">
        <f>SUM(AS43:AY43)+BA43+BB43</f>
        <v>#DIV/0!</v>
      </c>
      <c r="AN43" s="12" t="e">
        <f>SUM(AS43:AY43)+BD43+BE43</f>
        <v>#DIV/0!</v>
      </c>
      <c r="AO43" s="5" t="e">
        <f t="shared" si="17"/>
        <v>#DIV/0!</v>
      </c>
      <c r="AP43" s="12" t="e">
        <f>SUM(AS43:AY43)+BG43+BH43</f>
        <v>#DIV/0!</v>
      </c>
      <c r="AQ43" s="12" t="e">
        <f>SUM(AS43:AY43)+BJ43+BK43</f>
        <v>#DIV/0!</v>
      </c>
      <c r="AR43" s="5" t="e">
        <f t="shared" si="18"/>
        <v>#DIV/0!</v>
      </c>
      <c r="AS43" s="5" t="e">
        <f t="shared" si="19"/>
        <v>#DIV/0!</v>
      </c>
      <c r="AT43" s="1" t="e">
        <f>E43/F43*W43</f>
        <v>#DIV/0!</v>
      </c>
      <c r="AU43" s="1" t="e">
        <f>1/F43*T43</f>
        <v>#DIV/0!</v>
      </c>
      <c r="AV43" s="1" t="e">
        <f>G43/F43*AF43</f>
        <v>#DIV/0!</v>
      </c>
      <c r="AW43" s="1" t="e">
        <f>J43/F43/(0.9*8760)</f>
        <v>#DIV/0!</v>
      </c>
      <c r="AX43" s="1" t="e">
        <f>K43/F43/(0.9*8760)</f>
        <v>#DIV/0!</v>
      </c>
      <c r="AY43" s="1" t="e">
        <f>L43/F43</f>
        <v>#DIV/0!</v>
      </c>
      <c r="AZ43" s="1" t="e">
        <f t="shared" si="20"/>
        <v>#REF!</v>
      </c>
      <c r="BA43" s="1" t="e">
        <f>(O43+P43)*-1*H43/F43</f>
        <v>#DIV/0!</v>
      </c>
      <c r="BB43" s="1" t="e">
        <f>AZ43*O43</f>
        <v>#REF!</v>
      </c>
      <c r="BC43" s="1" t="e">
        <f t="shared" si="21"/>
        <v>#REF!</v>
      </c>
      <c r="BD43" s="1" t="e">
        <f>P43*H43*-1/F43</f>
        <v>#DIV/0!</v>
      </c>
      <c r="BE43" s="1" t="e">
        <f>BC43*O43</f>
        <v>#REF!</v>
      </c>
      <c r="BF43" s="1" t="e">
        <f t="shared" si="22"/>
        <v>#REF!</v>
      </c>
      <c r="BG43" s="1" t="e">
        <f>(O43+P43)*-1*H43/F43</f>
        <v>#DIV/0!</v>
      </c>
      <c r="BH43" s="1" t="e">
        <f>BF43*O43</f>
        <v>#REF!</v>
      </c>
      <c r="BI43" s="1" t="e">
        <f t="shared" si="23"/>
        <v>#REF!</v>
      </c>
      <c r="BJ43" s="1" t="e">
        <f>H43/F43*P43*-1</f>
        <v>#DIV/0!</v>
      </c>
      <c r="BK43" s="1" t="e">
        <f>O43*BI43</f>
        <v>#REF!</v>
      </c>
      <c r="BM43" s="9">
        <v>3.14</v>
      </c>
      <c r="BN43" s="10">
        <v>0.22181100240000001</v>
      </c>
      <c r="BO43" s="9">
        <v>0.18104824</v>
      </c>
      <c r="BQ43" s="10" t="e">
        <f>1/F43*BN43</f>
        <v>#DIV/0!</v>
      </c>
      <c r="BR43" s="10" t="e">
        <f>G43/F43*BO43</f>
        <v>#DIV/0!</v>
      </c>
      <c r="BS43" s="10" t="e">
        <f t="shared" si="24"/>
        <v>#DIV/0!</v>
      </c>
      <c r="BU43" s="10">
        <f t="shared" si="25"/>
        <v>3.14</v>
      </c>
      <c r="BV43" s="10" t="e">
        <f>#REF!/F43*BO43</f>
        <v>#REF!</v>
      </c>
      <c r="BW43" s="10" t="e">
        <f>I43/F43</f>
        <v>#DIV/0!</v>
      </c>
      <c r="BX43" s="10" t="e">
        <f>H43/F43</f>
        <v>#DIV/0!</v>
      </c>
      <c r="BY43" s="10" t="e">
        <f t="shared" si="26"/>
        <v>#DIV/0!</v>
      </c>
      <c r="BZ43" s="10" t="e">
        <f t="shared" si="27"/>
        <v>#REF!</v>
      </c>
    </row>
    <row r="44" spans="2:78" x14ac:dyDescent="0.2">
      <c r="B44" s="14"/>
      <c r="C44" s="13" t="s">
        <v>72</v>
      </c>
      <c r="D44" s="13"/>
      <c r="E44" s="13"/>
      <c r="F44" s="13"/>
      <c r="G44" s="13"/>
      <c r="H44" s="13"/>
      <c r="I44" s="13"/>
      <c r="J44" s="13"/>
      <c r="K44" s="13"/>
      <c r="L44" s="13"/>
      <c r="M44" s="11" t="e">
        <f t="shared" si="14"/>
        <v>#DIV/0!</v>
      </c>
      <c r="O44" s="16"/>
      <c r="P44" s="16"/>
      <c r="Q44" s="16"/>
      <c r="R44" s="16"/>
      <c r="S44" s="16"/>
      <c r="T44" s="11">
        <v>21.986353300000001</v>
      </c>
      <c r="U44" s="17"/>
      <c r="V44" s="17"/>
      <c r="W44" s="16"/>
      <c r="X44" s="16"/>
      <c r="Y44" s="16"/>
      <c r="Z44" s="17"/>
      <c r="AA44" s="17"/>
      <c r="AB44" s="17"/>
      <c r="AC44" s="17"/>
      <c r="AD44" s="17"/>
      <c r="AE44" s="17"/>
      <c r="AF44" s="16"/>
      <c r="AG44" s="16"/>
      <c r="AH44" s="16"/>
      <c r="AI44" s="16"/>
      <c r="AK44" s="1">
        <f t="shared" si="15"/>
        <v>0</v>
      </c>
      <c r="AL44" s="1" t="str">
        <f t="shared" si="16"/>
        <v>Ethanol</v>
      </c>
      <c r="AM44" s="12" t="e">
        <f>SUM(AS44:AY44)+BA44+BB44</f>
        <v>#DIV/0!</v>
      </c>
      <c r="AN44" s="12" t="e">
        <f>SUM(AS44:AY44)+BD44+BE44</f>
        <v>#DIV/0!</v>
      </c>
      <c r="AO44" s="5" t="e">
        <f t="shared" si="17"/>
        <v>#DIV/0!</v>
      </c>
      <c r="AP44" s="12" t="e">
        <f>SUM(AS44:AY44)+BG44+BH44</f>
        <v>#DIV/0!</v>
      </c>
      <c r="AQ44" s="12" t="e">
        <f>SUM(AS44:AY44)+BJ44+BK44</f>
        <v>#DIV/0!</v>
      </c>
      <c r="AR44" s="5" t="e">
        <f t="shared" si="18"/>
        <v>#DIV/0!</v>
      </c>
      <c r="AS44" s="5" t="e">
        <f t="shared" si="19"/>
        <v>#DIV/0!</v>
      </c>
      <c r="AT44" s="1" t="e">
        <f>E44/F44*W44</f>
        <v>#DIV/0!</v>
      </c>
      <c r="AU44" s="1" t="e">
        <f>1/F44*T44</f>
        <v>#DIV/0!</v>
      </c>
      <c r="AV44" s="1" t="e">
        <f>G44/F44*AF44</f>
        <v>#DIV/0!</v>
      </c>
      <c r="AW44" s="1" t="e">
        <f>J44/F44/(0.9*8760)</f>
        <v>#DIV/0!</v>
      </c>
      <c r="AX44" s="1" t="e">
        <f>K44/F44/(0.9*8760)</f>
        <v>#DIV/0!</v>
      </c>
      <c r="AY44" s="1" t="e">
        <f>L44/F44</f>
        <v>#DIV/0!</v>
      </c>
      <c r="AZ44" s="1" t="e">
        <f t="shared" si="20"/>
        <v>#REF!</v>
      </c>
      <c r="BA44" s="1" t="e">
        <f>(O44+P44)*-1*H44/F44</f>
        <v>#DIV/0!</v>
      </c>
      <c r="BB44" s="1" t="e">
        <f>AZ44*O44</f>
        <v>#REF!</v>
      </c>
      <c r="BC44" s="1" t="e">
        <f t="shared" si="21"/>
        <v>#REF!</v>
      </c>
      <c r="BD44" s="1" t="e">
        <f>P44*H44*-1/F44</f>
        <v>#DIV/0!</v>
      </c>
      <c r="BE44" s="1" t="e">
        <f>BC44*O44</f>
        <v>#REF!</v>
      </c>
      <c r="BF44" s="1" t="e">
        <f t="shared" si="22"/>
        <v>#REF!</v>
      </c>
      <c r="BG44" s="1" t="e">
        <f>(O44+P44)*-1*H44/F44</f>
        <v>#DIV/0!</v>
      </c>
      <c r="BH44" s="1" t="e">
        <f>BF44*O44</f>
        <v>#REF!</v>
      </c>
      <c r="BI44" s="1" t="e">
        <f t="shared" si="23"/>
        <v>#REF!</v>
      </c>
      <c r="BJ44" s="1" t="e">
        <f>H44/F44*P44*-1</f>
        <v>#DIV/0!</v>
      </c>
      <c r="BK44" s="1" t="e">
        <f>O44*BI44</f>
        <v>#REF!</v>
      </c>
      <c r="BM44" s="9">
        <v>3.14</v>
      </c>
      <c r="BN44" s="10">
        <v>0.22181100240000001</v>
      </c>
      <c r="BO44" s="9">
        <v>0.18104824</v>
      </c>
      <c r="BQ44" s="10" t="e">
        <f>1/F44*BN44</f>
        <v>#DIV/0!</v>
      </c>
      <c r="BR44" s="10" t="e">
        <f>G44/F44*BO44</f>
        <v>#DIV/0!</v>
      </c>
      <c r="BS44" s="10" t="e">
        <f t="shared" si="24"/>
        <v>#DIV/0!</v>
      </c>
      <c r="BU44" s="10">
        <f t="shared" si="25"/>
        <v>3.14</v>
      </c>
      <c r="BV44" s="10" t="e">
        <f>#REF!/F44*BO44</f>
        <v>#REF!</v>
      </c>
      <c r="BW44" s="10" t="e">
        <f>I44/F44</f>
        <v>#DIV/0!</v>
      </c>
      <c r="BX44" s="10" t="e">
        <f>H44/F44</f>
        <v>#DIV/0!</v>
      </c>
      <c r="BY44" s="10" t="e">
        <f t="shared" si="26"/>
        <v>#DIV/0!</v>
      </c>
      <c r="BZ44" s="10" t="e">
        <f t="shared" si="27"/>
        <v>#REF!</v>
      </c>
    </row>
    <row r="45" spans="2:78" x14ac:dyDescent="0.2">
      <c r="B45" s="14"/>
      <c r="C45" s="13" t="s">
        <v>72</v>
      </c>
      <c r="D45" s="13"/>
      <c r="E45" s="13"/>
      <c r="F45" s="13"/>
      <c r="G45" s="13"/>
      <c r="H45" s="13"/>
      <c r="I45" s="13"/>
      <c r="J45" s="13"/>
      <c r="K45" s="13"/>
      <c r="L45" s="13"/>
      <c r="M45" s="11" t="e">
        <f t="shared" si="14"/>
        <v>#DIV/0!</v>
      </c>
      <c r="O45" s="16"/>
      <c r="P45" s="16"/>
      <c r="Q45" s="16"/>
      <c r="R45" s="16"/>
      <c r="S45" s="16"/>
      <c r="T45" s="11">
        <v>21.986353300000001</v>
      </c>
      <c r="U45" s="17"/>
      <c r="V45" s="17"/>
      <c r="W45" s="16"/>
      <c r="X45" s="16"/>
      <c r="Y45" s="16"/>
      <c r="Z45" s="17"/>
      <c r="AA45" s="17"/>
      <c r="AB45" s="17"/>
      <c r="AC45" s="17"/>
      <c r="AD45" s="17"/>
      <c r="AE45" s="17"/>
      <c r="AF45" s="16"/>
      <c r="AG45" s="16"/>
      <c r="AH45" s="16"/>
      <c r="AI45" s="16"/>
      <c r="AK45" s="1">
        <f t="shared" si="15"/>
        <v>0</v>
      </c>
      <c r="AL45" s="1" t="str">
        <f t="shared" si="16"/>
        <v>Ethanol</v>
      </c>
      <c r="AM45" s="12" t="e">
        <f>SUM(AS45:AY45)+BA45+BB45</f>
        <v>#DIV/0!</v>
      </c>
      <c r="AN45" s="12" t="e">
        <f>SUM(AS45:AY45)+BD45+BE45</f>
        <v>#DIV/0!</v>
      </c>
      <c r="AO45" s="5" t="e">
        <f t="shared" si="17"/>
        <v>#DIV/0!</v>
      </c>
      <c r="AP45" s="12" t="e">
        <f>SUM(AS45:AY45)+BG45+BH45</f>
        <v>#DIV/0!</v>
      </c>
      <c r="AQ45" s="12" t="e">
        <f>SUM(AS45:AY45)+BJ45+BK45</f>
        <v>#DIV/0!</v>
      </c>
      <c r="AR45" s="5" t="e">
        <f t="shared" si="18"/>
        <v>#DIV/0!</v>
      </c>
      <c r="AS45" s="5" t="e">
        <f t="shared" si="19"/>
        <v>#DIV/0!</v>
      </c>
      <c r="AT45" s="1" t="e">
        <f>E45/F45*W45</f>
        <v>#DIV/0!</v>
      </c>
      <c r="AU45" s="1" t="e">
        <f>1/F45*T45</f>
        <v>#DIV/0!</v>
      </c>
      <c r="AV45" s="1" t="e">
        <f>G45/F45*AF45</f>
        <v>#DIV/0!</v>
      </c>
      <c r="AW45" s="1" t="e">
        <f>J45/F45/(0.9*8760)</f>
        <v>#DIV/0!</v>
      </c>
      <c r="AX45" s="1" t="e">
        <f>K45/F45/(0.9*8760)</f>
        <v>#DIV/0!</v>
      </c>
      <c r="AY45" s="1" t="e">
        <f>L45/F45</f>
        <v>#DIV/0!</v>
      </c>
      <c r="AZ45" s="1" t="e">
        <f t="shared" si="20"/>
        <v>#REF!</v>
      </c>
      <c r="BA45" s="1" t="e">
        <f>(O45+P45)*-1*H45/F45</f>
        <v>#DIV/0!</v>
      </c>
      <c r="BB45" s="1" t="e">
        <f>AZ45*O45</f>
        <v>#REF!</v>
      </c>
      <c r="BC45" s="1" t="e">
        <f t="shared" si="21"/>
        <v>#REF!</v>
      </c>
      <c r="BD45" s="1" t="e">
        <f>P45*H45*-1/F45</f>
        <v>#DIV/0!</v>
      </c>
      <c r="BE45" s="1" t="e">
        <f>BC45*O45</f>
        <v>#REF!</v>
      </c>
      <c r="BF45" s="1" t="e">
        <f t="shared" si="22"/>
        <v>#REF!</v>
      </c>
      <c r="BG45" s="1" t="e">
        <f>(O45+P45)*-1*H45/F45</f>
        <v>#DIV/0!</v>
      </c>
      <c r="BH45" s="1" t="e">
        <f>BF45*O45</f>
        <v>#REF!</v>
      </c>
      <c r="BI45" s="1" t="e">
        <f t="shared" si="23"/>
        <v>#REF!</v>
      </c>
      <c r="BJ45" s="1" t="e">
        <f>H45/F45*P45*-1</f>
        <v>#DIV/0!</v>
      </c>
      <c r="BK45" s="1" t="e">
        <f>O45*BI45</f>
        <v>#REF!</v>
      </c>
      <c r="BM45" s="9">
        <v>3.14</v>
      </c>
      <c r="BN45" s="10">
        <v>0.22181100240000001</v>
      </c>
      <c r="BO45" s="9">
        <v>0.18104824</v>
      </c>
      <c r="BQ45" s="10" t="e">
        <f>1/F45*BN45</f>
        <v>#DIV/0!</v>
      </c>
      <c r="BR45" s="10" t="e">
        <f>G45/F45*BO45</f>
        <v>#DIV/0!</v>
      </c>
      <c r="BS45" s="10" t="e">
        <f t="shared" si="24"/>
        <v>#DIV/0!</v>
      </c>
      <c r="BU45" s="10">
        <f t="shared" si="25"/>
        <v>3.14</v>
      </c>
      <c r="BV45" s="10" t="e">
        <f>#REF!/F45*BO45</f>
        <v>#REF!</v>
      </c>
      <c r="BW45" s="10" t="e">
        <f>I45/F45</f>
        <v>#DIV/0!</v>
      </c>
      <c r="BX45" s="10" t="e">
        <f>H45/F45</f>
        <v>#DIV/0!</v>
      </c>
      <c r="BY45" s="10" t="e">
        <f t="shared" si="26"/>
        <v>#DIV/0!</v>
      </c>
      <c r="BZ45" s="10" t="e">
        <f t="shared" si="27"/>
        <v>#REF!</v>
      </c>
    </row>
    <row r="46" spans="2:78" x14ac:dyDescent="0.2">
      <c r="B46" s="14"/>
      <c r="C46" s="13" t="s">
        <v>72</v>
      </c>
      <c r="D46" s="13"/>
      <c r="E46" s="13"/>
      <c r="F46" s="13"/>
      <c r="G46" s="13"/>
      <c r="H46" s="13"/>
      <c r="I46" s="13"/>
      <c r="J46" s="13"/>
      <c r="K46" s="13"/>
      <c r="L46" s="13"/>
      <c r="M46" s="11" t="e">
        <f t="shared" si="14"/>
        <v>#DIV/0!</v>
      </c>
      <c r="O46" s="16"/>
      <c r="P46" s="16"/>
      <c r="Q46" s="16"/>
      <c r="R46" s="16"/>
      <c r="S46" s="16"/>
      <c r="T46" s="11">
        <v>21.986353300000001</v>
      </c>
      <c r="U46" s="17"/>
      <c r="V46" s="17"/>
      <c r="W46" s="16"/>
      <c r="X46" s="16"/>
      <c r="Y46" s="16"/>
      <c r="Z46" s="17"/>
      <c r="AA46" s="17"/>
      <c r="AB46" s="17"/>
      <c r="AC46" s="17"/>
      <c r="AD46" s="17"/>
      <c r="AE46" s="17"/>
      <c r="AF46" s="16"/>
      <c r="AG46" s="16"/>
      <c r="AH46" s="16"/>
      <c r="AI46" s="16"/>
      <c r="AK46" s="1">
        <f t="shared" si="15"/>
        <v>0</v>
      </c>
      <c r="AL46" s="1" t="str">
        <f t="shared" si="16"/>
        <v>Ethanol</v>
      </c>
      <c r="AM46" s="12" t="e">
        <f>SUM(AS46:AY46)+BA46+BB46</f>
        <v>#DIV/0!</v>
      </c>
      <c r="AN46" s="12" t="e">
        <f>SUM(AS46:AY46)+BD46+BE46</f>
        <v>#DIV/0!</v>
      </c>
      <c r="AO46" s="5" t="e">
        <f t="shared" si="17"/>
        <v>#DIV/0!</v>
      </c>
      <c r="AP46" s="12" t="e">
        <f>SUM(AS46:AY46)+BG46+BH46</f>
        <v>#DIV/0!</v>
      </c>
      <c r="AQ46" s="12" t="e">
        <f>SUM(AS46:AY46)+BJ46+BK46</f>
        <v>#DIV/0!</v>
      </c>
      <c r="AR46" s="5" t="e">
        <f t="shared" si="18"/>
        <v>#DIV/0!</v>
      </c>
      <c r="AS46" s="5" t="e">
        <f t="shared" si="19"/>
        <v>#DIV/0!</v>
      </c>
      <c r="AT46" s="1" t="e">
        <f>E46/F46*W46</f>
        <v>#DIV/0!</v>
      </c>
      <c r="AU46" s="1" t="e">
        <f>1/F46*T46</f>
        <v>#DIV/0!</v>
      </c>
      <c r="AV46" s="1" t="e">
        <f>G46/F46*AF46</f>
        <v>#DIV/0!</v>
      </c>
      <c r="AW46" s="1" t="e">
        <f>J46/F46/(0.9*8760)</f>
        <v>#DIV/0!</v>
      </c>
      <c r="AX46" s="1" t="e">
        <f>K46/F46/(0.9*8760)</f>
        <v>#DIV/0!</v>
      </c>
      <c r="AY46" s="1" t="e">
        <f>L46/F46</f>
        <v>#DIV/0!</v>
      </c>
      <c r="AZ46" s="1" t="e">
        <f t="shared" si="20"/>
        <v>#REF!</v>
      </c>
      <c r="BA46" s="1" t="e">
        <f>(O46+P46)*-1*H46/F46</f>
        <v>#DIV/0!</v>
      </c>
      <c r="BB46" s="1" t="e">
        <f>AZ46*O46</f>
        <v>#REF!</v>
      </c>
      <c r="BC46" s="1" t="e">
        <f t="shared" si="21"/>
        <v>#REF!</v>
      </c>
      <c r="BD46" s="1" t="e">
        <f>P46*H46*-1/F46</f>
        <v>#DIV/0!</v>
      </c>
      <c r="BE46" s="1" t="e">
        <f>BC46*O46</f>
        <v>#REF!</v>
      </c>
      <c r="BF46" s="1" t="e">
        <f t="shared" si="22"/>
        <v>#REF!</v>
      </c>
      <c r="BG46" s="1" t="e">
        <f>(O46+P46)*-1*H46/F46</f>
        <v>#DIV/0!</v>
      </c>
      <c r="BH46" s="1" t="e">
        <f>BF46*O46</f>
        <v>#REF!</v>
      </c>
      <c r="BI46" s="1" t="e">
        <f t="shared" si="23"/>
        <v>#REF!</v>
      </c>
      <c r="BJ46" s="1" t="e">
        <f>H46/F46*P46*-1</f>
        <v>#DIV/0!</v>
      </c>
      <c r="BK46" s="1" t="e">
        <f>O46*BI46</f>
        <v>#REF!</v>
      </c>
      <c r="BM46" s="9">
        <v>3.14</v>
      </c>
      <c r="BN46" s="10">
        <v>0.22181100240000001</v>
      </c>
      <c r="BO46" s="9">
        <v>0.18104824</v>
      </c>
      <c r="BQ46" s="10" t="e">
        <f>1/F46*BN46</f>
        <v>#DIV/0!</v>
      </c>
      <c r="BR46" s="10" t="e">
        <f>G46/F46*BO46</f>
        <v>#DIV/0!</v>
      </c>
      <c r="BS46" s="10" t="e">
        <f t="shared" si="24"/>
        <v>#DIV/0!</v>
      </c>
      <c r="BU46" s="10">
        <f t="shared" si="25"/>
        <v>3.14</v>
      </c>
      <c r="BV46" s="10" t="e">
        <f>#REF!/F46*BO46</f>
        <v>#REF!</v>
      </c>
      <c r="BW46" s="10" t="e">
        <f>I46/F46</f>
        <v>#DIV/0!</v>
      </c>
      <c r="BX46" s="10" t="e">
        <f>H46/F46</f>
        <v>#DIV/0!</v>
      </c>
      <c r="BY46" s="10" t="e">
        <f t="shared" si="26"/>
        <v>#DIV/0!</v>
      </c>
      <c r="BZ46" s="10" t="e">
        <f t="shared" si="27"/>
        <v>#REF!</v>
      </c>
    </row>
    <row r="47" spans="2:78" x14ac:dyDescent="0.2">
      <c r="B47" s="14"/>
      <c r="C47" s="13" t="s">
        <v>72</v>
      </c>
      <c r="D47" s="13"/>
      <c r="E47" s="13"/>
      <c r="F47" s="13"/>
      <c r="G47" s="13"/>
      <c r="H47" s="13"/>
      <c r="I47" s="13"/>
      <c r="J47" s="13"/>
      <c r="K47" s="13"/>
      <c r="L47" s="13"/>
      <c r="M47" s="11" t="e">
        <f t="shared" si="14"/>
        <v>#DIV/0!</v>
      </c>
      <c r="O47" s="16"/>
      <c r="P47" s="16"/>
      <c r="Q47" s="16"/>
      <c r="R47" s="16"/>
      <c r="S47" s="16"/>
      <c r="T47" s="11">
        <v>21.986353300000001</v>
      </c>
      <c r="U47" s="17"/>
      <c r="V47" s="17"/>
      <c r="W47" s="16"/>
      <c r="X47" s="16"/>
      <c r="Y47" s="16"/>
      <c r="Z47" s="17"/>
      <c r="AA47" s="17"/>
      <c r="AB47" s="17"/>
      <c r="AC47" s="17"/>
      <c r="AD47" s="17"/>
      <c r="AE47" s="17"/>
      <c r="AF47" s="16"/>
      <c r="AG47" s="16"/>
      <c r="AH47" s="16"/>
      <c r="AI47" s="16"/>
      <c r="AK47" s="1">
        <f t="shared" si="15"/>
        <v>0</v>
      </c>
      <c r="AL47" s="1" t="str">
        <f t="shared" si="16"/>
        <v>Ethanol</v>
      </c>
      <c r="AM47" s="12" t="e">
        <f>SUM(AS47:AY47)+BA47+BB47</f>
        <v>#DIV/0!</v>
      </c>
      <c r="AN47" s="12" t="e">
        <f>SUM(AS47:AY47)+BD47+BE47</f>
        <v>#DIV/0!</v>
      </c>
      <c r="AO47" s="5" t="e">
        <f t="shared" si="17"/>
        <v>#DIV/0!</v>
      </c>
      <c r="AP47" s="12" t="e">
        <f>SUM(AS47:AY47)+BG47+BH47</f>
        <v>#DIV/0!</v>
      </c>
      <c r="AQ47" s="12" t="e">
        <f>SUM(AS47:AY47)+BJ47+BK47</f>
        <v>#DIV/0!</v>
      </c>
      <c r="AR47" s="5" t="e">
        <f t="shared" si="18"/>
        <v>#DIV/0!</v>
      </c>
      <c r="AS47" s="5" t="e">
        <f t="shared" si="19"/>
        <v>#DIV/0!</v>
      </c>
      <c r="AT47" s="1" t="e">
        <f>E47/F47*W47</f>
        <v>#DIV/0!</v>
      </c>
      <c r="AU47" s="1" t="e">
        <f>1/F47*T47</f>
        <v>#DIV/0!</v>
      </c>
      <c r="AV47" s="1" t="e">
        <f>G47/F47*AF47</f>
        <v>#DIV/0!</v>
      </c>
      <c r="AW47" s="1" t="e">
        <f>J47/F47/(0.9*8760)</f>
        <v>#DIV/0!</v>
      </c>
      <c r="AX47" s="1" t="e">
        <f>K47/F47/(0.9*8760)</f>
        <v>#DIV/0!</v>
      </c>
      <c r="AY47" s="1" t="e">
        <f>L47/F47</f>
        <v>#DIV/0!</v>
      </c>
      <c r="AZ47" s="1" t="e">
        <f t="shared" si="20"/>
        <v>#REF!</v>
      </c>
      <c r="BA47" s="1" t="e">
        <f>(O47+P47)*-1*H47/F47</f>
        <v>#DIV/0!</v>
      </c>
      <c r="BB47" s="1" t="e">
        <f>AZ47*O47</f>
        <v>#REF!</v>
      </c>
      <c r="BC47" s="1" t="e">
        <f t="shared" si="21"/>
        <v>#REF!</v>
      </c>
      <c r="BD47" s="1" t="e">
        <f>P47*H47*-1/F47</f>
        <v>#DIV/0!</v>
      </c>
      <c r="BE47" s="1" t="e">
        <f>BC47*O47</f>
        <v>#REF!</v>
      </c>
      <c r="BF47" s="1" t="e">
        <f t="shared" si="22"/>
        <v>#REF!</v>
      </c>
      <c r="BG47" s="1" t="e">
        <f>(O47+P47)*-1*H47/F47</f>
        <v>#DIV/0!</v>
      </c>
      <c r="BH47" s="1" t="e">
        <f>BF47*O47</f>
        <v>#REF!</v>
      </c>
      <c r="BI47" s="1" t="e">
        <f t="shared" si="23"/>
        <v>#REF!</v>
      </c>
      <c r="BJ47" s="1" t="e">
        <f>H47/F47*P47*-1</f>
        <v>#DIV/0!</v>
      </c>
      <c r="BK47" s="1" t="e">
        <f>O47*BI47</f>
        <v>#REF!</v>
      </c>
      <c r="BM47" s="9">
        <v>3.14</v>
      </c>
      <c r="BN47" s="10">
        <v>0.22181100240000001</v>
      </c>
      <c r="BO47" s="9">
        <v>0.18104824</v>
      </c>
      <c r="BQ47" s="10" t="e">
        <f>1/F47*BN47</f>
        <v>#DIV/0!</v>
      </c>
      <c r="BR47" s="10" t="e">
        <f>G47/F47*BO47</f>
        <v>#DIV/0!</v>
      </c>
      <c r="BS47" s="10" t="e">
        <f t="shared" si="24"/>
        <v>#DIV/0!</v>
      </c>
      <c r="BU47" s="10">
        <f t="shared" si="25"/>
        <v>3.14</v>
      </c>
      <c r="BV47" s="10" t="e">
        <f>#REF!/F47*BO47</f>
        <v>#REF!</v>
      </c>
      <c r="BW47" s="10" t="e">
        <f>I47/F47</f>
        <v>#DIV/0!</v>
      </c>
      <c r="BX47" s="10" t="e">
        <f>H47/F47</f>
        <v>#DIV/0!</v>
      </c>
      <c r="BY47" s="10" t="e">
        <f t="shared" si="26"/>
        <v>#DIV/0!</v>
      </c>
      <c r="BZ47" s="10" t="e">
        <f t="shared" si="27"/>
        <v>#REF!</v>
      </c>
    </row>
    <row r="48" spans="2:78" x14ac:dyDescent="0.2">
      <c r="B48" s="14"/>
      <c r="C48" s="13" t="s">
        <v>72</v>
      </c>
      <c r="D48" s="13"/>
      <c r="E48" s="13"/>
      <c r="F48" s="13"/>
      <c r="G48" s="13"/>
      <c r="H48" s="13"/>
      <c r="I48" s="13"/>
      <c r="J48" s="13"/>
      <c r="K48" s="13"/>
      <c r="L48" s="13"/>
      <c r="M48" s="11" t="e">
        <f t="shared" si="14"/>
        <v>#DIV/0!</v>
      </c>
      <c r="O48" s="16"/>
      <c r="P48" s="16"/>
      <c r="Q48" s="16"/>
      <c r="R48" s="16"/>
      <c r="S48" s="16"/>
      <c r="T48" s="11">
        <v>21.986353300000001</v>
      </c>
      <c r="U48" s="17"/>
      <c r="V48" s="17"/>
      <c r="W48" s="16"/>
      <c r="X48" s="16"/>
      <c r="Y48" s="16"/>
      <c r="Z48" s="17"/>
      <c r="AA48" s="17"/>
      <c r="AB48" s="17"/>
      <c r="AC48" s="17"/>
      <c r="AD48" s="17"/>
      <c r="AE48" s="17"/>
      <c r="AF48" s="16"/>
      <c r="AG48" s="16"/>
      <c r="AH48" s="16"/>
      <c r="AI48" s="16"/>
      <c r="AK48" s="1">
        <f t="shared" si="15"/>
        <v>0</v>
      </c>
      <c r="AL48" s="1" t="str">
        <f t="shared" si="16"/>
        <v>Ethanol</v>
      </c>
      <c r="AM48" s="12" t="e">
        <f>SUM(AS48:AY48)+BA48+BB48</f>
        <v>#DIV/0!</v>
      </c>
      <c r="AN48" s="12" t="e">
        <f>SUM(AS48:AY48)+BD48+BE48</f>
        <v>#DIV/0!</v>
      </c>
      <c r="AO48" s="5" t="e">
        <f t="shared" si="17"/>
        <v>#DIV/0!</v>
      </c>
      <c r="AP48" s="12" t="e">
        <f>SUM(AS48:AY48)+BG48+BH48</f>
        <v>#DIV/0!</v>
      </c>
      <c r="AQ48" s="12" t="e">
        <f>SUM(AS48:AY48)+BJ48+BK48</f>
        <v>#DIV/0!</v>
      </c>
      <c r="AR48" s="5" t="e">
        <f t="shared" si="18"/>
        <v>#DIV/0!</v>
      </c>
      <c r="AS48" s="5" t="e">
        <f t="shared" si="19"/>
        <v>#DIV/0!</v>
      </c>
      <c r="AT48" s="1" t="e">
        <f>E48/F48*W48</f>
        <v>#DIV/0!</v>
      </c>
      <c r="AU48" s="1" t="e">
        <f>1/F48*T48</f>
        <v>#DIV/0!</v>
      </c>
      <c r="AV48" s="1" t="e">
        <f>G48/F48*AF48</f>
        <v>#DIV/0!</v>
      </c>
      <c r="AW48" s="1" t="e">
        <f>J48/F48/(0.9*8760)</f>
        <v>#DIV/0!</v>
      </c>
      <c r="AX48" s="1" t="e">
        <f>K48/F48/(0.9*8760)</f>
        <v>#DIV/0!</v>
      </c>
      <c r="AY48" s="1" t="e">
        <f>L48/F48</f>
        <v>#DIV/0!</v>
      </c>
      <c r="AZ48" s="1" t="e">
        <f t="shared" si="20"/>
        <v>#REF!</v>
      </c>
      <c r="BA48" s="1" t="e">
        <f>(O48+P48)*-1*H48/F48</f>
        <v>#DIV/0!</v>
      </c>
      <c r="BB48" s="1" t="e">
        <f>AZ48*O48</f>
        <v>#REF!</v>
      </c>
      <c r="BC48" s="1" t="e">
        <f t="shared" si="21"/>
        <v>#REF!</v>
      </c>
      <c r="BD48" s="1" t="e">
        <f>P48*H48*-1/F48</f>
        <v>#DIV/0!</v>
      </c>
      <c r="BE48" s="1" t="e">
        <f>BC48*O48</f>
        <v>#REF!</v>
      </c>
      <c r="BF48" s="1" t="e">
        <f t="shared" si="22"/>
        <v>#REF!</v>
      </c>
      <c r="BG48" s="1" t="e">
        <f>(O48+P48)*-1*H48/F48</f>
        <v>#DIV/0!</v>
      </c>
      <c r="BH48" s="1" t="e">
        <f>BF48*O48</f>
        <v>#REF!</v>
      </c>
      <c r="BI48" s="1" t="e">
        <f t="shared" si="23"/>
        <v>#REF!</v>
      </c>
      <c r="BJ48" s="1" t="e">
        <f>H48/F48*P48*-1</f>
        <v>#DIV/0!</v>
      </c>
      <c r="BK48" s="1" t="e">
        <f>O48*BI48</f>
        <v>#REF!</v>
      </c>
      <c r="BM48" s="9">
        <v>3.14</v>
      </c>
      <c r="BN48" s="10">
        <v>0.22181100240000001</v>
      </c>
      <c r="BO48" s="9">
        <v>0.18104824</v>
      </c>
      <c r="BQ48" s="10" t="e">
        <f>1/F48*BN48</f>
        <v>#DIV/0!</v>
      </c>
      <c r="BR48" s="10" t="e">
        <f>G48/F48*BO48</f>
        <v>#DIV/0!</v>
      </c>
      <c r="BS48" s="10" t="e">
        <f t="shared" si="24"/>
        <v>#DIV/0!</v>
      </c>
      <c r="BU48" s="10">
        <f t="shared" si="25"/>
        <v>3.14</v>
      </c>
      <c r="BV48" s="10" t="e">
        <f>#REF!/F48*BO48</f>
        <v>#REF!</v>
      </c>
      <c r="BW48" s="10" t="e">
        <f>I48/F48</f>
        <v>#DIV/0!</v>
      </c>
      <c r="BX48" s="10" t="e">
        <f>H48/F48</f>
        <v>#DIV/0!</v>
      </c>
      <c r="BY48" s="10" t="e">
        <f t="shared" si="26"/>
        <v>#DIV/0!</v>
      </c>
      <c r="BZ48" s="10" t="e">
        <f t="shared" si="27"/>
        <v>#REF!</v>
      </c>
    </row>
    <row r="49" spans="2:78" x14ac:dyDescent="0.2">
      <c r="B49" s="14"/>
      <c r="C49" s="13" t="s">
        <v>72</v>
      </c>
      <c r="D49" s="13"/>
      <c r="E49" s="13"/>
      <c r="F49" s="13"/>
      <c r="G49" s="13"/>
      <c r="H49" s="13"/>
      <c r="I49" s="13"/>
      <c r="J49" s="13"/>
      <c r="K49" s="13"/>
      <c r="L49" s="13"/>
      <c r="M49" s="11" t="e">
        <f t="shared" si="14"/>
        <v>#DIV/0!</v>
      </c>
      <c r="O49" s="16"/>
      <c r="P49" s="16"/>
      <c r="Q49" s="16"/>
      <c r="R49" s="16"/>
      <c r="S49" s="16"/>
      <c r="T49" s="11">
        <v>21.986353300000001</v>
      </c>
      <c r="U49" s="17"/>
      <c r="V49" s="17"/>
      <c r="W49" s="16"/>
      <c r="X49" s="16"/>
      <c r="Y49" s="16"/>
      <c r="Z49" s="17"/>
      <c r="AA49" s="17"/>
      <c r="AB49" s="17"/>
      <c r="AC49" s="17"/>
      <c r="AD49" s="17"/>
      <c r="AE49" s="17"/>
      <c r="AF49" s="16"/>
      <c r="AG49" s="16"/>
      <c r="AH49" s="16"/>
      <c r="AI49" s="16"/>
      <c r="AK49" s="1">
        <f t="shared" si="15"/>
        <v>0</v>
      </c>
      <c r="AL49" s="1" t="str">
        <f t="shared" si="16"/>
        <v>Ethanol</v>
      </c>
      <c r="AM49" s="12" t="e">
        <f>SUM(AS49:AY49)+BA49+BB49</f>
        <v>#DIV/0!</v>
      </c>
      <c r="AN49" s="12" t="e">
        <f>SUM(AS49:AY49)+BD49+BE49</f>
        <v>#DIV/0!</v>
      </c>
      <c r="AO49" s="5" t="e">
        <f t="shared" si="17"/>
        <v>#DIV/0!</v>
      </c>
      <c r="AP49" s="12" t="e">
        <f>SUM(AS49:AY49)+BG49+BH49</f>
        <v>#DIV/0!</v>
      </c>
      <c r="AQ49" s="12" t="e">
        <f>SUM(AS49:AY49)+BJ49+BK49</f>
        <v>#DIV/0!</v>
      </c>
      <c r="AR49" s="5" t="e">
        <f t="shared" si="18"/>
        <v>#DIV/0!</v>
      </c>
      <c r="AS49" s="5" t="e">
        <f t="shared" si="19"/>
        <v>#DIV/0!</v>
      </c>
      <c r="AT49" s="1" t="e">
        <f>E49/F49*W49</f>
        <v>#DIV/0!</v>
      </c>
      <c r="AU49" s="1" t="e">
        <f>1/F49*T49</f>
        <v>#DIV/0!</v>
      </c>
      <c r="AV49" s="1" t="e">
        <f>G49/F49*AF49</f>
        <v>#DIV/0!</v>
      </c>
      <c r="AW49" s="1" t="e">
        <f>J49/F49/(0.9*8760)</f>
        <v>#DIV/0!</v>
      </c>
      <c r="AX49" s="1" t="e">
        <f>K49/F49/(0.9*8760)</f>
        <v>#DIV/0!</v>
      </c>
      <c r="AY49" s="1" t="e">
        <f>L49/F49</f>
        <v>#DIV/0!</v>
      </c>
      <c r="AZ49" s="1" t="e">
        <f t="shared" si="20"/>
        <v>#REF!</v>
      </c>
      <c r="BA49" s="1" t="e">
        <f>(O49+P49)*-1*H49/F49</f>
        <v>#DIV/0!</v>
      </c>
      <c r="BB49" s="1" t="e">
        <f>AZ49*O49</f>
        <v>#REF!</v>
      </c>
      <c r="BC49" s="1" t="e">
        <f t="shared" si="21"/>
        <v>#REF!</v>
      </c>
      <c r="BD49" s="1" t="e">
        <f>P49*H49*-1/F49</f>
        <v>#DIV/0!</v>
      </c>
      <c r="BE49" s="1" t="e">
        <f>BC49*O49</f>
        <v>#REF!</v>
      </c>
      <c r="BF49" s="1" t="e">
        <f t="shared" si="22"/>
        <v>#REF!</v>
      </c>
      <c r="BG49" s="1" t="e">
        <f>(O49+P49)*-1*H49/F49</f>
        <v>#DIV/0!</v>
      </c>
      <c r="BH49" s="1" t="e">
        <f>BF49*O49</f>
        <v>#REF!</v>
      </c>
      <c r="BI49" s="1" t="e">
        <f t="shared" si="23"/>
        <v>#REF!</v>
      </c>
      <c r="BJ49" s="1" t="e">
        <f>H49/F49*P49*-1</f>
        <v>#DIV/0!</v>
      </c>
      <c r="BK49" s="1" t="e">
        <f>O49*BI49</f>
        <v>#REF!</v>
      </c>
      <c r="BM49" s="9">
        <v>3.14</v>
      </c>
      <c r="BN49" s="10">
        <v>0.22181100240000001</v>
      </c>
      <c r="BO49" s="9">
        <v>0.18104824</v>
      </c>
      <c r="BQ49" s="10" t="e">
        <f>1/F49*BN49</f>
        <v>#DIV/0!</v>
      </c>
      <c r="BR49" s="10" t="e">
        <f>G49/F49*BO49</f>
        <v>#DIV/0!</v>
      </c>
      <c r="BS49" s="10" t="e">
        <f t="shared" si="24"/>
        <v>#DIV/0!</v>
      </c>
      <c r="BU49" s="10">
        <f t="shared" si="25"/>
        <v>3.14</v>
      </c>
      <c r="BV49" s="10" t="e">
        <f>#REF!/F49*BO49</f>
        <v>#REF!</v>
      </c>
      <c r="BW49" s="10" t="e">
        <f>I49/F49</f>
        <v>#DIV/0!</v>
      </c>
      <c r="BX49" s="10" t="e">
        <f>H49/F49</f>
        <v>#DIV/0!</v>
      </c>
      <c r="BY49" s="10" t="e">
        <f t="shared" si="26"/>
        <v>#DIV/0!</v>
      </c>
      <c r="BZ49" s="10" t="e">
        <f t="shared" si="27"/>
        <v>#REF!</v>
      </c>
    </row>
    <row r="50" spans="2:78" x14ac:dyDescent="0.2">
      <c r="B50" s="14"/>
      <c r="C50" s="13" t="s">
        <v>72</v>
      </c>
      <c r="D50" s="13"/>
      <c r="E50" s="13"/>
      <c r="F50" s="13"/>
      <c r="G50" s="13"/>
      <c r="H50" s="13"/>
      <c r="I50" s="13"/>
      <c r="J50" s="13"/>
      <c r="K50" s="13"/>
      <c r="L50" s="13"/>
      <c r="M50" s="11" t="e">
        <f t="shared" si="14"/>
        <v>#DIV/0!</v>
      </c>
      <c r="O50" s="16"/>
      <c r="P50" s="16"/>
      <c r="Q50" s="16"/>
      <c r="R50" s="16"/>
      <c r="S50" s="16"/>
      <c r="T50" s="11">
        <v>21.986353300000001</v>
      </c>
      <c r="U50" s="17"/>
      <c r="V50" s="17"/>
      <c r="W50" s="16"/>
      <c r="X50" s="16"/>
      <c r="Y50" s="16"/>
      <c r="Z50" s="17"/>
      <c r="AA50" s="17"/>
      <c r="AB50" s="17"/>
      <c r="AC50" s="17"/>
      <c r="AD50" s="17"/>
      <c r="AE50" s="17"/>
      <c r="AF50" s="16"/>
      <c r="AG50" s="16"/>
      <c r="AH50" s="16"/>
      <c r="AI50" s="16"/>
      <c r="AK50" s="1">
        <f t="shared" si="15"/>
        <v>0</v>
      </c>
      <c r="AL50" s="1" t="str">
        <f t="shared" si="16"/>
        <v>Ethanol</v>
      </c>
      <c r="AM50" s="12" t="e">
        <f>SUM(AS50:AY50)+BA50+BB50</f>
        <v>#DIV/0!</v>
      </c>
      <c r="AN50" s="12" t="e">
        <f>SUM(AS50:AY50)+BD50+BE50</f>
        <v>#DIV/0!</v>
      </c>
      <c r="AO50" s="5" t="e">
        <f t="shared" si="17"/>
        <v>#DIV/0!</v>
      </c>
      <c r="AP50" s="12" t="e">
        <f>SUM(AS50:AY50)+BG50+BH50</f>
        <v>#DIV/0!</v>
      </c>
      <c r="AQ50" s="12" t="e">
        <f>SUM(AS50:AY50)+BJ50+BK50</f>
        <v>#DIV/0!</v>
      </c>
      <c r="AR50" s="5" t="e">
        <f t="shared" si="18"/>
        <v>#DIV/0!</v>
      </c>
      <c r="AS50" s="5" t="e">
        <f t="shared" si="19"/>
        <v>#DIV/0!</v>
      </c>
      <c r="AT50" s="1" t="e">
        <f>E50/F50*W50</f>
        <v>#DIV/0!</v>
      </c>
      <c r="AU50" s="1" t="e">
        <f>1/F50*T50</f>
        <v>#DIV/0!</v>
      </c>
      <c r="AV50" s="1" t="e">
        <f>G50/F50*AF50</f>
        <v>#DIV/0!</v>
      </c>
      <c r="AW50" s="1" t="e">
        <f>J50/F50/(0.9*8760)</f>
        <v>#DIV/0!</v>
      </c>
      <c r="AX50" s="1" t="e">
        <f>K50/F50/(0.9*8760)</f>
        <v>#DIV/0!</v>
      </c>
      <c r="AY50" s="1" t="e">
        <f>L50/F50</f>
        <v>#DIV/0!</v>
      </c>
      <c r="AZ50" s="1" t="e">
        <f t="shared" si="20"/>
        <v>#REF!</v>
      </c>
      <c r="BA50" s="1" t="e">
        <f>(O50+P50)*-1*H50/F50</f>
        <v>#DIV/0!</v>
      </c>
      <c r="BB50" s="1" t="e">
        <f>AZ50*O50</f>
        <v>#REF!</v>
      </c>
      <c r="BC50" s="1" t="e">
        <f t="shared" si="21"/>
        <v>#REF!</v>
      </c>
      <c r="BD50" s="1" t="e">
        <f>P50*H50*-1/F50</f>
        <v>#DIV/0!</v>
      </c>
      <c r="BE50" s="1" t="e">
        <f>BC50*O50</f>
        <v>#REF!</v>
      </c>
      <c r="BF50" s="1" t="e">
        <f t="shared" si="22"/>
        <v>#REF!</v>
      </c>
      <c r="BG50" s="1" t="e">
        <f>(O50+P50)*-1*H50/F50</f>
        <v>#DIV/0!</v>
      </c>
      <c r="BH50" s="1" t="e">
        <f>BF50*O50</f>
        <v>#REF!</v>
      </c>
      <c r="BI50" s="1" t="e">
        <f t="shared" si="23"/>
        <v>#REF!</v>
      </c>
      <c r="BJ50" s="1" t="e">
        <f>H50/F50*P50*-1</f>
        <v>#DIV/0!</v>
      </c>
      <c r="BK50" s="1" t="e">
        <f>O50*BI50</f>
        <v>#REF!</v>
      </c>
      <c r="BM50" s="9">
        <v>3.14</v>
      </c>
      <c r="BN50" s="10">
        <v>0.22181100240000001</v>
      </c>
      <c r="BO50" s="9">
        <v>0.18104824</v>
      </c>
      <c r="BQ50" s="10" t="e">
        <f>1/F50*BN50</f>
        <v>#DIV/0!</v>
      </c>
      <c r="BR50" s="10" t="e">
        <f>G50/F50*BO50</f>
        <v>#DIV/0!</v>
      </c>
      <c r="BS50" s="10" t="e">
        <f t="shared" si="24"/>
        <v>#DIV/0!</v>
      </c>
      <c r="BU50" s="10">
        <f t="shared" si="25"/>
        <v>3.14</v>
      </c>
      <c r="BV50" s="10" t="e">
        <f>#REF!/F50*BO50</f>
        <v>#REF!</v>
      </c>
      <c r="BW50" s="10" t="e">
        <f>I50/F50</f>
        <v>#DIV/0!</v>
      </c>
      <c r="BX50" s="10" t="e">
        <f>H50/F50</f>
        <v>#DIV/0!</v>
      </c>
      <c r="BY50" s="10" t="e">
        <f t="shared" si="26"/>
        <v>#DIV/0!</v>
      </c>
      <c r="BZ50" s="10" t="e">
        <f t="shared" si="27"/>
        <v>#REF!</v>
      </c>
    </row>
    <row r="51" spans="2:78" x14ac:dyDescent="0.2">
      <c r="B51" s="14"/>
      <c r="C51" s="13" t="s">
        <v>72</v>
      </c>
      <c r="D51" s="13"/>
      <c r="E51" s="13"/>
      <c r="F51" s="13"/>
      <c r="G51" s="13"/>
      <c r="H51" s="13"/>
      <c r="I51" s="13"/>
      <c r="J51" s="13"/>
      <c r="K51" s="13"/>
      <c r="L51" s="13"/>
      <c r="M51" s="11" t="e">
        <f t="shared" si="14"/>
        <v>#DIV/0!</v>
      </c>
      <c r="O51" s="16"/>
      <c r="P51" s="16"/>
      <c r="Q51" s="16"/>
      <c r="R51" s="16"/>
      <c r="S51" s="16"/>
      <c r="T51" s="11">
        <v>21.986353300000001</v>
      </c>
      <c r="U51" s="17"/>
      <c r="V51" s="17"/>
      <c r="W51" s="16"/>
      <c r="X51" s="16"/>
      <c r="Y51" s="16"/>
      <c r="Z51" s="17"/>
      <c r="AA51" s="17"/>
      <c r="AB51" s="17"/>
      <c r="AC51" s="17"/>
      <c r="AD51" s="17"/>
      <c r="AE51" s="17"/>
      <c r="AF51" s="16"/>
      <c r="AG51" s="16"/>
      <c r="AH51" s="16"/>
      <c r="AI51" s="16"/>
      <c r="AK51" s="1">
        <f t="shared" si="15"/>
        <v>0</v>
      </c>
      <c r="AL51" s="1" t="str">
        <f t="shared" si="16"/>
        <v>Ethanol</v>
      </c>
      <c r="AM51" s="12" t="e">
        <f>SUM(AS51:AY51)+BA51+BB51</f>
        <v>#DIV/0!</v>
      </c>
      <c r="AN51" s="12" t="e">
        <f>SUM(AS51:AY51)+BD51+BE51</f>
        <v>#DIV/0!</v>
      </c>
      <c r="AO51" s="5" t="e">
        <f t="shared" si="17"/>
        <v>#DIV/0!</v>
      </c>
      <c r="AP51" s="12" t="e">
        <f>SUM(AS51:AY51)+BG51+BH51</f>
        <v>#DIV/0!</v>
      </c>
      <c r="AQ51" s="12" t="e">
        <f>SUM(AS51:AY51)+BJ51+BK51</f>
        <v>#DIV/0!</v>
      </c>
      <c r="AR51" s="5" t="e">
        <f t="shared" si="18"/>
        <v>#DIV/0!</v>
      </c>
      <c r="AS51" s="5" t="e">
        <f t="shared" si="19"/>
        <v>#DIV/0!</v>
      </c>
      <c r="AT51" s="1" t="e">
        <f>E51/F51*W51</f>
        <v>#DIV/0!</v>
      </c>
      <c r="AU51" s="1" t="e">
        <f>1/F51*T51</f>
        <v>#DIV/0!</v>
      </c>
      <c r="AV51" s="1" t="e">
        <f>G51/F51*AF51</f>
        <v>#DIV/0!</v>
      </c>
      <c r="AW51" s="1" t="e">
        <f>J51/F51/(0.9*8760)</f>
        <v>#DIV/0!</v>
      </c>
      <c r="AX51" s="1" t="e">
        <f>K51/F51/(0.9*8760)</f>
        <v>#DIV/0!</v>
      </c>
      <c r="AY51" s="1" t="e">
        <f>L51/F51</f>
        <v>#DIV/0!</v>
      </c>
      <c r="AZ51" s="1" t="e">
        <f t="shared" si="20"/>
        <v>#REF!</v>
      </c>
      <c r="BA51" s="1" t="e">
        <f>(O51+P51)*-1*H51/F51</f>
        <v>#DIV/0!</v>
      </c>
      <c r="BB51" s="1" t="e">
        <f>AZ51*O51</f>
        <v>#REF!</v>
      </c>
      <c r="BC51" s="1" t="e">
        <f t="shared" si="21"/>
        <v>#REF!</v>
      </c>
      <c r="BD51" s="1" t="e">
        <f>P51*H51*-1/F51</f>
        <v>#DIV/0!</v>
      </c>
      <c r="BE51" s="1" t="e">
        <f>BC51*O51</f>
        <v>#REF!</v>
      </c>
      <c r="BF51" s="1" t="e">
        <f t="shared" si="22"/>
        <v>#REF!</v>
      </c>
      <c r="BG51" s="1" t="e">
        <f>(O51+P51)*-1*H51/F51</f>
        <v>#DIV/0!</v>
      </c>
      <c r="BH51" s="1" t="e">
        <f>BF51*O51</f>
        <v>#REF!</v>
      </c>
      <c r="BI51" s="1" t="e">
        <f t="shared" si="23"/>
        <v>#REF!</v>
      </c>
      <c r="BJ51" s="1" t="e">
        <f>H51/F51*P51*-1</f>
        <v>#DIV/0!</v>
      </c>
      <c r="BK51" s="1" t="e">
        <f>O51*BI51</f>
        <v>#REF!</v>
      </c>
      <c r="BM51" s="9">
        <v>3.14</v>
      </c>
      <c r="BN51" s="10">
        <v>0.22181100240000001</v>
      </c>
      <c r="BO51" s="9">
        <v>0.18104824</v>
      </c>
      <c r="BQ51" s="10" t="e">
        <f>1/F51*BN51</f>
        <v>#DIV/0!</v>
      </c>
      <c r="BR51" s="10" t="e">
        <f>G51/F51*BO51</f>
        <v>#DIV/0!</v>
      </c>
      <c r="BS51" s="10" t="e">
        <f t="shared" si="24"/>
        <v>#DIV/0!</v>
      </c>
      <c r="BU51" s="10">
        <f t="shared" si="25"/>
        <v>3.14</v>
      </c>
      <c r="BV51" s="10" t="e">
        <f>#REF!/F51*BO51</f>
        <v>#REF!</v>
      </c>
      <c r="BW51" s="10" t="e">
        <f>I51/F51</f>
        <v>#DIV/0!</v>
      </c>
      <c r="BX51" s="10" t="e">
        <f>H51/F51</f>
        <v>#DIV/0!</v>
      </c>
      <c r="BY51" s="10" t="e">
        <f t="shared" si="26"/>
        <v>#DIV/0!</v>
      </c>
      <c r="BZ51" s="10" t="e">
        <f t="shared" si="27"/>
        <v>#REF!</v>
      </c>
    </row>
    <row r="52" spans="2:78" x14ac:dyDescent="0.2">
      <c r="B52" s="14"/>
      <c r="C52" s="13" t="s">
        <v>72</v>
      </c>
      <c r="D52" s="13"/>
      <c r="E52" s="13"/>
      <c r="F52" s="13"/>
      <c r="G52" s="13"/>
      <c r="H52" s="13"/>
      <c r="I52" s="13"/>
      <c r="J52" s="13"/>
      <c r="K52" s="13"/>
      <c r="L52" s="13"/>
      <c r="M52" s="11" t="e">
        <f t="shared" si="14"/>
        <v>#DIV/0!</v>
      </c>
      <c r="O52" s="16"/>
      <c r="P52" s="16"/>
      <c r="Q52" s="16"/>
      <c r="R52" s="16"/>
      <c r="S52" s="16"/>
      <c r="T52" s="11">
        <v>21.986353300000001</v>
      </c>
      <c r="U52" s="17"/>
      <c r="V52" s="17"/>
      <c r="W52" s="16"/>
      <c r="X52" s="16"/>
      <c r="Y52" s="16"/>
      <c r="Z52" s="17"/>
      <c r="AA52" s="17"/>
      <c r="AB52" s="17"/>
      <c r="AC52" s="17"/>
      <c r="AD52" s="17"/>
      <c r="AE52" s="17"/>
      <c r="AF52" s="16"/>
      <c r="AG52" s="16"/>
      <c r="AH52" s="16"/>
      <c r="AI52" s="16"/>
      <c r="AK52" s="1">
        <f t="shared" si="15"/>
        <v>0</v>
      </c>
      <c r="AL52" s="1" t="str">
        <f t="shared" si="16"/>
        <v>Ethanol</v>
      </c>
      <c r="AM52" s="12" t="e">
        <f>SUM(AS52:AY52)+BA52+BB52</f>
        <v>#DIV/0!</v>
      </c>
      <c r="AN52" s="12" t="e">
        <f>SUM(AS52:AY52)+BD52+BE52</f>
        <v>#DIV/0!</v>
      </c>
      <c r="AO52" s="5" t="e">
        <f t="shared" si="17"/>
        <v>#DIV/0!</v>
      </c>
      <c r="AP52" s="12" t="e">
        <f>SUM(AS52:AY52)+BG52+BH52</f>
        <v>#DIV/0!</v>
      </c>
      <c r="AQ52" s="12" t="e">
        <f>SUM(AS52:AY52)+BJ52+BK52</f>
        <v>#DIV/0!</v>
      </c>
      <c r="AR52" s="5" t="e">
        <f t="shared" si="18"/>
        <v>#DIV/0!</v>
      </c>
      <c r="AS52" s="5" t="e">
        <f t="shared" si="19"/>
        <v>#DIV/0!</v>
      </c>
      <c r="AT52" s="1" t="e">
        <f>E52/F52*W52</f>
        <v>#DIV/0!</v>
      </c>
      <c r="AU52" s="1" t="e">
        <f>1/F52*T52</f>
        <v>#DIV/0!</v>
      </c>
      <c r="AV52" s="1" t="e">
        <f>G52/F52*AF52</f>
        <v>#DIV/0!</v>
      </c>
      <c r="AW52" s="1" t="e">
        <f>J52/F52/(0.9*8760)</f>
        <v>#DIV/0!</v>
      </c>
      <c r="AX52" s="1" t="e">
        <f>K52/F52/(0.9*8760)</f>
        <v>#DIV/0!</v>
      </c>
      <c r="AY52" s="1" t="e">
        <f>L52/F52</f>
        <v>#DIV/0!</v>
      </c>
      <c r="AZ52" s="1" t="e">
        <f t="shared" si="20"/>
        <v>#REF!</v>
      </c>
      <c r="BA52" s="1" t="e">
        <f>(O52+P52)*-1*H52/F52</f>
        <v>#DIV/0!</v>
      </c>
      <c r="BB52" s="1" t="e">
        <f>AZ52*O52</f>
        <v>#REF!</v>
      </c>
      <c r="BC52" s="1" t="e">
        <f t="shared" si="21"/>
        <v>#REF!</v>
      </c>
      <c r="BD52" s="1" t="e">
        <f>P52*H52*-1/F52</f>
        <v>#DIV/0!</v>
      </c>
      <c r="BE52" s="1" t="e">
        <f>BC52*O52</f>
        <v>#REF!</v>
      </c>
      <c r="BF52" s="1" t="e">
        <f t="shared" si="22"/>
        <v>#REF!</v>
      </c>
      <c r="BG52" s="1" t="e">
        <f>(O52+P52)*-1*H52/F52</f>
        <v>#DIV/0!</v>
      </c>
      <c r="BH52" s="1" t="e">
        <f>BF52*O52</f>
        <v>#REF!</v>
      </c>
      <c r="BI52" s="1" t="e">
        <f t="shared" si="23"/>
        <v>#REF!</v>
      </c>
      <c r="BJ52" s="1" t="e">
        <f>H52/F52*P52*-1</f>
        <v>#DIV/0!</v>
      </c>
      <c r="BK52" s="1" t="e">
        <f>O52*BI52</f>
        <v>#REF!</v>
      </c>
      <c r="BM52" s="9">
        <v>3.14</v>
      </c>
      <c r="BN52" s="10">
        <v>0.22181100240000001</v>
      </c>
      <c r="BO52" s="9">
        <v>0.18104824</v>
      </c>
      <c r="BQ52" s="10" t="e">
        <f>1/F52*BN52</f>
        <v>#DIV/0!</v>
      </c>
      <c r="BR52" s="10" t="e">
        <f>G52/F52*BO52</f>
        <v>#DIV/0!</v>
      </c>
      <c r="BS52" s="10" t="e">
        <f t="shared" si="24"/>
        <v>#DIV/0!</v>
      </c>
      <c r="BU52" s="10">
        <f t="shared" si="25"/>
        <v>3.14</v>
      </c>
      <c r="BV52" s="10" t="e">
        <f>#REF!/F52*BO52</f>
        <v>#REF!</v>
      </c>
      <c r="BW52" s="10" t="e">
        <f>I52/F52</f>
        <v>#DIV/0!</v>
      </c>
      <c r="BX52" s="10" t="e">
        <f>H52/F52</f>
        <v>#DIV/0!</v>
      </c>
      <c r="BY52" s="10" t="e">
        <f t="shared" si="26"/>
        <v>#DIV/0!</v>
      </c>
      <c r="BZ52" s="10" t="e">
        <f t="shared" si="27"/>
        <v>#REF!</v>
      </c>
    </row>
    <row r="53" spans="2:78" x14ac:dyDescent="0.2">
      <c r="B53" s="14"/>
      <c r="C53" s="13" t="s">
        <v>72</v>
      </c>
      <c r="D53" s="13"/>
      <c r="E53" s="13"/>
      <c r="F53" s="13"/>
      <c r="G53" s="13"/>
      <c r="H53" s="13"/>
      <c r="I53" s="13"/>
      <c r="J53" s="13"/>
      <c r="K53" s="13"/>
      <c r="L53" s="13"/>
      <c r="M53" s="11" t="e">
        <f t="shared" si="14"/>
        <v>#DIV/0!</v>
      </c>
      <c r="O53" s="16"/>
      <c r="P53" s="16"/>
      <c r="Q53" s="16"/>
      <c r="R53" s="16"/>
      <c r="S53" s="16"/>
      <c r="T53" s="11">
        <v>21.986353300000001</v>
      </c>
      <c r="U53" s="17"/>
      <c r="V53" s="17"/>
      <c r="W53" s="16"/>
      <c r="X53" s="16"/>
      <c r="Y53" s="16"/>
      <c r="Z53" s="17"/>
      <c r="AA53" s="17"/>
      <c r="AB53" s="17"/>
      <c r="AC53" s="17"/>
      <c r="AD53" s="17"/>
      <c r="AE53" s="17"/>
      <c r="AF53" s="16"/>
      <c r="AG53" s="16"/>
      <c r="AH53" s="16"/>
      <c r="AI53" s="16"/>
      <c r="AK53" s="1">
        <f t="shared" si="15"/>
        <v>0</v>
      </c>
      <c r="AL53" s="1" t="str">
        <f t="shared" si="16"/>
        <v>Ethanol</v>
      </c>
      <c r="AM53" s="12" t="e">
        <f>SUM(AS53:AY53)+BA53+BB53</f>
        <v>#DIV/0!</v>
      </c>
      <c r="AN53" s="12" t="e">
        <f>SUM(AS53:AY53)+BD53+BE53</f>
        <v>#DIV/0!</v>
      </c>
      <c r="AO53" s="5" t="e">
        <f t="shared" si="17"/>
        <v>#DIV/0!</v>
      </c>
      <c r="AP53" s="12" t="e">
        <f>SUM(AS53:AY53)+BG53+BH53</f>
        <v>#DIV/0!</v>
      </c>
      <c r="AQ53" s="12" t="e">
        <f>SUM(AS53:AY53)+BJ53+BK53</f>
        <v>#DIV/0!</v>
      </c>
      <c r="AR53" s="5" t="e">
        <f t="shared" si="18"/>
        <v>#DIV/0!</v>
      </c>
      <c r="AS53" s="5" t="e">
        <f t="shared" si="19"/>
        <v>#DIV/0!</v>
      </c>
      <c r="AT53" s="1" t="e">
        <f>E53/F53*W53</f>
        <v>#DIV/0!</v>
      </c>
      <c r="AU53" s="1" t="e">
        <f>1/F53*T53</f>
        <v>#DIV/0!</v>
      </c>
      <c r="AV53" s="1" t="e">
        <f>G53/F53*AF53</f>
        <v>#DIV/0!</v>
      </c>
      <c r="AW53" s="1" t="e">
        <f>J53/F53/(0.9*8760)</f>
        <v>#DIV/0!</v>
      </c>
      <c r="AX53" s="1" t="e">
        <f>K53/F53/(0.9*8760)</f>
        <v>#DIV/0!</v>
      </c>
      <c r="AY53" s="1" t="e">
        <f>L53/F53</f>
        <v>#DIV/0!</v>
      </c>
      <c r="AZ53" s="1" t="e">
        <f t="shared" si="20"/>
        <v>#REF!</v>
      </c>
      <c r="BA53" s="1" t="e">
        <f>(O53+P53)*-1*H53/F53</f>
        <v>#DIV/0!</v>
      </c>
      <c r="BB53" s="1" t="e">
        <f>AZ53*O53</f>
        <v>#REF!</v>
      </c>
      <c r="BC53" s="1" t="e">
        <f t="shared" si="21"/>
        <v>#REF!</v>
      </c>
      <c r="BD53" s="1" t="e">
        <f>P53*H53*-1/F53</f>
        <v>#DIV/0!</v>
      </c>
      <c r="BE53" s="1" t="e">
        <f>BC53*O53</f>
        <v>#REF!</v>
      </c>
      <c r="BF53" s="1" t="e">
        <f t="shared" si="22"/>
        <v>#REF!</v>
      </c>
      <c r="BG53" s="1" t="e">
        <f>(O53+P53)*-1*H53/F53</f>
        <v>#DIV/0!</v>
      </c>
      <c r="BH53" s="1" t="e">
        <f>BF53*O53</f>
        <v>#REF!</v>
      </c>
      <c r="BI53" s="1" t="e">
        <f t="shared" si="23"/>
        <v>#REF!</v>
      </c>
      <c r="BJ53" s="1" t="e">
        <f>H53/F53*P53*-1</f>
        <v>#DIV/0!</v>
      </c>
      <c r="BK53" s="1" t="e">
        <f>O53*BI53</f>
        <v>#REF!</v>
      </c>
      <c r="BM53" s="9">
        <v>3.14</v>
      </c>
      <c r="BN53" s="10">
        <v>0.22181100240000001</v>
      </c>
      <c r="BO53" s="9">
        <v>0.18104824</v>
      </c>
      <c r="BQ53" s="10" t="e">
        <f>1/F53*BN53</f>
        <v>#DIV/0!</v>
      </c>
      <c r="BR53" s="10" t="e">
        <f>G53/F53*BO53</f>
        <v>#DIV/0!</v>
      </c>
      <c r="BS53" s="10" t="e">
        <f t="shared" si="24"/>
        <v>#DIV/0!</v>
      </c>
      <c r="BU53" s="10">
        <f t="shared" si="25"/>
        <v>3.14</v>
      </c>
      <c r="BV53" s="10" t="e">
        <f>#REF!/F53*BO53</f>
        <v>#REF!</v>
      </c>
      <c r="BW53" s="10" t="e">
        <f>I53/F53</f>
        <v>#DIV/0!</v>
      </c>
      <c r="BX53" s="10" t="e">
        <f>H53/F53</f>
        <v>#DIV/0!</v>
      </c>
      <c r="BY53" s="10" t="e">
        <f t="shared" si="26"/>
        <v>#DIV/0!</v>
      </c>
      <c r="BZ53" s="10" t="e">
        <f t="shared" si="27"/>
        <v>#REF!</v>
      </c>
    </row>
    <row r="54" spans="2:78" x14ac:dyDescent="0.2">
      <c r="B54" s="14"/>
      <c r="C54" s="13" t="s">
        <v>72</v>
      </c>
      <c r="D54" s="13"/>
      <c r="E54" s="13"/>
      <c r="F54" s="13"/>
      <c r="G54" s="13"/>
      <c r="H54" s="13"/>
      <c r="I54" s="13"/>
      <c r="J54" s="13"/>
      <c r="K54" s="13"/>
      <c r="L54" s="13"/>
      <c r="M54" s="11" t="e">
        <f t="shared" si="14"/>
        <v>#DIV/0!</v>
      </c>
      <c r="O54" s="16"/>
      <c r="P54" s="16"/>
      <c r="Q54" s="16"/>
      <c r="R54" s="16"/>
      <c r="S54" s="16"/>
      <c r="T54" s="11">
        <v>21.986353300000001</v>
      </c>
      <c r="U54" s="17"/>
      <c r="V54" s="17"/>
      <c r="W54" s="16"/>
      <c r="X54" s="16"/>
      <c r="Y54" s="16"/>
      <c r="Z54" s="17"/>
      <c r="AA54" s="17"/>
      <c r="AB54" s="17"/>
      <c r="AC54" s="17"/>
      <c r="AD54" s="17"/>
      <c r="AE54" s="17"/>
      <c r="AF54" s="16"/>
      <c r="AG54" s="16"/>
      <c r="AH54" s="16"/>
      <c r="AI54" s="16"/>
      <c r="AK54" s="1">
        <f t="shared" si="15"/>
        <v>0</v>
      </c>
      <c r="AL54" s="1" t="str">
        <f t="shared" si="16"/>
        <v>Ethanol</v>
      </c>
      <c r="AM54" s="12" t="e">
        <f>SUM(AS54:AY54)+BA54+BB54</f>
        <v>#DIV/0!</v>
      </c>
      <c r="AN54" s="12" t="e">
        <f>SUM(AS54:AY54)+BD54+BE54</f>
        <v>#DIV/0!</v>
      </c>
      <c r="AO54" s="5" t="e">
        <f t="shared" si="17"/>
        <v>#DIV/0!</v>
      </c>
      <c r="AP54" s="12" t="e">
        <f>SUM(AS54:AY54)+BG54+BH54</f>
        <v>#DIV/0!</v>
      </c>
      <c r="AQ54" s="12" t="e">
        <f>SUM(AS54:AY54)+BJ54+BK54</f>
        <v>#DIV/0!</v>
      </c>
      <c r="AR54" s="5" t="e">
        <f t="shared" si="18"/>
        <v>#DIV/0!</v>
      </c>
      <c r="AS54" s="5" t="e">
        <f t="shared" si="19"/>
        <v>#DIV/0!</v>
      </c>
      <c r="AT54" s="1" t="e">
        <f>E54/F54*W54</f>
        <v>#DIV/0!</v>
      </c>
      <c r="AU54" s="1" t="e">
        <f>1/F54*T54</f>
        <v>#DIV/0!</v>
      </c>
      <c r="AV54" s="1" t="e">
        <f>G54/F54*AF54</f>
        <v>#DIV/0!</v>
      </c>
      <c r="AW54" s="1" t="e">
        <f>J54/F54/(0.9*8760)</f>
        <v>#DIV/0!</v>
      </c>
      <c r="AX54" s="1" t="e">
        <f>K54/F54/(0.9*8760)</f>
        <v>#DIV/0!</v>
      </c>
      <c r="AY54" s="1" t="e">
        <f>L54/F54</f>
        <v>#DIV/0!</v>
      </c>
      <c r="AZ54" s="1" t="e">
        <f t="shared" si="20"/>
        <v>#REF!</v>
      </c>
      <c r="BA54" s="1" t="e">
        <f>(O54+P54)*-1*H54/F54</f>
        <v>#DIV/0!</v>
      </c>
      <c r="BB54" s="1" t="e">
        <f>AZ54*O54</f>
        <v>#REF!</v>
      </c>
      <c r="BC54" s="1" t="e">
        <f t="shared" si="21"/>
        <v>#REF!</v>
      </c>
      <c r="BD54" s="1" t="e">
        <f>P54*H54*-1/F54</f>
        <v>#DIV/0!</v>
      </c>
      <c r="BE54" s="1" t="e">
        <f>BC54*O54</f>
        <v>#REF!</v>
      </c>
      <c r="BF54" s="1" t="e">
        <f t="shared" si="22"/>
        <v>#REF!</v>
      </c>
      <c r="BG54" s="1" t="e">
        <f>(O54+P54)*-1*H54/F54</f>
        <v>#DIV/0!</v>
      </c>
      <c r="BH54" s="1" t="e">
        <f>BF54*O54</f>
        <v>#REF!</v>
      </c>
      <c r="BI54" s="1" t="e">
        <f t="shared" si="23"/>
        <v>#REF!</v>
      </c>
      <c r="BJ54" s="1" t="e">
        <f>H54/F54*P54*-1</f>
        <v>#DIV/0!</v>
      </c>
      <c r="BK54" s="1" t="e">
        <f>O54*BI54</f>
        <v>#REF!</v>
      </c>
      <c r="BM54" s="9">
        <v>3.14</v>
      </c>
      <c r="BN54" s="10">
        <v>0.22181100240000001</v>
      </c>
      <c r="BO54" s="9">
        <v>0.18104824</v>
      </c>
      <c r="BQ54" s="10" t="e">
        <f>1/F54*BN54</f>
        <v>#DIV/0!</v>
      </c>
      <c r="BR54" s="10" t="e">
        <f>G54/F54*BO54</f>
        <v>#DIV/0!</v>
      </c>
      <c r="BS54" s="10" t="e">
        <f t="shared" si="24"/>
        <v>#DIV/0!</v>
      </c>
      <c r="BU54" s="10">
        <f t="shared" si="25"/>
        <v>3.14</v>
      </c>
      <c r="BV54" s="10" t="e">
        <f>#REF!/F54*BO54</f>
        <v>#REF!</v>
      </c>
      <c r="BW54" s="10" t="e">
        <f>I54/F54</f>
        <v>#DIV/0!</v>
      </c>
      <c r="BX54" s="10" t="e">
        <f>H54/F54</f>
        <v>#DIV/0!</v>
      </c>
      <c r="BY54" s="10" t="e">
        <f t="shared" si="26"/>
        <v>#DIV/0!</v>
      </c>
      <c r="BZ54" s="10" t="e">
        <f t="shared" si="27"/>
        <v>#REF!</v>
      </c>
    </row>
    <row r="55" spans="2:78" x14ac:dyDescent="0.2">
      <c r="B55" s="14"/>
      <c r="C55" s="13" t="s">
        <v>72</v>
      </c>
      <c r="D55" s="13"/>
      <c r="E55" s="13"/>
      <c r="F55" s="13"/>
      <c r="G55" s="13"/>
      <c r="H55" s="13"/>
      <c r="I55" s="13"/>
      <c r="J55" s="13"/>
      <c r="K55" s="13"/>
      <c r="L55" s="13"/>
      <c r="M55" s="11" t="e">
        <f t="shared" si="14"/>
        <v>#DIV/0!</v>
      </c>
      <c r="O55" s="16"/>
      <c r="P55" s="16"/>
      <c r="Q55" s="16"/>
      <c r="R55" s="16"/>
      <c r="S55" s="16"/>
      <c r="T55" s="11">
        <v>21.986353300000001</v>
      </c>
      <c r="U55" s="17"/>
      <c r="V55" s="17"/>
      <c r="W55" s="16"/>
      <c r="X55" s="16"/>
      <c r="Y55" s="16"/>
      <c r="Z55" s="17"/>
      <c r="AA55" s="17"/>
      <c r="AB55" s="17"/>
      <c r="AC55" s="17"/>
      <c r="AD55" s="17"/>
      <c r="AE55" s="17"/>
      <c r="AF55" s="16"/>
      <c r="AG55" s="16"/>
      <c r="AH55" s="16"/>
      <c r="AI55" s="16"/>
      <c r="AK55" s="1">
        <f t="shared" si="15"/>
        <v>0</v>
      </c>
      <c r="AL55" s="1" t="str">
        <f t="shared" si="16"/>
        <v>Ethanol</v>
      </c>
      <c r="AM55" s="12" t="e">
        <f>SUM(AS55:AY55)+BA55+BB55</f>
        <v>#DIV/0!</v>
      </c>
      <c r="AN55" s="12" t="e">
        <f>SUM(AS55:AY55)+BD55+BE55</f>
        <v>#DIV/0!</v>
      </c>
      <c r="AO55" s="5" t="e">
        <f t="shared" si="17"/>
        <v>#DIV/0!</v>
      </c>
      <c r="AP55" s="12" t="e">
        <f>SUM(AS55:AY55)+BG55+BH55</f>
        <v>#DIV/0!</v>
      </c>
      <c r="AQ55" s="12" t="e">
        <f>SUM(AS55:AY55)+BJ55+BK55</f>
        <v>#DIV/0!</v>
      </c>
      <c r="AR55" s="5" t="e">
        <f t="shared" si="18"/>
        <v>#DIV/0!</v>
      </c>
      <c r="AS55" s="5" t="e">
        <f t="shared" si="19"/>
        <v>#DIV/0!</v>
      </c>
      <c r="AT55" s="1" t="e">
        <f>E55/F55*W55</f>
        <v>#DIV/0!</v>
      </c>
      <c r="AU55" s="1" t="e">
        <f>1/F55*T55</f>
        <v>#DIV/0!</v>
      </c>
      <c r="AV55" s="1" t="e">
        <f>G55/F55*AF55</f>
        <v>#DIV/0!</v>
      </c>
      <c r="AW55" s="1" t="e">
        <f>J55/F55/(0.9*8760)</f>
        <v>#DIV/0!</v>
      </c>
      <c r="AX55" s="1" t="e">
        <f>K55/F55/(0.9*8760)</f>
        <v>#DIV/0!</v>
      </c>
      <c r="AY55" s="1" t="e">
        <f>L55/F55</f>
        <v>#DIV/0!</v>
      </c>
      <c r="AZ55" s="1" t="e">
        <f t="shared" si="20"/>
        <v>#REF!</v>
      </c>
      <c r="BA55" s="1" t="e">
        <f>(O55+P55)*-1*H55/F55</f>
        <v>#DIV/0!</v>
      </c>
      <c r="BB55" s="1" t="e">
        <f>AZ55*O55</f>
        <v>#REF!</v>
      </c>
      <c r="BC55" s="1" t="e">
        <f t="shared" si="21"/>
        <v>#REF!</v>
      </c>
      <c r="BD55" s="1" t="e">
        <f>P55*H55*-1/F55</f>
        <v>#DIV/0!</v>
      </c>
      <c r="BE55" s="1" t="e">
        <f>BC55*O55</f>
        <v>#REF!</v>
      </c>
      <c r="BF55" s="1" t="e">
        <f t="shared" si="22"/>
        <v>#REF!</v>
      </c>
      <c r="BG55" s="1" t="e">
        <f>(O55+P55)*-1*H55/F55</f>
        <v>#DIV/0!</v>
      </c>
      <c r="BH55" s="1" t="e">
        <f>BF55*O55</f>
        <v>#REF!</v>
      </c>
      <c r="BI55" s="1" t="e">
        <f t="shared" si="23"/>
        <v>#REF!</v>
      </c>
      <c r="BJ55" s="1" t="e">
        <f>H55/F55*P55*-1</f>
        <v>#DIV/0!</v>
      </c>
      <c r="BK55" s="1" t="e">
        <f>O55*BI55</f>
        <v>#REF!</v>
      </c>
      <c r="BM55" s="9">
        <v>3.14</v>
      </c>
      <c r="BN55" s="10">
        <v>0.22181100240000001</v>
      </c>
      <c r="BO55" s="9">
        <v>0.18104824</v>
      </c>
      <c r="BQ55" s="10" t="e">
        <f>1/F55*BN55</f>
        <v>#DIV/0!</v>
      </c>
      <c r="BR55" s="10" t="e">
        <f>G55/F55*BO55</f>
        <v>#DIV/0!</v>
      </c>
      <c r="BS55" s="10" t="e">
        <f t="shared" si="24"/>
        <v>#DIV/0!</v>
      </c>
      <c r="BU55" s="10">
        <f t="shared" si="25"/>
        <v>3.14</v>
      </c>
      <c r="BV55" s="10" t="e">
        <f>#REF!/F55*BO55</f>
        <v>#REF!</v>
      </c>
      <c r="BW55" s="10" t="e">
        <f>I55/F55</f>
        <v>#DIV/0!</v>
      </c>
      <c r="BX55" s="10" t="e">
        <f>H55/F55</f>
        <v>#DIV/0!</v>
      </c>
      <c r="BY55" s="10" t="e">
        <f t="shared" si="26"/>
        <v>#DIV/0!</v>
      </c>
      <c r="BZ55" s="10" t="e">
        <f t="shared" si="27"/>
        <v>#REF!</v>
      </c>
    </row>
    <row r="56" spans="2:78" x14ac:dyDescent="0.2">
      <c r="B56" s="14"/>
      <c r="C56" s="13" t="s">
        <v>72</v>
      </c>
      <c r="D56" s="13"/>
      <c r="E56" s="13"/>
      <c r="F56" s="13"/>
      <c r="G56" s="13"/>
      <c r="H56" s="13"/>
      <c r="I56" s="13"/>
      <c r="J56" s="13"/>
      <c r="K56" s="13"/>
      <c r="L56" s="13"/>
      <c r="M56" s="11" t="e">
        <f t="shared" si="14"/>
        <v>#DIV/0!</v>
      </c>
      <c r="O56" s="16"/>
      <c r="P56" s="16"/>
      <c r="Q56" s="16"/>
      <c r="R56" s="16"/>
      <c r="S56" s="16"/>
      <c r="T56" s="11">
        <v>21.986353300000001</v>
      </c>
      <c r="U56" s="17"/>
      <c r="V56" s="17"/>
      <c r="W56" s="16"/>
      <c r="X56" s="16"/>
      <c r="Y56" s="16"/>
      <c r="Z56" s="17"/>
      <c r="AA56" s="17"/>
      <c r="AB56" s="17"/>
      <c r="AC56" s="17"/>
      <c r="AD56" s="17"/>
      <c r="AE56" s="17"/>
      <c r="AF56" s="16"/>
      <c r="AG56" s="16"/>
      <c r="AH56" s="16"/>
      <c r="AI56" s="16"/>
      <c r="AK56" s="1">
        <f t="shared" si="15"/>
        <v>0</v>
      </c>
      <c r="AL56" s="1" t="str">
        <f t="shared" si="16"/>
        <v>Ethanol</v>
      </c>
      <c r="AM56" s="12" t="e">
        <f>SUM(AS56:AY56)+BA56+BB56</f>
        <v>#DIV/0!</v>
      </c>
      <c r="AN56" s="12" t="e">
        <f>SUM(AS56:AY56)+BD56+BE56</f>
        <v>#DIV/0!</v>
      </c>
      <c r="AO56" s="5" t="e">
        <f t="shared" si="17"/>
        <v>#DIV/0!</v>
      </c>
      <c r="AP56" s="12" t="e">
        <f>SUM(AS56:AY56)+BG56+BH56</f>
        <v>#DIV/0!</v>
      </c>
      <c r="AQ56" s="12" t="e">
        <f>SUM(AS56:AY56)+BJ56+BK56</f>
        <v>#DIV/0!</v>
      </c>
      <c r="AR56" s="5" t="e">
        <f t="shared" si="18"/>
        <v>#DIV/0!</v>
      </c>
      <c r="AS56" s="5" t="e">
        <f t="shared" si="19"/>
        <v>#DIV/0!</v>
      </c>
      <c r="AT56" s="1" t="e">
        <f>E56/F56*W56</f>
        <v>#DIV/0!</v>
      </c>
      <c r="AU56" s="1" t="e">
        <f>1/F56*T56</f>
        <v>#DIV/0!</v>
      </c>
      <c r="AV56" s="1" t="e">
        <f>G56/F56*AF56</f>
        <v>#DIV/0!</v>
      </c>
      <c r="AW56" s="1" t="e">
        <f>J56/F56/(0.9*8760)</f>
        <v>#DIV/0!</v>
      </c>
      <c r="AX56" s="1" t="e">
        <f>K56/F56/(0.9*8760)</f>
        <v>#DIV/0!</v>
      </c>
      <c r="AY56" s="1" t="e">
        <f>L56/F56</f>
        <v>#DIV/0!</v>
      </c>
      <c r="AZ56" s="1" t="e">
        <f t="shared" si="20"/>
        <v>#REF!</v>
      </c>
      <c r="BA56" s="1" t="e">
        <f>(O56+P56)*-1*H56/F56</f>
        <v>#DIV/0!</v>
      </c>
      <c r="BB56" s="1" t="e">
        <f>AZ56*O56</f>
        <v>#REF!</v>
      </c>
      <c r="BC56" s="1" t="e">
        <f t="shared" si="21"/>
        <v>#REF!</v>
      </c>
      <c r="BD56" s="1" t="e">
        <f>P56*H56*-1/F56</f>
        <v>#DIV/0!</v>
      </c>
      <c r="BE56" s="1" t="e">
        <f>BC56*O56</f>
        <v>#REF!</v>
      </c>
      <c r="BF56" s="1" t="e">
        <f t="shared" si="22"/>
        <v>#REF!</v>
      </c>
      <c r="BG56" s="1" t="e">
        <f>(O56+P56)*-1*H56/F56</f>
        <v>#DIV/0!</v>
      </c>
      <c r="BH56" s="1" t="e">
        <f>BF56*O56</f>
        <v>#REF!</v>
      </c>
      <c r="BI56" s="1" t="e">
        <f t="shared" si="23"/>
        <v>#REF!</v>
      </c>
      <c r="BJ56" s="1" t="e">
        <f>H56/F56*P56*-1</f>
        <v>#DIV/0!</v>
      </c>
      <c r="BK56" s="1" t="e">
        <f>O56*BI56</f>
        <v>#REF!</v>
      </c>
      <c r="BM56" s="9">
        <v>3.14</v>
      </c>
      <c r="BN56" s="10">
        <v>0.22181100240000001</v>
      </c>
      <c r="BO56" s="9">
        <v>0.18104824</v>
      </c>
      <c r="BQ56" s="10" t="e">
        <f>1/F56*BN56</f>
        <v>#DIV/0!</v>
      </c>
      <c r="BR56" s="10" t="e">
        <f>G56/F56*BO56</f>
        <v>#DIV/0!</v>
      </c>
      <c r="BS56" s="10" t="e">
        <f t="shared" si="24"/>
        <v>#DIV/0!</v>
      </c>
      <c r="BU56" s="10">
        <f t="shared" si="25"/>
        <v>3.14</v>
      </c>
      <c r="BV56" s="10" t="e">
        <f>#REF!/F56*BO56</f>
        <v>#REF!</v>
      </c>
      <c r="BW56" s="10" t="e">
        <f>I56/F56</f>
        <v>#DIV/0!</v>
      </c>
      <c r="BX56" s="10" t="e">
        <f>H56/F56</f>
        <v>#DIV/0!</v>
      </c>
      <c r="BY56" s="10" t="e">
        <f t="shared" si="26"/>
        <v>#DIV/0!</v>
      </c>
      <c r="BZ56" s="10" t="e">
        <f t="shared" si="27"/>
        <v>#REF!</v>
      </c>
    </row>
    <row r="57" spans="2:78" x14ac:dyDescent="0.2">
      <c r="B57" s="14"/>
      <c r="C57" s="13" t="s">
        <v>72</v>
      </c>
      <c r="D57" s="13"/>
      <c r="E57" s="13"/>
      <c r="F57" s="13"/>
      <c r="G57" s="13"/>
      <c r="H57" s="13"/>
      <c r="I57" s="13"/>
      <c r="J57" s="13"/>
      <c r="K57" s="13"/>
      <c r="L57" s="13"/>
      <c r="M57" s="11" t="e">
        <f t="shared" si="14"/>
        <v>#DIV/0!</v>
      </c>
      <c r="O57" s="16"/>
      <c r="P57" s="16"/>
      <c r="Q57" s="16"/>
      <c r="R57" s="16"/>
      <c r="S57" s="16"/>
      <c r="T57" s="11">
        <v>21.986353300000001</v>
      </c>
      <c r="U57" s="17"/>
      <c r="V57" s="17"/>
      <c r="W57" s="16"/>
      <c r="X57" s="16"/>
      <c r="Y57" s="16"/>
      <c r="Z57" s="17"/>
      <c r="AA57" s="17"/>
      <c r="AB57" s="17"/>
      <c r="AC57" s="17"/>
      <c r="AD57" s="17"/>
      <c r="AE57" s="17"/>
      <c r="AF57" s="16"/>
      <c r="AG57" s="16"/>
      <c r="AH57" s="16"/>
      <c r="AI57" s="16"/>
      <c r="AK57" s="1">
        <f t="shared" si="15"/>
        <v>0</v>
      </c>
      <c r="AL57" s="1" t="str">
        <f t="shared" si="16"/>
        <v>Ethanol</v>
      </c>
      <c r="AM57" s="12" t="e">
        <f>SUM(AS57:AY57)+BA57+BB57</f>
        <v>#DIV/0!</v>
      </c>
      <c r="AN57" s="12" t="e">
        <f>SUM(AS57:AY57)+BD57+BE57</f>
        <v>#DIV/0!</v>
      </c>
      <c r="AO57" s="5" t="e">
        <f t="shared" si="17"/>
        <v>#DIV/0!</v>
      </c>
      <c r="AP57" s="12" t="e">
        <f>SUM(AS57:AY57)+BG57+BH57</f>
        <v>#DIV/0!</v>
      </c>
      <c r="AQ57" s="12" t="e">
        <f>SUM(AS57:AY57)+BJ57+BK57</f>
        <v>#DIV/0!</v>
      </c>
      <c r="AR57" s="5" t="e">
        <f t="shared" si="18"/>
        <v>#DIV/0!</v>
      </c>
      <c r="AS57" s="5" t="e">
        <f t="shared" si="19"/>
        <v>#DIV/0!</v>
      </c>
      <c r="AT57" s="1" t="e">
        <f>E57/F57*W57</f>
        <v>#DIV/0!</v>
      </c>
      <c r="AU57" s="1" t="e">
        <f>1/F57*T57</f>
        <v>#DIV/0!</v>
      </c>
      <c r="AV57" s="1" t="e">
        <f>G57/F57*AF57</f>
        <v>#DIV/0!</v>
      </c>
      <c r="AW57" s="1" t="e">
        <f>J57/F57/(0.9*8760)</f>
        <v>#DIV/0!</v>
      </c>
      <c r="AX57" s="1" t="e">
        <f>K57/F57/(0.9*8760)</f>
        <v>#DIV/0!</v>
      </c>
      <c r="AY57" s="1" t="e">
        <f>L57/F57</f>
        <v>#DIV/0!</v>
      </c>
      <c r="AZ57" s="1" t="e">
        <f t="shared" si="20"/>
        <v>#REF!</v>
      </c>
      <c r="BA57" s="1" t="e">
        <f>(O57+P57)*-1*H57/F57</f>
        <v>#DIV/0!</v>
      </c>
      <c r="BB57" s="1" t="e">
        <f>AZ57*O57</f>
        <v>#REF!</v>
      </c>
      <c r="BC57" s="1" t="e">
        <f t="shared" si="21"/>
        <v>#REF!</v>
      </c>
      <c r="BD57" s="1" t="e">
        <f>P57*H57*-1/F57</f>
        <v>#DIV/0!</v>
      </c>
      <c r="BE57" s="1" t="e">
        <f>BC57*O57</f>
        <v>#REF!</v>
      </c>
      <c r="BF57" s="1" t="e">
        <f t="shared" si="22"/>
        <v>#REF!</v>
      </c>
      <c r="BG57" s="1" t="e">
        <f>(O57+P57)*-1*H57/F57</f>
        <v>#DIV/0!</v>
      </c>
      <c r="BH57" s="1" t="e">
        <f>BF57*O57</f>
        <v>#REF!</v>
      </c>
      <c r="BI57" s="1" t="e">
        <f t="shared" si="23"/>
        <v>#REF!</v>
      </c>
      <c r="BJ57" s="1" t="e">
        <f>H57/F57*P57*-1</f>
        <v>#DIV/0!</v>
      </c>
      <c r="BK57" s="1" t="e">
        <f>O57*BI57</f>
        <v>#REF!</v>
      </c>
      <c r="BM57" s="9">
        <v>3.14</v>
      </c>
      <c r="BN57" s="10">
        <v>0.22181100240000001</v>
      </c>
      <c r="BO57" s="9">
        <v>0.18104824</v>
      </c>
      <c r="BQ57" s="10" t="e">
        <f>1/F57*BN57</f>
        <v>#DIV/0!</v>
      </c>
      <c r="BR57" s="10" t="e">
        <f>G57/F57*BO57</f>
        <v>#DIV/0!</v>
      </c>
      <c r="BS57" s="10" t="e">
        <f t="shared" si="24"/>
        <v>#DIV/0!</v>
      </c>
      <c r="BU57" s="10">
        <f t="shared" si="25"/>
        <v>3.14</v>
      </c>
      <c r="BV57" s="10" t="e">
        <f>#REF!/F57*BO57</f>
        <v>#REF!</v>
      </c>
      <c r="BW57" s="10" t="e">
        <f>I57/F57</f>
        <v>#DIV/0!</v>
      </c>
      <c r="BX57" s="10" t="e">
        <f>H57/F57</f>
        <v>#DIV/0!</v>
      </c>
      <c r="BY57" s="10" t="e">
        <f t="shared" si="26"/>
        <v>#DIV/0!</v>
      </c>
      <c r="BZ57" s="10" t="e">
        <f t="shared" si="27"/>
        <v>#REF!</v>
      </c>
    </row>
    <row r="58" spans="2:78" x14ac:dyDescent="0.2">
      <c r="B58" s="14"/>
      <c r="C58" s="13" t="s">
        <v>72</v>
      </c>
      <c r="D58" s="13"/>
      <c r="E58" s="13"/>
      <c r="F58" s="13"/>
      <c r="G58" s="13"/>
      <c r="H58" s="13"/>
      <c r="I58" s="13"/>
      <c r="J58" s="13"/>
      <c r="K58" s="13"/>
      <c r="L58" s="13"/>
      <c r="M58" s="11" t="e">
        <f t="shared" si="14"/>
        <v>#DIV/0!</v>
      </c>
      <c r="O58" s="17"/>
      <c r="P58" s="17"/>
      <c r="Q58" s="16"/>
      <c r="R58" s="16"/>
      <c r="S58" s="16"/>
      <c r="T58" s="11">
        <v>21.986353300000001</v>
      </c>
      <c r="U58" s="17"/>
      <c r="V58" s="17"/>
      <c r="W58" s="16"/>
      <c r="X58" s="16"/>
      <c r="Y58" s="17"/>
      <c r="Z58" s="17"/>
      <c r="AA58" s="17"/>
      <c r="AB58" s="17"/>
      <c r="AC58" s="17"/>
      <c r="AD58" s="17"/>
      <c r="AE58" s="17"/>
      <c r="AF58" s="16"/>
      <c r="AG58" s="16"/>
      <c r="AH58" s="16"/>
      <c r="AI58" s="16"/>
      <c r="AK58" s="1">
        <f t="shared" si="15"/>
        <v>0</v>
      </c>
      <c r="AL58" s="1" t="str">
        <f t="shared" si="16"/>
        <v>Ethanol</v>
      </c>
      <c r="AM58" s="12" t="e">
        <f>SUM(AS58:AY58)+BA58+BB58</f>
        <v>#DIV/0!</v>
      </c>
      <c r="AN58" s="12" t="e">
        <f>SUM(AS58:AY58)+BD58+BE58</f>
        <v>#DIV/0!</v>
      </c>
      <c r="AO58" s="5" t="e">
        <f t="shared" si="17"/>
        <v>#DIV/0!</v>
      </c>
      <c r="AP58" s="12" t="e">
        <f>SUM(AS58:AY58)+BG58+BH58</f>
        <v>#DIV/0!</v>
      </c>
      <c r="AQ58" s="12" t="e">
        <f>SUM(AS58:AY58)+BJ58+BK58</f>
        <v>#DIV/0!</v>
      </c>
      <c r="AR58" s="5" t="e">
        <f t="shared" si="18"/>
        <v>#DIV/0!</v>
      </c>
      <c r="AS58" s="5" t="e">
        <f t="shared" si="19"/>
        <v>#DIV/0!</v>
      </c>
      <c r="AT58" s="1" t="e">
        <f>E58/F58*W58</f>
        <v>#DIV/0!</v>
      </c>
      <c r="AU58" s="1" t="e">
        <f>1/F58*T58</f>
        <v>#DIV/0!</v>
      </c>
      <c r="AV58" s="1" t="e">
        <f>G58/F58*AF58</f>
        <v>#DIV/0!</v>
      </c>
      <c r="AW58" s="1" t="e">
        <f>J58/F58/(0.9*8760)</f>
        <v>#DIV/0!</v>
      </c>
      <c r="AX58" s="1" t="e">
        <f>K58/F58/(0.9*8760)</f>
        <v>#DIV/0!</v>
      </c>
      <c r="AY58" s="1" t="e">
        <f>L58/F58</f>
        <v>#DIV/0!</v>
      </c>
      <c r="AZ58" s="1" t="e">
        <f t="shared" si="20"/>
        <v>#REF!</v>
      </c>
      <c r="BA58" s="1" t="e">
        <f>(O58+P58)*-1*H58/F58</f>
        <v>#DIV/0!</v>
      </c>
      <c r="BB58" s="1" t="e">
        <f>AZ58*O58</f>
        <v>#REF!</v>
      </c>
      <c r="BC58" s="1" t="e">
        <f t="shared" si="21"/>
        <v>#REF!</v>
      </c>
      <c r="BD58" s="1" t="e">
        <f>P58*H58*-1/F58</f>
        <v>#DIV/0!</v>
      </c>
      <c r="BE58" s="1" t="e">
        <f>BC58*O58</f>
        <v>#REF!</v>
      </c>
      <c r="BF58" s="1" t="e">
        <f t="shared" si="22"/>
        <v>#REF!</v>
      </c>
      <c r="BG58" s="1" t="e">
        <f>(O58+P58)*-1*H58/F58</f>
        <v>#DIV/0!</v>
      </c>
      <c r="BH58" s="1" t="e">
        <f>BF58*O58</f>
        <v>#REF!</v>
      </c>
      <c r="BI58" s="1" t="e">
        <f t="shared" si="23"/>
        <v>#REF!</v>
      </c>
      <c r="BJ58" s="1" t="e">
        <f>H58/F58*P58*-1</f>
        <v>#DIV/0!</v>
      </c>
      <c r="BK58" s="1" t="e">
        <f>O58*BI58</f>
        <v>#REF!</v>
      </c>
      <c r="BM58" s="9">
        <v>3.14</v>
      </c>
      <c r="BN58" s="10">
        <v>0.22181100240000001</v>
      </c>
      <c r="BO58" s="9">
        <v>0.18104824</v>
      </c>
      <c r="BQ58" s="10" t="e">
        <f>1/F58*BN58</f>
        <v>#DIV/0!</v>
      </c>
      <c r="BR58" s="10" t="e">
        <f>G58/F58*BO58</f>
        <v>#DIV/0!</v>
      </c>
      <c r="BS58" s="10" t="e">
        <f t="shared" si="24"/>
        <v>#DIV/0!</v>
      </c>
      <c r="BU58" s="10">
        <f t="shared" si="25"/>
        <v>3.14</v>
      </c>
      <c r="BV58" s="10" t="e">
        <f>#REF!/F58*BO58</f>
        <v>#REF!</v>
      </c>
      <c r="BW58" s="10" t="e">
        <f>I58/F58</f>
        <v>#DIV/0!</v>
      </c>
      <c r="BX58" s="10" t="e">
        <f>H58/F58</f>
        <v>#DIV/0!</v>
      </c>
      <c r="BY58" s="10" t="e">
        <f t="shared" si="26"/>
        <v>#DIV/0!</v>
      </c>
      <c r="BZ58" s="10" t="e">
        <f t="shared" si="27"/>
        <v>#REF!</v>
      </c>
    </row>
    <row r="59" spans="2:78" x14ac:dyDescent="0.2">
      <c r="B59" s="14"/>
      <c r="C59" s="13" t="s">
        <v>72</v>
      </c>
      <c r="D59" s="13"/>
      <c r="E59" s="13"/>
      <c r="F59" s="13"/>
      <c r="G59" s="13"/>
      <c r="H59" s="13"/>
      <c r="I59" s="13"/>
      <c r="J59" s="13"/>
      <c r="K59" s="13"/>
      <c r="L59" s="13"/>
      <c r="M59" s="11" t="e">
        <f t="shared" si="14"/>
        <v>#DIV/0!</v>
      </c>
      <c r="O59" s="17"/>
      <c r="P59" s="17"/>
      <c r="Q59" s="16"/>
      <c r="R59" s="16"/>
      <c r="S59" s="16"/>
      <c r="T59" s="11">
        <v>21.986353300000001</v>
      </c>
      <c r="U59" s="17"/>
      <c r="V59" s="17"/>
      <c r="W59" s="16"/>
      <c r="X59" s="16"/>
      <c r="Y59" s="17"/>
      <c r="Z59" s="17"/>
      <c r="AA59" s="17"/>
      <c r="AB59" s="17"/>
      <c r="AC59" s="17"/>
      <c r="AD59" s="17"/>
      <c r="AE59" s="17"/>
      <c r="AF59" s="16"/>
      <c r="AG59" s="16"/>
      <c r="AH59" s="16"/>
      <c r="AI59" s="16"/>
      <c r="AK59" s="1">
        <f t="shared" si="15"/>
        <v>0</v>
      </c>
      <c r="AL59" s="1" t="str">
        <f t="shared" si="16"/>
        <v>Ethanol</v>
      </c>
      <c r="AM59" s="12" t="e">
        <f>SUM(AS59:AY59)+BA59+BB59</f>
        <v>#DIV/0!</v>
      </c>
      <c r="AN59" s="12" t="e">
        <f>SUM(AS59:AY59)+BD59+BE59</f>
        <v>#DIV/0!</v>
      </c>
      <c r="AO59" s="5" t="e">
        <f t="shared" si="17"/>
        <v>#DIV/0!</v>
      </c>
      <c r="AP59" s="12" t="e">
        <f>SUM(AS59:AY59)+BG59+BH59</f>
        <v>#DIV/0!</v>
      </c>
      <c r="AQ59" s="12" t="e">
        <f>SUM(AS59:AY59)+BJ59+BK59</f>
        <v>#DIV/0!</v>
      </c>
      <c r="AR59" s="5" t="e">
        <f t="shared" si="18"/>
        <v>#DIV/0!</v>
      </c>
      <c r="AS59" s="5" t="e">
        <f t="shared" si="19"/>
        <v>#DIV/0!</v>
      </c>
      <c r="AT59" s="1" t="e">
        <f>E59/F59*W59</f>
        <v>#DIV/0!</v>
      </c>
      <c r="AU59" s="1" t="e">
        <f>1/F59*T59</f>
        <v>#DIV/0!</v>
      </c>
      <c r="AV59" s="1" t="e">
        <f>G59/F59*AF59</f>
        <v>#DIV/0!</v>
      </c>
      <c r="AW59" s="1" t="e">
        <f>J59/F59/(0.9*8760)</f>
        <v>#DIV/0!</v>
      </c>
      <c r="AX59" s="1" t="e">
        <f>K59/F59/(0.9*8760)</f>
        <v>#DIV/0!</v>
      </c>
      <c r="AY59" s="1" t="e">
        <f>L59/F59</f>
        <v>#DIV/0!</v>
      </c>
      <c r="AZ59" s="1" t="e">
        <f t="shared" si="20"/>
        <v>#REF!</v>
      </c>
      <c r="BA59" s="1" t="e">
        <f>(O59+P59)*-1*H59/F59</f>
        <v>#DIV/0!</v>
      </c>
      <c r="BB59" s="1" t="e">
        <f>AZ59*O59</f>
        <v>#REF!</v>
      </c>
      <c r="BC59" s="1" t="e">
        <f t="shared" si="21"/>
        <v>#REF!</v>
      </c>
      <c r="BD59" s="1" t="e">
        <f>P59*H59*-1/F59</f>
        <v>#DIV/0!</v>
      </c>
      <c r="BE59" s="1" t="e">
        <f>BC59*O59</f>
        <v>#REF!</v>
      </c>
      <c r="BF59" s="1" t="e">
        <f t="shared" si="22"/>
        <v>#REF!</v>
      </c>
      <c r="BG59" s="1" t="e">
        <f>(O59+P59)*-1*H59/F59</f>
        <v>#DIV/0!</v>
      </c>
      <c r="BH59" s="1" t="e">
        <f>BF59*O59</f>
        <v>#REF!</v>
      </c>
      <c r="BI59" s="1" t="e">
        <f t="shared" si="23"/>
        <v>#REF!</v>
      </c>
      <c r="BJ59" s="1" t="e">
        <f>H59/F59*P59*-1</f>
        <v>#DIV/0!</v>
      </c>
      <c r="BK59" s="1" t="e">
        <f>O59*BI59</f>
        <v>#REF!</v>
      </c>
      <c r="BM59" s="9">
        <v>3.14</v>
      </c>
      <c r="BN59" s="10">
        <v>0.22181100240000001</v>
      </c>
      <c r="BO59" s="9">
        <v>0.18104824</v>
      </c>
      <c r="BQ59" s="10" t="e">
        <f>1/F59*BN59</f>
        <v>#DIV/0!</v>
      </c>
      <c r="BR59" s="10" t="e">
        <f>G59/F59*BO59</f>
        <v>#DIV/0!</v>
      </c>
      <c r="BS59" s="10" t="e">
        <f t="shared" si="24"/>
        <v>#DIV/0!</v>
      </c>
      <c r="BU59" s="10">
        <f t="shared" si="25"/>
        <v>3.14</v>
      </c>
      <c r="BV59" s="10" t="e">
        <f>#REF!/F59*BO59</f>
        <v>#REF!</v>
      </c>
      <c r="BW59" s="10" t="e">
        <f>I59/F59</f>
        <v>#DIV/0!</v>
      </c>
      <c r="BX59" s="10" t="e">
        <f>H59/F59</f>
        <v>#DIV/0!</v>
      </c>
      <c r="BY59" s="10" t="e">
        <f t="shared" si="26"/>
        <v>#DIV/0!</v>
      </c>
      <c r="BZ59" s="10" t="e">
        <f t="shared" si="27"/>
        <v>#REF!</v>
      </c>
    </row>
    <row r="60" spans="2:78" x14ac:dyDescent="0.2">
      <c r="B60" s="14"/>
      <c r="C60" s="13" t="s"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1" t="e">
        <f t="shared" si="14"/>
        <v>#DIV/0!</v>
      </c>
      <c r="O60" s="17"/>
      <c r="P60" s="17"/>
      <c r="Q60" s="16"/>
      <c r="R60" s="16"/>
      <c r="S60" s="16"/>
      <c r="T60" s="11">
        <v>21.986353300000001</v>
      </c>
      <c r="U60" s="17"/>
      <c r="V60" s="17"/>
      <c r="W60" s="16"/>
      <c r="X60" s="16"/>
      <c r="Y60" s="17"/>
      <c r="Z60" s="17"/>
      <c r="AA60" s="17"/>
      <c r="AB60" s="17"/>
      <c r="AC60" s="17"/>
      <c r="AD60" s="17"/>
      <c r="AE60" s="17"/>
      <c r="AF60" s="16"/>
      <c r="AG60" s="16"/>
      <c r="AH60" s="16"/>
      <c r="AI60" s="16"/>
      <c r="AK60" s="1">
        <f t="shared" si="15"/>
        <v>0</v>
      </c>
      <c r="AL60" s="1" t="str">
        <f t="shared" si="16"/>
        <v>Ethanol</v>
      </c>
      <c r="AM60" s="12" t="e">
        <f>SUM(AS60:AY60)+BA60+BB60</f>
        <v>#DIV/0!</v>
      </c>
      <c r="AN60" s="12" t="e">
        <f>SUM(AS60:AY60)+BD60+BE60</f>
        <v>#DIV/0!</v>
      </c>
      <c r="AO60" s="5" t="e">
        <f t="shared" si="17"/>
        <v>#DIV/0!</v>
      </c>
      <c r="AP60" s="12" t="e">
        <f>SUM(AS60:AY60)+BG60+BH60</f>
        <v>#DIV/0!</v>
      </c>
      <c r="AQ60" s="12" t="e">
        <f>SUM(AS60:AY60)+BJ60+BK60</f>
        <v>#DIV/0!</v>
      </c>
      <c r="AR60" s="5" t="e">
        <f t="shared" si="18"/>
        <v>#DIV/0!</v>
      </c>
      <c r="AS60" s="5" t="e">
        <f t="shared" si="19"/>
        <v>#DIV/0!</v>
      </c>
      <c r="AT60" s="1" t="e">
        <f>E60/F60*W60</f>
        <v>#DIV/0!</v>
      </c>
      <c r="AU60" s="1" t="e">
        <f>1/F60*T60</f>
        <v>#DIV/0!</v>
      </c>
      <c r="AV60" s="1" t="e">
        <f>G60/F60*AF60</f>
        <v>#DIV/0!</v>
      </c>
      <c r="AW60" s="1" t="e">
        <f>J60/F60/(0.9*8760)</f>
        <v>#DIV/0!</v>
      </c>
      <c r="AX60" s="1" t="e">
        <f>K60/F60/(0.9*8760)</f>
        <v>#DIV/0!</v>
      </c>
      <c r="AY60" s="1" t="e">
        <f>L60/F60</f>
        <v>#DIV/0!</v>
      </c>
      <c r="AZ60" s="1" t="e">
        <f t="shared" si="20"/>
        <v>#REF!</v>
      </c>
      <c r="BA60" s="1" t="e">
        <f>(O60+P60)*-1*H60/F60</f>
        <v>#DIV/0!</v>
      </c>
      <c r="BB60" s="1" t="e">
        <f>AZ60*O60</f>
        <v>#REF!</v>
      </c>
      <c r="BC60" s="1" t="e">
        <f t="shared" si="21"/>
        <v>#REF!</v>
      </c>
      <c r="BD60" s="1" t="e">
        <f>P60*H60*-1/F60</f>
        <v>#DIV/0!</v>
      </c>
      <c r="BE60" s="1" t="e">
        <f>BC60*O60</f>
        <v>#REF!</v>
      </c>
      <c r="BF60" s="1" t="e">
        <f t="shared" si="22"/>
        <v>#REF!</v>
      </c>
      <c r="BG60" s="1" t="e">
        <f>(O60+P60)*-1*H60/F60</f>
        <v>#DIV/0!</v>
      </c>
      <c r="BH60" s="1" t="e">
        <f>BF60*O60</f>
        <v>#REF!</v>
      </c>
      <c r="BI60" s="1" t="e">
        <f t="shared" si="23"/>
        <v>#REF!</v>
      </c>
      <c r="BJ60" s="1" t="e">
        <f>H60/F60*P60*-1</f>
        <v>#DIV/0!</v>
      </c>
      <c r="BK60" s="1" t="e">
        <f>O60*BI60</f>
        <v>#REF!</v>
      </c>
      <c r="BM60" s="9">
        <v>3.14</v>
      </c>
      <c r="BN60" s="10">
        <v>0.22181100240000001</v>
      </c>
      <c r="BO60" s="9">
        <v>0.18104824</v>
      </c>
      <c r="BQ60" s="10" t="e">
        <f>1/F60*BN60</f>
        <v>#DIV/0!</v>
      </c>
      <c r="BR60" s="10" t="e">
        <f>G60/F60*BO60</f>
        <v>#DIV/0!</v>
      </c>
      <c r="BS60" s="10" t="e">
        <f t="shared" si="24"/>
        <v>#DIV/0!</v>
      </c>
      <c r="BU60" s="10">
        <f t="shared" si="25"/>
        <v>3.14</v>
      </c>
      <c r="BV60" s="10" t="e">
        <f>#REF!/F60*BO60</f>
        <v>#REF!</v>
      </c>
      <c r="BW60" s="10" t="e">
        <f>I60/F60</f>
        <v>#DIV/0!</v>
      </c>
      <c r="BX60" s="10" t="e">
        <f>H60/F60</f>
        <v>#DIV/0!</v>
      </c>
      <c r="BY60" s="10" t="e">
        <f t="shared" si="26"/>
        <v>#DIV/0!</v>
      </c>
      <c r="BZ60" s="10" t="e">
        <f t="shared" si="27"/>
        <v>#REF!</v>
      </c>
    </row>
    <row r="61" spans="2:78" x14ac:dyDescent="0.2">
      <c r="B61" s="14"/>
      <c r="C61" s="13" t="s">
        <v>72</v>
      </c>
      <c r="D61" s="13"/>
      <c r="E61" s="13"/>
      <c r="F61" s="13"/>
      <c r="G61" s="13"/>
      <c r="H61" s="13"/>
      <c r="I61" s="13"/>
      <c r="J61" s="13"/>
      <c r="K61" s="13"/>
      <c r="L61" s="13"/>
      <c r="M61" s="11" t="e">
        <f t="shared" si="14"/>
        <v>#DIV/0!</v>
      </c>
      <c r="O61" s="17"/>
      <c r="P61" s="17"/>
      <c r="Q61" s="16"/>
      <c r="R61" s="16"/>
      <c r="S61" s="16"/>
      <c r="T61" s="11">
        <v>21.986353300000001</v>
      </c>
      <c r="U61" s="17"/>
      <c r="V61" s="17"/>
      <c r="W61" s="16"/>
      <c r="X61" s="16"/>
      <c r="Y61" s="17"/>
      <c r="Z61" s="17"/>
      <c r="AA61" s="17"/>
      <c r="AB61" s="17"/>
      <c r="AC61" s="17"/>
      <c r="AD61" s="17"/>
      <c r="AE61" s="17"/>
      <c r="AF61" s="16"/>
      <c r="AG61" s="16"/>
      <c r="AH61" s="16"/>
      <c r="AI61" s="16"/>
      <c r="AK61" s="1">
        <f t="shared" si="15"/>
        <v>0</v>
      </c>
      <c r="AL61" s="1" t="str">
        <f t="shared" si="16"/>
        <v>Ethanol</v>
      </c>
      <c r="AM61" s="12" t="e">
        <f>SUM(AS61:AY61)+BA61+BB61</f>
        <v>#DIV/0!</v>
      </c>
      <c r="AN61" s="12" t="e">
        <f>SUM(AS61:AY61)+BD61+BE61</f>
        <v>#DIV/0!</v>
      </c>
      <c r="AO61" s="5" t="e">
        <f t="shared" si="17"/>
        <v>#DIV/0!</v>
      </c>
      <c r="AP61" s="12" t="e">
        <f>SUM(AS61:AY61)+BG61+BH61</f>
        <v>#DIV/0!</v>
      </c>
      <c r="AQ61" s="12" t="e">
        <f>SUM(AS61:AY61)+BJ61+BK61</f>
        <v>#DIV/0!</v>
      </c>
      <c r="AR61" s="5" t="e">
        <f t="shared" si="18"/>
        <v>#DIV/0!</v>
      </c>
      <c r="AS61" s="5" t="e">
        <f t="shared" si="19"/>
        <v>#DIV/0!</v>
      </c>
      <c r="AT61" s="1" t="e">
        <f>E61/F61*W61</f>
        <v>#DIV/0!</v>
      </c>
      <c r="AU61" s="1" t="e">
        <f>1/F61*T61</f>
        <v>#DIV/0!</v>
      </c>
      <c r="AV61" s="1" t="e">
        <f>G61/F61*AF61</f>
        <v>#DIV/0!</v>
      </c>
      <c r="AW61" s="1" t="e">
        <f>J61/F61/(0.9*8760)</f>
        <v>#DIV/0!</v>
      </c>
      <c r="AX61" s="1" t="e">
        <f>K61/F61/(0.9*8760)</f>
        <v>#DIV/0!</v>
      </c>
      <c r="AY61" s="1" t="e">
        <f>L61/F61</f>
        <v>#DIV/0!</v>
      </c>
      <c r="AZ61" s="1" t="e">
        <f t="shared" si="20"/>
        <v>#REF!</v>
      </c>
      <c r="BA61" s="1" t="e">
        <f>(O61+P61)*-1*H61/F61</f>
        <v>#DIV/0!</v>
      </c>
      <c r="BB61" s="1" t="e">
        <f>AZ61*O61</f>
        <v>#REF!</v>
      </c>
      <c r="BC61" s="1" t="e">
        <f t="shared" si="21"/>
        <v>#REF!</v>
      </c>
      <c r="BD61" s="1" t="e">
        <f>P61*H61*-1/F61</f>
        <v>#DIV/0!</v>
      </c>
      <c r="BE61" s="1" t="e">
        <f>BC61*O61</f>
        <v>#REF!</v>
      </c>
      <c r="BF61" s="1" t="e">
        <f t="shared" si="22"/>
        <v>#REF!</v>
      </c>
      <c r="BG61" s="1" t="e">
        <f>(O61+P61)*-1*H61/F61</f>
        <v>#DIV/0!</v>
      </c>
      <c r="BH61" s="1" t="e">
        <f>BF61*O61</f>
        <v>#REF!</v>
      </c>
      <c r="BI61" s="1" t="e">
        <f t="shared" si="23"/>
        <v>#REF!</v>
      </c>
      <c r="BJ61" s="1" t="e">
        <f>H61/F61*P61*-1</f>
        <v>#DIV/0!</v>
      </c>
      <c r="BK61" s="1" t="e">
        <f>O61*BI61</f>
        <v>#REF!</v>
      </c>
      <c r="BM61" s="9">
        <v>3.14</v>
      </c>
      <c r="BN61" s="10">
        <v>0.22181100240000001</v>
      </c>
      <c r="BO61" s="9">
        <v>0.18104824</v>
      </c>
      <c r="BQ61" s="10" t="e">
        <f>1/F61*BN61</f>
        <v>#DIV/0!</v>
      </c>
      <c r="BR61" s="10" t="e">
        <f>G61/F61*BO61</f>
        <v>#DIV/0!</v>
      </c>
      <c r="BS61" s="10" t="e">
        <f t="shared" si="24"/>
        <v>#DIV/0!</v>
      </c>
      <c r="BU61" s="10">
        <f t="shared" si="25"/>
        <v>3.14</v>
      </c>
      <c r="BV61" s="10" t="e">
        <f>#REF!/F61*BO61</f>
        <v>#REF!</v>
      </c>
      <c r="BW61" s="10" t="e">
        <f>I61/F61</f>
        <v>#DIV/0!</v>
      </c>
      <c r="BX61" s="10" t="e">
        <f>H61/F61</f>
        <v>#DIV/0!</v>
      </c>
      <c r="BY61" s="10" t="e">
        <f t="shared" si="26"/>
        <v>#DIV/0!</v>
      </c>
      <c r="BZ61" s="10" t="e">
        <f t="shared" si="27"/>
        <v>#REF!</v>
      </c>
    </row>
    <row r="62" spans="2:78" x14ac:dyDescent="0.2">
      <c r="B62" s="14"/>
      <c r="C62" s="13" t="s">
        <v>72</v>
      </c>
      <c r="D62" s="13"/>
      <c r="E62" s="13"/>
      <c r="F62" s="13"/>
      <c r="G62" s="13"/>
      <c r="H62" s="13"/>
      <c r="I62" s="13"/>
      <c r="J62" s="13"/>
      <c r="K62" s="13"/>
      <c r="L62" s="13"/>
      <c r="M62" s="11" t="e">
        <f t="shared" si="14"/>
        <v>#DIV/0!</v>
      </c>
      <c r="O62" s="17"/>
      <c r="P62" s="17"/>
      <c r="Q62" s="16"/>
      <c r="R62" s="16"/>
      <c r="S62" s="16"/>
      <c r="T62" s="11">
        <v>21.986353300000001</v>
      </c>
      <c r="U62" s="17"/>
      <c r="V62" s="17"/>
      <c r="W62" s="16"/>
      <c r="X62" s="16"/>
      <c r="Y62" s="17"/>
      <c r="Z62" s="17"/>
      <c r="AA62" s="17"/>
      <c r="AB62" s="17"/>
      <c r="AC62" s="17"/>
      <c r="AD62" s="17"/>
      <c r="AE62" s="17"/>
      <c r="AF62" s="16"/>
      <c r="AG62" s="16"/>
      <c r="AH62" s="16"/>
      <c r="AI62" s="16"/>
      <c r="AK62" s="1">
        <f t="shared" si="15"/>
        <v>0</v>
      </c>
      <c r="AL62" s="1" t="str">
        <f t="shared" si="16"/>
        <v>Ethanol</v>
      </c>
      <c r="AM62" s="12" t="e">
        <f>SUM(AS62:AY62)+BA62+BB62</f>
        <v>#DIV/0!</v>
      </c>
      <c r="AN62" s="12" t="e">
        <f>SUM(AS62:AY62)+BD62+BE62</f>
        <v>#DIV/0!</v>
      </c>
      <c r="AO62" s="5" t="e">
        <f t="shared" si="17"/>
        <v>#DIV/0!</v>
      </c>
      <c r="AP62" s="12" t="e">
        <f>SUM(AS62:AY62)+BG62+BH62</f>
        <v>#DIV/0!</v>
      </c>
      <c r="AQ62" s="12" t="e">
        <f>SUM(AS62:AY62)+BJ62+BK62</f>
        <v>#DIV/0!</v>
      </c>
      <c r="AR62" s="5" t="e">
        <f t="shared" si="18"/>
        <v>#DIV/0!</v>
      </c>
      <c r="AS62" s="5" t="e">
        <f t="shared" si="19"/>
        <v>#DIV/0!</v>
      </c>
      <c r="AT62" s="1" t="e">
        <f>E62/F62*W62</f>
        <v>#DIV/0!</v>
      </c>
      <c r="AU62" s="1" t="e">
        <f>1/F62*T62</f>
        <v>#DIV/0!</v>
      </c>
      <c r="AV62" s="1" t="e">
        <f>G62/F62*AF62</f>
        <v>#DIV/0!</v>
      </c>
      <c r="AW62" s="1" t="e">
        <f>J62/F62/(0.9*8760)</f>
        <v>#DIV/0!</v>
      </c>
      <c r="AX62" s="1" t="e">
        <f>K62/F62/(0.9*8760)</f>
        <v>#DIV/0!</v>
      </c>
      <c r="AY62" s="1" t="e">
        <f>L62/F62</f>
        <v>#DIV/0!</v>
      </c>
      <c r="AZ62" s="1" t="e">
        <f t="shared" si="20"/>
        <v>#REF!</v>
      </c>
      <c r="BA62" s="1" t="e">
        <f>(O62+P62)*-1*H62/F62</f>
        <v>#DIV/0!</v>
      </c>
      <c r="BB62" s="1" t="e">
        <f>AZ62*O62</f>
        <v>#REF!</v>
      </c>
      <c r="BC62" s="1" t="e">
        <f t="shared" si="21"/>
        <v>#REF!</v>
      </c>
      <c r="BD62" s="1" t="e">
        <f>P62*H62*-1/F62</f>
        <v>#DIV/0!</v>
      </c>
      <c r="BE62" s="1" t="e">
        <f>BC62*O62</f>
        <v>#REF!</v>
      </c>
      <c r="BF62" s="1" t="e">
        <f t="shared" si="22"/>
        <v>#REF!</v>
      </c>
      <c r="BG62" s="1" t="e">
        <f>(O62+P62)*-1*H62/F62</f>
        <v>#DIV/0!</v>
      </c>
      <c r="BH62" s="1" t="e">
        <f>BF62*O62</f>
        <v>#REF!</v>
      </c>
      <c r="BI62" s="1" t="e">
        <f t="shared" si="23"/>
        <v>#REF!</v>
      </c>
      <c r="BJ62" s="1" t="e">
        <f>H62/F62*P62*-1</f>
        <v>#DIV/0!</v>
      </c>
      <c r="BK62" s="1" t="e">
        <f>O62*BI62</f>
        <v>#REF!</v>
      </c>
      <c r="BM62" s="9">
        <v>3.14</v>
      </c>
      <c r="BN62" s="10">
        <v>0.22181100240000001</v>
      </c>
      <c r="BO62" s="9">
        <v>0.18104824</v>
      </c>
      <c r="BQ62" s="10" t="e">
        <f>1/F62*BN62</f>
        <v>#DIV/0!</v>
      </c>
      <c r="BR62" s="10" t="e">
        <f>G62/F62*BO62</f>
        <v>#DIV/0!</v>
      </c>
      <c r="BS62" s="10" t="e">
        <f t="shared" si="24"/>
        <v>#DIV/0!</v>
      </c>
      <c r="BU62" s="10">
        <f t="shared" si="25"/>
        <v>3.14</v>
      </c>
      <c r="BV62" s="10" t="e">
        <f>#REF!/F62*BO62</f>
        <v>#REF!</v>
      </c>
      <c r="BW62" s="10" t="e">
        <f>I62/F62</f>
        <v>#DIV/0!</v>
      </c>
      <c r="BX62" s="10" t="e">
        <f>H62/F62</f>
        <v>#DIV/0!</v>
      </c>
      <c r="BY62" s="10" t="e">
        <f t="shared" si="26"/>
        <v>#DIV/0!</v>
      </c>
      <c r="BZ62" s="10" t="e">
        <f t="shared" si="27"/>
        <v>#REF!</v>
      </c>
    </row>
    <row r="63" spans="2:78" x14ac:dyDescent="0.2">
      <c r="B63" s="14"/>
      <c r="C63" s="13" t="s">
        <v>72</v>
      </c>
      <c r="D63" s="13"/>
      <c r="E63" s="13"/>
      <c r="F63" s="13"/>
      <c r="G63" s="13"/>
      <c r="H63" s="13"/>
      <c r="I63" s="13"/>
      <c r="J63" s="13"/>
      <c r="K63" s="13"/>
      <c r="L63" s="13"/>
      <c r="M63" s="11" t="e">
        <f t="shared" si="14"/>
        <v>#DIV/0!</v>
      </c>
      <c r="O63" s="17"/>
      <c r="P63" s="17"/>
      <c r="Q63" s="16"/>
      <c r="R63" s="16"/>
      <c r="S63" s="16"/>
      <c r="T63" s="11">
        <v>21.986353300000001</v>
      </c>
      <c r="U63" s="17"/>
      <c r="V63" s="17"/>
      <c r="W63" s="16"/>
      <c r="X63" s="16"/>
      <c r="Y63" s="17"/>
      <c r="Z63" s="17"/>
      <c r="AA63" s="17"/>
      <c r="AB63" s="17"/>
      <c r="AC63" s="17"/>
      <c r="AD63" s="17"/>
      <c r="AE63" s="17"/>
      <c r="AF63" s="16"/>
      <c r="AG63" s="16"/>
      <c r="AH63" s="16"/>
      <c r="AI63" s="16"/>
      <c r="AK63" s="1">
        <f t="shared" si="15"/>
        <v>0</v>
      </c>
      <c r="AL63" s="1" t="str">
        <f t="shared" si="16"/>
        <v>Ethanol</v>
      </c>
      <c r="AM63" s="12" t="e">
        <f>SUM(AS63:AY63)+BA63+BB63</f>
        <v>#DIV/0!</v>
      </c>
      <c r="AN63" s="12" t="e">
        <f>SUM(AS63:AY63)+BD63+BE63</f>
        <v>#DIV/0!</v>
      </c>
      <c r="AO63" s="5" t="e">
        <f t="shared" si="17"/>
        <v>#DIV/0!</v>
      </c>
      <c r="AP63" s="12" t="e">
        <f>SUM(AS63:AY63)+BG63+BH63</f>
        <v>#DIV/0!</v>
      </c>
      <c r="AQ63" s="12" t="e">
        <f>SUM(AS63:AY63)+BJ63+BK63</f>
        <v>#DIV/0!</v>
      </c>
      <c r="AR63" s="5" t="e">
        <f t="shared" si="18"/>
        <v>#DIV/0!</v>
      </c>
      <c r="AS63" s="5" t="e">
        <f t="shared" si="19"/>
        <v>#DIV/0!</v>
      </c>
      <c r="AT63" s="1" t="e">
        <f>E63/F63*W63</f>
        <v>#DIV/0!</v>
      </c>
      <c r="AU63" s="1" t="e">
        <f>1/F63*T63</f>
        <v>#DIV/0!</v>
      </c>
      <c r="AV63" s="1" t="e">
        <f>G63/F63*AF63</f>
        <v>#DIV/0!</v>
      </c>
      <c r="AW63" s="1" t="e">
        <f>J63/F63/(0.9*8760)</f>
        <v>#DIV/0!</v>
      </c>
      <c r="AX63" s="1" t="e">
        <f>K63/F63/(0.9*8760)</f>
        <v>#DIV/0!</v>
      </c>
      <c r="AY63" s="1" t="e">
        <f>L63/F63</f>
        <v>#DIV/0!</v>
      </c>
      <c r="AZ63" s="1" t="e">
        <f t="shared" si="20"/>
        <v>#REF!</v>
      </c>
      <c r="BA63" s="1" t="e">
        <f>(O63+P63)*-1*H63/F63</f>
        <v>#DIV/0!</v>
      </c>
      <c r="BB63" s="1" t="e">
        <f>AZ63*O63</f>
        <v>#REF!</v>
      </c>
      <c r="BC63" s="1" t="e">
        <f t="shared" si="21"/>
        <v>#REF!</v>
      </c>
      <c r="BD63" s="1" t="e">
        <f>P63*H63*-1/F63</f>
        <v>#DIV/0!</v>
      </c>
      <c r="BE63" s="1" t="e">
        <f>BC63*O63</f>
        <v>#REF!</v>
      </c>
      <c r="BF63" s="1" t="e">
        <f t="shared" si="22"/>
        <v>#REF!</v>
      </c>
      <c r="BG63" s="1" t="e">
        <f>(O63+P63)*-1*H63/F63</f>
        <v>#DIV/0!</v>
      </c>
      <c r="BH63" s="1" t="e">
        <f>BF63*O63</f>
        <v>#REF!</v>
      </c>
      <c r="BI63" s="1" t="e">
        <f t="shared" si="23"/>
        <v>#REF!</v>
      </c>
      <c r="BJ63" s="1" t="e">
        <f>H63/F63*P63*-1</f>
        <v>#DIV/0!</v>
      </c>
      <c r="BK63" s="1" t="e">
        <f>O63*BI63</f>
        <v>#REF!</v>
      </c>
      <c r="BM63" s="9">
        <v>3.14</v>
      </c>
      <c r="BN63" s="10">
        <v>0.22181100240000001</v>
      </c>
      <c r="BO63" s="9">
        <v>0.18104824</v>
      </c>
      <c r="BQ63" s="10" t="e">
        <f>1/F63*BN63</f>
        <v>#DIV/0!</v>
      </c>
      <c r="BR63" s="10" t="e">
        <f>G63/F63*BO63</f>
        <v>#DIV/0!</v>
      </c>
      <c r="BS63" s="10" t="e">
        <f t="shared" si="24"/>
        <v>#DIV/0!</v>
      </c>
      <c r="BU63" s="10">
        <f t="shared" si="25"/>
        <v>3.14</v>
      </c>
      <c r="BV63" s="10" t="e">
        <f>#REF!/F63*BO63</f>
        <v>#REF!</v>
      </c>
      <c r="BW63" s="10" t="e">
        <f>I63/F63</f>
        <v>#DIV/0!</v>
      </c>
      <c r="BX63" s="10" t="e">
        <f>H63/F63</f>
        <v>#DIV/0!</v>
      </c>
      <c r="BY63" s="10" t="e">
        <f t="shared" si="26"/>
        <v>#DIV/0!</v>
      </c>
      <c r="BZ63" s="10" t="e">
        <f t="shared" si="27"/>
        <v>#REF!</v>
      </c>
    </row>
    <row r="64" spans="2:78" x14ac:dyDescent="0.2">
      <c r="B64" s="14"/>
      <c r="C64" s="13" t="s">
        <v>72</v>
      </c>
      <c r="D64" s="13"/>
      <c r="E64" s="13"/>
      <c r="F64" s="13"/>
      <c r="G64" s="13"/>
      <c r="H64" s="13"/>
      <c r="I64" s="13"/>
      <c r="J64" s="13"/>
      <c r="K64" s="13"/>
      <c r="L64" s="13"/>
      <c r="M64" s="11" t="e">
        <f t="shared" si="14"/>
        <v>#DIV/0!</v>
      </c>
      <c r="O64" s="17"/>
      <c r="P64" s="17"/>
      <c r="Q64" s="16"/>
      <c r="R64" s="16"/>
      <c r="S64" s="16"/>
      <c r="T64" s="11">
        <v>21.986353300000001</v>
      </c>
      <c r="U64" s="17"/>
      <c r="V64" s="17"/>
      <c r="W64" s="16"/>
      <c r="X64" s="16"/>
      <c r="Y64" s="17"/>
      <c r="Z64" s="17"/>
      <c r="AA64" s="17"/>
      <c r="AB64" s="17"/>
      <c r="AC64" s="17"/>
      <c r="AD64" s="17"/>
      <c r="AE64" s="17"/>
      <c r="AF64" s="16"/>
      <c r="AG64" s="16"/>
      <c r="AH64" s="16"/>
      <c r="AI64" s="16"/>
      <c r="AK64" s="1">
        <f t="shared" si="15"/>
        <v>0</v>
      </c>
      <c r="AL64" s="1" t="str">
        <f t="shared" si="16"/>
        <v>Ethanol</v>
      </c>
      <c r="AM64" s="12" t="e">
        <f>SUM(AS64:AY64)+BA64+BB64</f>
        <v>#DIV/0!</v>
      </c>
      <c r="AN64" s="12" t="e">
        <f>SUM(AS64:AY64)+BD64+BE64</f>
        <v>#DIV/0!</v>
      </c>
      <c r="AO64" s="5" t="e">
        <f t="shared" si="17"/>
        <v>#DIV/0!</v>
      </c>
      <c r="AP64" s="12" t="e">
        <f>SUM(AS64:AY64)+BG64+BH64</f>
        <v>#DIV/0!</v>
      </c>
      <c r="AQ64" s="12" t="e">
        <f>SUM(AS64:AY64)+BJ64+BK64</f>
        <v>#DIV/0!</v>
      </c>
      <c r="AR64" s="5" t="e">
        <f t="shared" si="18"/>
        <v>#DIV/0!</v>
      </c>
      <c r="AS64" s="5" t="e">
        <f t="shared" si="19"/>
        <v>#DIV/0!</v>
      </c>
      <c r="AT64" s="1" t="e">
        <f>E64/F64*W64</f>
        <v>#DIV/0!</v>
      </c>
      <c r="AU64" s="1" t="e">
        <f>1/F64*T64</f>
        <v>#DIV/0!</v>
      </c>
      <c r="AV64" s="1" t="e">
        <f>G64/F64*AF64</f>
        <v>#DIV/0!</v>
      </c>
      <c r="AW64" s="1" t="e">
        <f>J64/F64/(0.9*8760)</f>
        <v>#DIV/0!</v>
      </c>
      <c r="AX64" s="1" t="e">
        <f>K64/F64/(0.9*8760)</f>
        <v>#DIV/0!</v>
      </c>
      <c r="AY64" s="1" t="e">
        <f>L64/F64</f>
        <v>#DIV/0!</v>
      </c>
      <c r="AZ64" s="1" t="e">
        <f t="shared" si="20"/>
        <v>#REF!</v>
      </c>
      <c r="BA64" s="1" t="e">
        <f>(O64+P64)*-1*H64/F64</f>
        <v>#DIV/0!</v>
      </c>
      <c r="BB64" s="1" t="e">
        <f>AZ64*O64</f>
        <v>#REF!</v>
      </c>
      <c r="BC64" s="1" t="e">
        <f t="shared" si="21"/>
        <v>#REF!</v>
      </c>
      <c r="BD64" s="1" t="e">
        <f>P64*H64*-1/F64</f>
        <v>#DIV/0!</v>
      </c>
      <c r="BE64" s="1" t="e">
        <f>BC64*O64</f>
        <v>#REF!</v>
      </c>
      <c r="BF64" s="1" t="e">
        <f t="shared" si="22"/>
        <v>#REF!</v>
      </c>
      <c r="BG64" s="1" t="e">
        <f>(O64+P64)*-1*H64/F64</f>
        <v>#DIV/0!</v>
      </c>
      <c r="BH64" s="1" t="e">
        <f>BF64*O64</f>
        <v>#REF!</v>
      </c>
      <c r="BI64" s="1" t="e">
        <f t="shared" si="23"/>
        <v>#REF!</v>
      </c>
      <c r="BJ64" s="1" t="e">
        <f>H64/F64*P64*-1</f>
        <v>#DIV/0!</v>
      </c>
      <c r="BK64" s="1" t="e">
        <f>O64*BI64</f>
        <v>#REF!</v>
      </c>
      <c r="BM64" s="9">
        <v>3.14</v>
      </c>
      <c r="BN64" s="10">
        <v>0.22181100240000001</v>
      </c>
      <c r="BO64" s="9">
        <v>0.18104824</v>
      </c>
      <c r="BQ64" s="10" t="e">
        <f>1/F64*BN64</f>
        <v>#DIV/0!</v>
      </c>
      <c r="BR64" s="10" t="e">
        <f>G64/F64*BO64</f>
        <v>#DIV/0!</v>
      </c>
      <c r="BS64" s="10" t="e">
        <f t="shared" si="24"/>
        <v>#DIV/0!</v>
      </c>
      <c r="BU64" s="10">
        <f t="shared" si="25"/>
        <v>3.14</v>
      </c>
      <c r="BV64" s="10" t="e">
        <f>#REF!/F64*BO64</f>
        <v>#REF!</v>
      </c>
      <c r="BW64" s="10" t="e">
        <f>I64/F64</f>
        <v>#DIV/0!</v>
      </c>
      <c r="BX64" s="10" t="e">
        <f>H64/F64</f>
        <v>#DIV/0!</v>
      </c>
      <c r="BY64" s="10" t="e">
        <f t="shared" si="26"/>
        <v>#DIV/0!</v>
      </c>
      <c r="BZ64" s="10" t="e">
        <f t="shared" si="27"/>
        <v>#REF!</v>
      </c>
    </row>
    <row r="65" spans="2:78" x14ac:dyDescent="0.2">
      <c r="B65" s="14"/>
      <c r="C65" s="13" t="s">
        <v>72</v>
      </c>
      <c r="D65" s="13"/>
      <c r="E65" s="13"/>
      <c r="F65" s="13"/>
      <c r="G65" s="13"/>
      <c r="H65" s="13"/>
      <c r="I65" s="13"/>
      <c r="J65" s="13"/>
      <c r="K65" s="13"/>
      <c r="L65" s="13"/>
      <c r="M65" s="11" t="e">
        <f t="shared" si="14"/>
        <v>#DIV/0!</v>
      </c>
      <c r="O65" s="17"/>
      <c r="P65" s="17"/>
      <c r="Q65" s="16"/>
      <c r="R65" s="16"/>
      <c r="S65" s="16"/>
      <c r="T65" s="11">
        <v>21.986353300000001</v>
      </c>
      <c r="U65" s="17"/>
      <c r="V65" s="17"/>
      <c r="W65" s="16"/>
      <c r="X65" s="16"/>
      <c r="Y65" s="17"/>
      <c r="Z65" s="17"/>
      <c r="AA65" s="17"/>
      <c r="AB65" s="17"/>
      <c r="AC65" s="17"/>
      <c r="AD65" s="17"/>
      <c r="AE65" s="17"/>
      <c r="AF65" s="16"/>
      <c r="AG65" s="16"/>
      <c r="AH65" s="16"/>
      <c r="AI65" s="16"/>
      <c r="AK65" s="1">
        <f t="shared" si="15"/>
        <v>0</v>
      </c>
      <c r="AL65" s="1" t="str">
        <f t="shared" si="16"/>
        <v>Ethanol</v>
      </c>
      <c r="AM65" s="12" t="e">
        <f>SUM(AS65:AY65)+BA65+BB65</f>
        <v>#DIV/0!</v>
      </c>
      <c r="AN65" s="12" t="e">
        <f>SUM(AS65:AY65)+BD65+BE65</f>
        <v>#DIV/0!</v>
      </c>
      <c r="AO65" s="5" t="e">
        <f t="shared" si="17"/>
        <v>#DIV/0!</v>
      </c>
      <c r="AP65" s="12" t="e">
        <f>SUM(AS65:AY65)+BG65+BH65</f>
        <v>#DIV/0!</v>
      </c>
      <c r="AQ65" s="12" t="e">
        <f>SUM(AS65:AY65)+BJ65+BK65</f>
        <v>#DIV/0!</v>
      </c>
      <c r="AR65" s="5" t="e">
        <f t="shared" si="18"/>
        <v>#DIV/0!</v>
      </c>
      <c r="AS65" s="5" t="e">
        <f t="shared" si="19"/>
        <v>#DIV/0!</v>
      </c>
      <c r="AT65" s="1" t="e">
        <f>E65/F65*W65</f>
        <v>#DIV/0!</v>
      </c>
      <c r="AU65" s="1" t="e">
        <f>1/F65*T65</f>
        <v>#DIV/0!</v>
      </c>
      <c r="AV65" s="1" t="e">
        <f>G65/F65*AF65</f>
        <v>#DIV/0!</v>
      </c>
      <c r="AW65" s="1" t="e">
        <f>J65/F65/(0.9*8760)</f>
        <v>#DIV/0!</v>
      </c>
      <c r="AX65" s="1" t="e">
        <f>K65/F65/(0.9*8760)</f>
        <v>#DIV/0!</v>
      </c>
      <c r="AY65" s="1" t="e">
        <f>L65/F65</f>
        <v>#DIV/0!</v>
      </c>
      <c r="AZ65" s="1" t="e">
        <f t="shared" si="20"/>
        <v>#REF!</v>
      </c>
      <c r="BA65" s="1" t="e">
        <f>(O65+P65)*-1*H65/F65</f>
        <v>#DIV/0!</v>
      </c>
      <c r="BB65" s="1" t="e">
        <f>AZ65*O65</f>
        <v>#REF!</v>
      </c>
      <c r="BC65" s="1" t="e">
        <f t="shared" si="21"/>
        <v>#REF!</v>
      </c>
      <c r="BD65" s="1" t="e">
        <f>P65*H65*-1/F65</f>
        <v>#DIV/0!</v>
      </c>
      <c r="BE65" s="1" t="e">
        <f>BC65*O65</f>
        <v>#REF!</v>
      </c>
      <c r="BF65" s="1" t="e">
        <f t="shared" si="22"/>
        <v>#REF!</v>
      </c>
      <c r="BG65" s="1" t="e">
        <f>(O65+P65)*-1*H65/F65</f>
        <v>#DIV/0!</v>
      </c>
      <c r="BH65" s="1" t="e">
        <f>BF65*O65</f>
        <v>#REF!</v>
      </c>
      <c r="BI65" s="1" t="e">
        <f t="shared" si="23"/>
        <v>#REF!</v>
      </c>
      <c r="BJ65" s="1" t="e">
        <f>H65/F65*P65*-1</f>
        <v>#DIV/0!</v>
      </c>
      <c r="BK65" s="1" t="e">
        <f>O65*BI65</f>
        <v>#REF!</v>
      </c>
      <c r="BM65" s="9">
        <v>3.14</v>
      </c>
      <c r="BN65" s="10">
        <v>0.22181100240000001</v>
      </c>
      <c r="BO65" s="9">
        <v>0.18104824</v>
      </c>
      <c r="BQ65" s="10" t="e">
        <f>1/F65*BN65</f>
        <v>#DIV/0!</v>
      </c>
      <c r="BR65" s="10" t="e">
        <f>G65/F65*BO65</f>
        <v>#DIV/0!</v>
      </c>
      <c r="BS65" s="10" t="e">
        <f t="shared" si="24"/>
        <v>#DIV/0!</v>
      </c>
      <c r="BU65" s="10">
        <f t="shared" si="25"/>
        <v>3.14</v>
      </c>
      <c r="BV65" s="10" t="e">
        <f>#REF!/F65*BO65</f>
        <v>#REF!</v>
      </c>
      <c r="BW65" s="10" t="e">
        <f>I65/F65</f>
        <v>#DIV/0!</v>
      </c>
      <c r="BX65" s="10" t="e">
        <f>H65/F65</f>
        <v>#DIV/0!</v>
      </c>
      <c r="BY65" s="10" t="e">
        <f t="shared" si="26"/>
        <v>#DIV/0!</v>
      </c>
      <c r="BZ65" s="10" t="e">
        <f t="shared" si="27"/>
        <v>#REF!</v>
      </c>
    </row>
    <row r="66" spans="2:78" x14ac:dyDescent="0.2">
      <c r="B66" s="14"/>
      <c r="C66" s="13" t="s">
        <v>72</v>
      </c>
      <c r="D66" s="13"/>
      <c r="E66" s="13"/>
      <c r="F66" s="13"/>
      <c r="G66" s="13"/>
      <c r="H66" s="13"/>
      <c r="I66" s="13"/>
      <c r="J66" s="13"/>
      <c r="K66" s="13"/>
      <c r="L66" s="13"/>
      <c r="M66" s="11" t="e">
        <f t="shared" si="14"/>
        <v>#DIV/0!</v>
      </c>
      <c r="O66" s="17"/>
      <c r="P66" s="17"/>
      <c r="Q66" s="16"/>
      <c r="R66" s="16"/>
      <c r="S66" s="16"/>
      <c r="T66" s="11">
        <v>21.986353300000001</v>
      </c>
      <c r="U66" s="17"/>
      <c r="V66" s="17"/>
      <c r="W66" s="16"/>
      <c r="X66" s="16"/>
      <c r="Y66" s="17"/>
      <c r="Z66" s="17"/>
      <c r="AA66" s="17"/>
      <c r="AB66" s="17"/>
      <c r="AC66" s="17"/>
      <c r="AD66" s="17"/>
      <c r="AE66" s="17"/>
      <c r="AF66" s="16"/>
      <c r="AG66" s="16"/>
      <c r="AH66" s="16"/>
      <c r="AI66" s="16"/>
      <c r="AK66" s="1">
        <f t="shared" si="15"/>
        <v>0</v>
      </c>
      <c r="AL66" s="1" t="str">
        <f t="shared" si="16"/>
        <v>Ethanol</v>
      </c>
      <c r="AM66" s="12" t="e">
        <f>SUM(AS66:AY66)+BA66+BB66</f>
        <v>#DIV/0!</v>
      </c>
      <c r="AN66" s="12" t="e">
        <f>SUM(AS66:AY66)+BD66+BE66</f>
        <v>#DIV/0!</v>
      </c>
      <c r="AO66" s="5" t="e">
        <f t="shared" si="17"/>
        <v>#DIV/0!</v>
      </c>
      <c r="AP66" s="12" t="e">
        <f>SUM(AS66:AY66)+BG66+BH66</f>
        <v>#DIV/0!</v>
      </c>
      <c r="AQ66" s="12" t="e">
        <f>SUM(AS66:AY66)+BJ66+BK66</f>
        <v>#DIV/0!</v>
      </c>
      <c r="AR66" s="5" t="e">
        <f t="shared" si="18"/>
        <v>#DIV/0!</v>
      </c>
      <c r="AS66" s="5" t="e">
        <f t="shared" si="19"/>
        <v>#DIV/0!</v>
      </c>
      <c r="AT66" s="1" t="e">
        <f>E66/F66*W66</f>
        <v>#DIV/0!</v>
      </c>
      <c r="AU66" s="1" t="e">
        <f>1/F66*T66</f>
        <v>#DIV/0!</v>
      </c>
      <c r="AV66" s="1" t="e">
        <f>G66/F66*AF66</f>
        <v>#DIV/0!</v>
      </c>
      <c r="AW66" s="1" t="e">
        <f>J66/F66/(0.9*8760)</f>
        <v>#DIV/0!</v>
      </c>
      <c r="AX66" s="1" t="e">
        <f>K66/F66/(0.9*8760)</f>
        <v>#DIV/0!</v>
      </c>
      <c r="AY66" s="1" t="e">
        <f>L66/F66</f>
        <v>#DIV/0!</v>
      </c>
      <c r="AZ66" s="1" t="e">
        <f t="shared" si="20"/>
        <v>#REF!</v>
      </c>
      <c r="BA66" s="1" t="e">
        <f>(O66+P66)*-1*H66/F66</f>
        <v>#DIV/0!</v>
      </c>
      <c r="BB66" s="1" t="e">
        <f>AZ66*O66</f>
        <v>#REF!</v>
      </c>
      <c r="BC66" s="1" t="e">
        <f t="shared" si="21"/>
        <v>#REF!</v>
      </c>
      <c r="BD66" s="1" t="e">
        <f>P66*H66*-1/F66</f>
        <v>#DIV/0!</v>
      </c>
      <c r="BE66" s="1" t="e">
        <f>BC66*O66</f>
        <v>#REF!</v>
      </c>
      <c r="BF66" s="1" t="e">
        <f t="shared" si="22"/>
        <v>#REF!</v>
      </c>
      <c r="BG66" s="1" t="e">
        <f>(O66+P66)*-1*H66/F66</f>
        <v>#DIV/0!</v>
      </c>
      <c r="BH66" s="1" t="e">
        <f>BF66*O66</f>
        <v>#REF!</v>
      </c>
      <c r="BI66" s="1" t="e">
        <f t="shared" si="23"/>
        <v>#REF!</v>
      </c>
      <c r="BJ66" s="1" t="e">
        <f>H66/F66*P66*-1</f>
        <v>#DIV/0!</v>
      </c>
      <c r="BK66" s="1" t="e">
        <f>O66*BI66</f>
        <v>#REF!</v>
      </c>
      <c r="BM66" s="9">
        <v>3.14</v>
      </c>
      <c r="BN66" s="10">
        <v>0.22181100240000001</v>
      </c>
      <c r="BO66" s="9">
        <v>0.18104824</v>
      </c>
      <c r="BQ66" s="10" t="e">
        <f>1/F66*BN66</f>
        <v>#DIV/0!</v>
      </c>
      <c r="BR66" s="10" t="e">
        <f>G66/F66*BO66</f>
        <v>#DIV/0!</v>
      </c>
      <c r="BS66" s="10" t="e">
        <f t="shared" si="24"/>
        <v>#DIV/0!</v>
      </c>
      <c r="BU66" s="10">
        <f t="shared" si="25"/>
        <v>3.14</v>
      </c>
      <c r="BV66" s="10" t="e">
        <f>#REF!/F66*BO66</f>
        <v>#REF!</v>
      </c>
      <c r="BW66" s="10" t="e">
        <f>I66/F66</f>
        <v>#DIV/0!</v>
      </c>
      <c r="BX66" s="10" t="e">
        <f>H66/F66</f>
        <v>#DIV/0!</v>
      </c>
      <c r="BY66" s="10" t="e">
        <f t="shared" si="26"/>
        <v>#DIV/0!</v>
      </c>
      <c r="BZ66" s="10" t="e">
        <f t="shared" si="27"/>
        <v>#REF!</v>
      </c>
    </row>
    <row r="67" spans="2:78" x14ac:dyDescent="0.2">
      <c r="AM67" s="5"/>
      <c r="AN67" s="5"/>
      <c r="AO67" s="5"/>
      <c r="AP67" s="5"/>
      <c r="AQ67" s="5"/>
      <c r="AR67" s="5"/>
      <c r="AS67" s="5"/>
      <c r="BM67" s="8"/>
      <c r="BO67" s="8"/>
    </row>
    <row r="68" spans="2:78" x14ac:dyDescent="0.2">
      <c r="AM68" s="5"/>
      <c r="AN68" s="5"/>
      <c r="AO68" s="5"/>
      <c r="AP68" s="5"/>
      <c r="AQ68" s="5"/>
      <c r="AR68" s="5"/>
      <c r="AS68" s="5"/>
      <c r="BM68" s="8"/>
      <c r="BO68" s="8"/>
    </row>
    <row r="69" spans="2:78" x14ac:dyDescent="0.2">
      <c r="AM69" s="5"/>
      <c r="AN69" s="5"/>
      <c r="AO69" s="5"/>
      <c r="AP69" s="5"/>
      <c r="AQ69" s="5"/>
      <c r="AR69" s="5"/>
      <c r="AS69" s="5"/>
      <c r="BM69" s="8"/>
      <c r="BO69" s="8"/>
    </row>
    <row r="70" spans="2:78" x14ac:dyDescent="0.2">
      <c r="AM70" s="5"/>
      <c r="AN70" s="5"/>
      <c r="AO70" s="5"/>
      <c r="AP70" s="5"/>
      <c r="AQ70" s="5"/>
      <c r="AR70" s="5"/>
      <c r="AS70" s="5"/>
      <c r="BM70" s="8"/>
      <c r="BO70" s="8"/>
    </row>
    <row r="71" spans="2:78" x14ac:dyDescent="0.2">
      <c r="AM71" s="5"/>
      <c r="AN71" s="5"/>
      <c r="AO71" s="5"/>
      <c r="AP71" s="5"/>
      <c r="AQ71" s="5"/>
      <c r="AR71" s="5"/>
      <c r="AS71" s="5"/>
      <c r="BM71" s="8"/>
      <c r="BO71" s="8"/>
    </row>
    <row r="72" spans="2:78" x14ac:dyDescent="0.2">
      <c r="AM72" s="5"/>
      <c r="AN72" s="5"/>
      <c r="AO72" s="5"/>
      <c r="AP72" s="5"/>
      <c r="AQ72" s="5"/>
      <c r="AR72" s="5"/>
      <c r="AS72" s="5"/>
      <c r="BM72" s="8"/>
      <c r="BO72" s="8"/>
    </row>
    <row r="73" spans="2:78" x14ac:dyDescent="0.2">
      <c r="AM73" s="5"/>
      <c r="AN73" s="5"/>
      <c r="AO73" s="5"/>
      <c r="AP73" s="5"/>
      <c r="AQ73" s="5"/>
      <c r="AR73" s="5"/>
      <c r="AS73" s="5"/>
      <c r="BM73" s="8"/>
      <c r="BO73" s="8"/>
    </row>
    <row r="74" spans="2:78" x14ac:dyDescent="0.2">
      <c r="AM74" s="5"/>
      <c r="AN74" s="5"/>
      <c r="AO74" s="5"/>
      <c r="AP74" s="5"/>
      <c r="AQ74" s="5"/>
      <c r="AR74" s="5"/>
      <c r="AS74" s="5"/>
      <c r="BM74" s="8"/>
      <c r="BO74" s="8"/>
    </row>
    <row r="75" spans="2:78" x14ac:dyDescent="0.2">
      <c r="AM75" s="5"/>
      <c r="AN75" s="5"/>
      <c r="AO75" s="5"/>
      <c r="AP75" s="5"/>
      <c r="AQ75" s="5"/>
      <c r="AR75" s="5"/>
      <c r="AS75" s="5"/>
      <c r="BM75" s="8"/>
      <c r="BO75" s="8"/>
    </row>
    <row r="76" spans="2:78" x14ac:dyDescent="0.2">
      <c r="AM76" s="5"/>
      <c r="AN76" s="5"/>
      <c r="AO76" s="5"/>
      <c r="AP76" s="5"/>
      <c r="AQ76" s="5"/>
      <c r="AR76" s="5"/>
      <c r="AS76" s="5"/>
      <c r="BM76" s="8"/>
      <c r="BO76" s="8"/>
    </row>
    <row r="77" spans="2:78" x14ac:dyDescent="0.2">
      <c r="AM77" s="5"/>
      <c r="AN77" s="5"/>
      <c r="AO77" s="5"/>
      <c r="AP77" s="5"/>
      <c r="AQ77" s="5"/>
      <c r="AR77" s="5"/>
      <c r="AS77" s="5"/>
      <c r="BM77" s="8"/>
      <c r="BO77" s="8"/>
    </row>
    <row r="78" spans="2:78" x14ac:dyDescent="0.2">
      <c r="AM78" s="5"/>
      <c r="AN78" s="5"/>
      <c r="AO78" s="5"/>
      <c r="AP78" s="5"/>
      <c r="AQ78" s="5"/>
      <c r="AR78" s="5"/>
      <c r="AS78" s="5"/>
      <c r="BM78" s="8"/>
      <c r="BO78" s="8"/>
    </row>
    <row r="79" spans="2:78" x14ac:dyDescent="0.2">
      <c r="AM79" s="5"/>
      <c r="AN79" s="5"/>
      <c r="AO79" s="5"/>
      <c r="AP79" s="5"/>
      <c r="AQ79" s="5"/>
      <c r="AR79" s="5"/>
      <c r="AS79" s="5"/>
      <c r="BM79" s="8"/>
      <c r="BO79" s="8"/>
    </row>
    <row r="80" spans="2:78" x14ac:dyDescent="0.2">
      <c r="AM80" s="5"/>
      <c r="AN80" s="5"/>
      <c r="AO80" s="5"/>
      <c r="AP80" s="5"/>
      <c r="AQ80" s="5"/>
      <c r="AR80" s="5"/>
      <c r="AS80" s="5"/>
      <c r="BM80" s="8"/>
      <c r="BO80" s="8"/>
    </row>
    <row r="81" spans="39:67" x14ac:dyDescent="0.2">
      <c r="AM81" s="5"/>
      <c r="AN81" s="5"/>
      <c r="AO81" s="5"/>
      <c r="AP81" s="5"/>
      <c r="AQ81" s="5"/>
      <c r="AR81" s="5"/>
      <c r="AS81" s="5"/>
      <c r="BM81" s="8"/>
      <c r="BO81" s="8"/>
    </row>
    <row r="82" spans="39:67" x14ac:dyDescent="0.2">
      <c r="AM82" s="5"/>
      <c r="AN82" s="5"/>
      <c r="AO82" s="5"/>
      <c r="AP82" s="5"/>
      <c r="AQ82" s="5"/>
      <c r="AR82" s="5"/>
      <c r="AS82" s="5"/>
      <c r="BM82" s="8"/>
      <c r="BO82" s="8"/>
    </row>
    <row r="83" spans="39:67" x14ac:dyDescent="0.2">
      <c r="AM83" s="5"/>
      <c r="AN83" s="5"/>
      <c r="AO83" s="5"/>
      <c r="AP83" s="5"/>
      <c r="AQ83" s="5"/>
      <c r="AR83" s="5"/>
      <c r="AS83" s="5"/>
      <c r="BM83" s="8"/>
      <c r="BO83" s="8"/>
    </row>
    <row r="84" spans="39:67" x14ac:dyDescent="0.2">
      <c r="AM84" s="5"/>
      <c r="AN84" s="5"/>
      <c r="AO84" s="5"/>
      <c r="AP84" s="5"/>
      <c r="AQ84" s="5"/>
      <c r="AR84" s="5"/>
      <c r="AS84" s="5"/>
      <c r="BM84" s="8"/>
      <c r="BO84" s="8"/>
    </row>
    <row r="85" spans="39:67" x14ac:dyDescent="0.2">
      <c r="AM85" s="5"/>
      <c r="AN85" s="5"/>
      <c r="AO85" s="5"/>
      <c r="AP85" s="5"/>
      <c r="AQ85" s="5"/>
      <c r="AR85" s="5"/>
      <c r="AS85" s="5"/>
      <c r="BM85" s="8"/>
      <c r="BO85" s="8"/>
    </row>
    <row r="86" spans="39:67" x14ac:dyDescent="0.2">
      <c r="AM86" s="5"/>
      <c r="AN86" s="5"/>
      <c r="AO86" s="5"/>
      <c r="AP86" s="5"/>
      <c r="AQ86" s="5"/>
      <c r="AR86" s="5"/>
      <c r="AS86" s="5"/>
      <c r="BM86" s="8"/>
      <c r="BO86" s="8"/>
    </row>
    <row r="87" spans="39:67" x14ac:dyDescent="0.2">
      <c r="AM87" s="5"/>
      <c r="AN87" s="5"/>
      <c r="AO87" s="5"/>
      <c r="AP87" s="5"/>
      <c r="AQ87" s="5"/>
      <c r="AR87" s="5"/>
      <c r="AS87" s="5"/>
      <c r="BM87" s="8"/>
      <c r="BO87" s="8"/>
    </row>
    <row r="88" spans="39:67" x14ac:dyDescent="0.2">
      <c r="AM88" s="5"/>
      <c r="AN88" s="5"/>
      <c r="AO88" s="5"/>
      <c r="AP88" s="5"/>
      <c r="AQ88" s="5"/>
      <c r="AR88" s="5"/>
      <c r="AS88" s="5"/>
      <c r="BM88" s="8"/>
      <c r="BO88" s="8"/>
    </row>
    <row r="89" spans="39:67" x14ac:dyDescent="0.2">
      <c r="AM89" s="5"/>
      <c r="AN89" s="5"/>
      <c r="AO89" s="5"/>
      <c r="AP89" s="5"/>
      <c r="AQ89" s="5"/>
      <c r="AR89" s="5"/>
      <c r="AS89" s="5"/>
      <c r="BM89" s="8"/>
      <c r="BO89" s="8"/>
    </row>
    <row r="90" spans="39:67" x14ac:dyDescent="0.2">
      <c r="AM90" s="5"/>
      <c r="AN90" s="5"/>
      <c r="AO90" s="5"/>
      <c r="AP90" s="5"/>
      <c r="AQ90" s="5"/>
      <c r="AR90" s="5"/>
      <c r="AS90" s="5"/>
      <c r="BM90" s="8"/>
      <c r="BO90" s="8"/>
    </row>
    <row r="91" spans="39:67" x14ac:dyDescent="0.2">
      <c r="AM91" s="5"/>
      <c r="AN91" s="5"/>
      <c r="AO91" s="5"/>
      <c r="AP91" s="5"/>
      <c r="AQ91" s="5"/>
      <c r="AR91" s="5"/>
      <c r="AS91" s="5"/>
      <c r="BM91" s="8"/>
      <c r="BO91" s="8"/>
    </row>
    <row r="92" spans="39:67" x14ac:dyDescent="0.2">
      <c r="AM92" s="5"/>
      <c r="AN92" s="5"/>
      <c r="AO92" s="5"/>
      <c r="AP92" s="5"/>
      <c r="AQ92" s="5"/>
      <c r="AR92" s="5"/>
      <c r="AS92" s="5"/>
      <c r="BM92" s="8"/>
      <c r="BO92" s="8"/>
    </row>
    <row r="93" spans="39:67" x14ac:dyDescent="0.2">
      <c r="AM93" s="5"/>
      <c r="AN93" s="5"/>
      <c r="AO93" s="5"/>
      <c r="AP93" s="5"/>
      <c r="AQ93" s="5"/>
      <c r="AR93" s="5"/>
      <c r="AS93" s="5"/>
      <c r="BM93" s="8"/>
      <c r="BO93" s="8"/>
    </row>
    <row r="94" spans="39:67" x14ac:dyDescent="0.2">
      <c r="AM94" s="5"/>
      <c r="AN94" s="5"/>
      <c r="AO94" s="5"/>
      <c r="AP94" s="5"/>
      <c r="AQ94" s="5"/>
      <c r="AR94" s="5"/>
      <c r="AS94" s="5"/>
      <c r="BM94" s="8"/>
      <c r="BO94" s="8"/>
    </row>
    <row r="95" spans="39:67" x14ac:dyDescent="0.2">
      <c r="AM95" s="5"/>
      <c r="AN95" s="5"/>
      <c r="AO95" s="5"/>
      <c r="AP95" s="5"/>
      <c r="AQ95" s="5"/>
      <c r="AR95" s="5"/>
      <c r="AS95" s="5"/>
      <c r="BM95" s="8"/>
      <c r="BO95" s="8"/>
    </row>
    <row r="96" spans="39:67" x14ac:dyDescent="0.2">
      <c r="AM96" s="5"/>
      <c r="AN96" s="5"/>
      <c r="AO96" s="5"/>
      <c r="AP96" s="5"/>
      <c r="AQ96" s="5"/>
      <c r="AR96" s="5"/>
      <c r="AS96" s="5"/>
      <c r="BM96" s="8"/>
      <c r="BO96" s="8"/>
    </row>
    <row r="97" spans="39:67" x14ac:dyDescent="0.2">
      <c r="AM97" s="5"/>
      <c r="AN97" s="5"/>
      <c r="AO97" s="5"/>
      <c r="AP97" s="5"/>
      <c r="AQ97" s="5"/>
      <c r="AR97" s="5"/>
      <c r="AS97" s="5"/>
      <c r="BM97" s="8"/>
      <c r="BO97" s="8"/>
    </row>
    <row r="98" spans="39:67" x14ac:dyDescent="0.2">
      <c r="AM98" s="5"/>
      <c r="AN98" s="5"/>
      <c r="AO98" s="5"/>
      <c r="AP98" s="5"/>
      <c r="AQ98" s="5"/>
      <c r="AR98" s="5"/>
      <c r="AS98" s="5"/>
      <c r="BM98" s="8"/>
      <c r="BO98" s="8"/>
    </row>
    <row r="99" spans="39:67" x14ac:dyDescent="0.2">
      <c r="AM99" s="5"/>
      <c r="AN99" s="5"/>
      <c r="AO99" s="5"/>
      <c r="AP99" s="5"/>
      <c r="AQ99" s="5"/>
      <c r="AR99" s="5"/>
      <c r="AS99" s="5"/>
      <c r="BM99" s="8"/>
      <c r="BO99" s="8"/>
    </row>
    <row r="100" spans="39:67" x14ac:dyDescent="0.2">
      <c r="AM100" s="5"/>
      <c r="AN100" s="5"/>
      <c r="AO100" s="5"/>
      <c r="AP100" s="5"/>
      <c r="AQ100" s="5"/>
      <c r="AR100" s="5"/>
      <c r="AS100" s="5"/>
      <c r="BM100" s="8"/>
      <c r="BO100" s="8"/>
    </row>
    <row r="101" spans="39:67" x14ac:dyDescent="0.2">
      <c r="AM101" s="5"/>
      <c r="AN101" s="5"/>
      <c r="AO101" s="5"/>
      <c r="AP101" s="5"/>
      <c r="AQ101" s="5"/>
      <c r="AR101" s="5"/>
      <c r="AS101" s="5"/>
      <c r="BM101" s="8"/>
      <c r="BO101" s="8"/>
    </row>
    <row r="102" spans="39:67" x14ac:dyDescent="0.2">
      <c r="AM102" s="5"/>
      <c r="AN102" s="5"/>
      <c r="AO102" s="5"/>
      <c r="AP102" s="5"/>
      <c r="AQ102" s="5"/>
      <c r="AR102" s="5"/>
      <c r="AS102" s="5"/>
      <c r="BM102" s="8"/>
      <c r="BO102" s="8"/>
    </row>
    <row r="103" spans="39:67" x14ac:dyDescent="0.2">
      <c r="AM103" s="5"/>
      <c r="AN103" s="5"/>
      <c r="AO103" s="5"/>
      <c r="AP103" s="5"/>
      <c r="AQ103" s="5"/>
      <c r="AR103" s="5"/>
      <c r="AS103" s="5"/>
      <c r="BM103" s="8"/>
      <c r="BO103" s="8"/>
    </row>
    <row r="104" spans="39:67" x14ac:dyDescent="0.2">
      <c r="AM104" s="5"/>
      <c r="AN104" s="5"/>
      <c r="AO104" s="5"/>
      <c r="AP104" s="5"/>
      <c r="AQ104" s="5"/>
      <c r="AR104" s="5"/>
      <c r="AS104" s="5"/>
      <c r="BM104" s="8"/>
      <c r="BO104" s="8"/>
    </row>
    <row r="105" spans="39:67" x14ac:dyDescent="0.2">
      <c r="AM105" s="5"/>
      <c r="AN105" s="5"/>
      <c r="AO105" s="5"/>
      <c r="AP105" s="5"/>
      <c r="AQ105" s="5"/>
      <c r="AR105" s="5"/>
      <c r="AS105" s="5"/>
    </row>
    <row r="106" spans="39:67" x14ac:dyDescent="0.2">
      <c r="AM106" s="5"/>
      <c r="AN106" s="5"/>
      <c r="AO106" s="5"/>
      <c r="AP106" s="5"/>
      <c r="AQ106" s="5"/>
      <c r="AR106" s="5"/>
      <c r="AS106" s="5"/>
    </row>
    <row r="107" spans="39:67" x14ac:dyDescent="0.2">
      <c r="AM107" s="5"/>
      <c r="AN107" s="5"/>
      <c r="AO107" s="5"/>
      <c r="AP107" s="5"/>
      <c r="AQ107" s="5"/>
      <c r="AR107" s="5"/>
      <c r="AS107" s="5"/>
    </row>
    <row r="108" spans="39:67" x14ac:dyDescent="0.2">
      <c r="AS10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2026-04-07T15:12:34Z</dcterms:modified>
</cp:coreProperties>
</file>