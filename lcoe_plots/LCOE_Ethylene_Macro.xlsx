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8300" windowHeight="169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4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11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rgb="FFADD8E6"/>
        <bgColor rgb="FFADD8E6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AED9E6"/>
        <bgColor indexed="64"/>
      </patternFill>
    </fill>
    <fill>
      <patternFill patternType="solid">
        <fgColor rgb="FFAED9E6"/>
        <bgColor rgb="FFADD8E6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00ADD8E6"/>
        <b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7" borderId="0" pivotButton="0" quotePrefix="0" xfId="0"/>
    <xf numFmtId="0" fontId="0" fillId="8" borderId="0" pivotButton="0" quotePrefix="0" xfId="0"/>
    <xf numFmtId="0" fontId="3" fillId="9" borderId="0" pivotButton="0" quotePrefix="0" xfId="0"/>
    <xf numFmtId="0" fontId="0" fillId="10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08"/>
  <sheetViews>
    <sheetView tabSelected="1" topLeftCell="M1" zoomScale="56" zoomScaleNormal="157" workbookViewId="0">
      <selection activeCell="AA17" sqref="AA17"/>
    </sheetView>
  </sheetViews>
  <sheetFormatPr baseColWidth="10" defaultRowHeight="16"/>
  <cols>
    <col width="2.6640625" customWidth="1" style="1" min="1" max="1"/>
    <col width="44.6640625" bestFit="1" customWidth="1" style="1" min="2" max="2"/>
    <col width="10" bestFit="1" customWidth="1" style="1" min="3" max="3"/>
    <col width="14.5" bestFit="1" customWidth="1" style="1" min="4" max="5"/>
    <col width="15.1640625" bestFit="1" customWidth="1" style="1" min="6" max="6"/>
    <col width="17.33203125" bestFit="1" customWidth="1" style="1" min="7" max="7"/>
    <col width="17.1640625" bestFit="1" customWidth="1" style="1" min="8" max="8"/>
    <col width="15.5" bestFit="1" customWidth="1" style="1" min="9" max="9"/>
    <col width="14.5" bestFit="1" customWidth="1" style="1" min="10" max="10"/>
    <col width="11.6640625" bestFit="1" customWidth="1" style="1" min="11" max="11"/>
    <col width="14.5" bestFit="1" customWidth="1" style="1" min="12" max="13"/>
    <col width="14.5" customWidth="1" style="1" min="14" max="14"/>
    <col width="3" customWidth="1" style="1" min="15" max="15"/>
    <col width="12" bestFit="1" customWidth="1" style="1" min="16" max="16"/>
    <col width="12.6640625" bestFit="1" customWidth="1" style="1" min="17" max="17"/>
    <col width="13" bestFit="1" customWidth="1" style="1" min="18" max="18"/>
    <col width="13.83203125" bestFit="1" customWidth="1" style="1" min="19" max="19"/>
    <col width="12.33203125" bestFit="1" customWidth="1" style="1" min="20" max="20"/>
    <col width="12.33203125" customWidth="1" style="1" min="21" max="21"/>
    <col width="13.6640625" bestFit="1" customWidth="1" style="1" min="22" max="22"/>
    <col width="14" bestFit="1" customWidth="1" style="1" min="23" max="23"/>
    <col width="12" bestFit="1" customWidth="1" style="1" min="24" max="25"/>
    <col width="10.1640625" bestFit="1" customWidth="1" style="1" min="26" max="26"/>
    <col width="14" bestFit="1" customWidth="1" style="1" min="27" max="27"/>
    <col width="14.33203125" bestFit="1" customWidth="1" style="1" min="28" max="28"/>
    <col width="12.1640625" bestFit="1" customWidth="1" style="1" min="29" max="29"/>
    <col width="12.5" bestFit="1" customWidth="1" style="1" min="30" max="30"/>
    <col width="12.6640625" bestFit="1" customWidth="1" style="1" min="31" max="31"/>
    <col width="13" bestFit="1" customWidth="1" style="1" min="32" max="32"/>
    <col width="11.5" bestFit="1" customWidth="1" style="1" min="33" max="34"/>
    <col width="3.33203125" customWidth="1" min="35" max="35"/>
    <col width="40.83203125" bestFit="1" customWidth="1" style="1" min="36" max="36"/>
    <col width="10" bestFit="1" customWidth="1" style="1" min="37" max="37"/>
    <col width="15.6640625" bestFit="1" customWidth="1" style="1" min="38" max="38"/>
    <col width="15.6640625" customWidth="1" style="1" min="39" max="41"/>
    <col width="14.1640625" bestFit="1" customWidth="1" style="1" min="42" max="42"/>
    <col width="12.6640625" bestFit="1" customWidth="1" style="1" min="43" max="43"/>
    <col width="15.1640625" bestFit="1" customWidth="1" style="1" min="44" max="44"/>
    <col width="17.33203125" bestFit="1" customWidth="1" style="1" min="45" max="45"/>
    <col width="17.1640625" bestFit="1" customWidth="1" style="1" min="46" max="46"/>
    <col width="15.5" customWidth="1" style="1" min="47" max="47"/>
    <col width="13.6640625" bestFit="1" customWidth="1" style="1" min="48" max="48"/>
    <col width="12.1640625" bestFit="1" customWidth="1" style="1" min="49" max="49"/>
    <col width="14.5" bestFit="1" customWidth="1" style="1" min="50" max="50"/>
    <col width="10.5" customWidth="1" style="1" min="51" max="51"/>
    <col width="17.83203125" bestFit="1" customWidth="1" style="1" min="52" max="52"/>
    <col width="19.33203125" bestFit="1" customWidth="1" style="1" min="53" max="53"/>
    <col width="2.6640625" bestFit="1" customWidth="1" style="1" min="54" max="54"/>
    <col width="17.83203125" bestFit="1" customWidth="1" style="1" min="55" max="55"/>
    <col width="19.33203125" bestFit="1" customWidth="1" style="1" min="56" max="56"/>
    <col width="2.6640625" bestFit="1" customWidth="1" style="1" min="57" max="57"/>
    <col width="17.83203125" bestFit="1" customWidth="1" style="1" min="58" max="58"/>
    <col width="19.33203125" bestFit="1" customWidth="1" style="1" min="59" max="59"/>
    <col width="2.6640625" bestFit="1" customWidth="1" style="1" min="60" max="60"/>
    <col width="17.83203125" bestFit="1" customWidth="1" style="1" min="61" max="61"/>
    <col width="19.33203125" bestFit="1" customWidth="1" style="1" min="62" max="62"/>
    <col width="10.83203125" customWidth="1" style="1" min="63" max="16384"/>
  </cols>
  <sheetData>
    <row r="2">
      <c r="B2" s="2" t="inlineStr">
        <is>
          <t>Asset Parameters (normalized by commodity feedstock)</t>
        </is>
      </c>
      <c r="C2" s="2" t="n"/>
      <c r="D2" s="2" t="n"/>
      <c r="P2" s="2" t="inlineStr">
        <is>
          <t>Duals</t>
        </is>
      </c>
      <c r="Q2" s="2" t="n"/>
      <c r="AJ2" s="2" t="inlineStr">
        <is>
          <t>LCOE for assets with ethane capacity ($/t-ethylene)</t>
        </is>
      </c>
      <c r="AY2" s="2" t="inlineStr">
        <is>
          <t>SEQUESTRATION - CARBON INTENSITY</t>
        </is>
      </c>
      <c r="AZ2" s="2" t="n"/>
      <c r="BA2" s="2" t="n"/>
      <c r="BB2" s="2" t="inlineStr">
        <is>
          <t>SEQUESTRATION - COSTS</t>
        </is>
      </c>
      <c r="BC2" s="2" t="n"/>
      <c r="BD2" s="2" t="n"/>
      <c r="BE2" s="2" t="inlineStr">
        <is>
          <t>NO SEQUESTRATION - CARBON INTENSITY</t>
        </is>
      </c>
      <c r="BF2" s="2" t="n"/>
      <c r="BG2" s="2" t="n"/>
      <c r="BH2" s="2" t="inlineStr">
        <is>
          <t>NO SEQUESTRATION - COSTS</t>
        </is>
      </c>
      <c r="BI2" s="2" t="n"/>
      <c r="BJ2" s="2" t="n"/>
    </row>
    <row r="3">
      <c r="B3" s="3" t="inlineStr">
        <is>
          <t>id</t>
        </is>
      </c>
      <c r="C3" s="3" t="inlineStr">
        <is>
          <t>commodity</t>
        </is>
      </c>
      <c r="D3" s="3" t="inlineStr">
        <is>
          <t>h2_consumption</t>
        </is>
      </c>
      <c r="E3" s="3" t="inlineStr">
        <is>
          <t>h2_production</t>
        </is>
      </c>
      <c r="F3" s="3" t="inlineStr">
        <is>
          <t>elec_consumption</t>
        </is>
      </c>
      <c r="G3" s="3" t="inlineStr">
        <is>
          <t>ethylene_production</t>
        </is>
      </c>
      <c r="H3" s="3" t="inlineStr">
        <is>
          <t>natgas_consumption</t>
        </is>
      </c>
      <c r="I3" s="3" t="inlineStr">
        <is>
          <t>natgas_production</t>
        </is>
      </c>
      <c r="J3" s="3" t="inlineStr">
        <is>
          <t>capture_rate</t>
        </is>
      </c>
      <c r="K3" s="3" t="inlineStr">
        <is>
          <t>emission_rate</t>
        </is>
      </c>
      <c r="L3" s="3" t="inlineStr">
        <is>
          <t>investment_cost</t>
        </is>
      </c>
      <c r="M3" s="3" t="inlineStr">
        <is>
          <t>fixed_om_cost</t>
        </is>
      </c>
      <c r="N3" s="3" t="inlineStr">
        <is>
          <t>variable_om_cost</t>
        </is>
      </c>
      <c r="P3" s="3" t="inlineStr">
        <is>
          <t>co2_sink</t>
        </is>
      </c>
      <c r="Q3" s="3" t="inlineStr">
        <is>
          <t>co2_captured</t>
        </is>
      </c>
      <c r="R3" s="3" t="inlineStr">
        <is>
          <t>bioherb_supply</t>
        </is>
      </c>
      <c r="S3" s="3" t="inlineStr">
        <is>
          <t>biowood_supply</t>
        </is>
      </c>
      <c r="T3" s="3" t="inlineStr">
        <is>
          <t>bioagri_supply</t>
        </is>
      </c>
      <c r="U3" s="3" t="inlineStr">
        <is>
          <t>ethane_supply</t>
        </is>
      </c>
      <c r="V3" s="3" t="inlineStr">
        <is>
          <t>ethanol_balance</t>
        </is>
      </c>
      <c r="W3" s="3" t="inlineStr">
        <is>
          <t>ethanol_demand</t>
        </is>
      </c>
      <c r="X3" s="3" t="inlineStr">
        <is>
          <t>elec_demand</t>
        </is>
      </c>
      <c r="Y3" s="3" t="inlineStr">
        <is>
          <t>h2_balance</t>
        </is>
      </c>
      <c r="Z3" s="3" t="inlineStr">
        <is>
          <t>h2_demand</t>
        </is>
      </c>
      <c r="AA3" s="3" t="inlineStr">
        <is>
          <t>gasoline_balance</t>
        </is>
      </c>
      <c r="AB3" s="3" t="inlineStr">
        <is>
          <t>gasoline_demand</t>
        </is>
      </c>
      <c r="AC3" s="3" t="inlineStr">
        <is>
          <t>diesel_balance</t>
        </is>
      </c>
      <c r="AD3" s="3" t="inlineStr">
        <is>
          <t>diesel_demand</t>
        </is>
      </c>
      <c r="AE3" s="3" t="inlineStr">
        <is>
          <t>jetfuel_balance</t>
        </is>
      </c>
      <c r="AF3" s="3" t="inlineStr">
        <is>
          <t>jetfuel_demand</t>
        </is>
      </c>
      <c r="AG3" s="3" t="inlineStr">
        <is>
          <t>ng_balance</t>
        </is>
      </c>
      <c r="AH3" s="3" t="inlineStr">
        <is>
          <t>ng_demand</t>
        </is>
      </c>
      <c r="AJ3" s="7" t="inlineStr">
        <is>
          <t>id</t>
        </is>
      </c>
      <c r="AK3" s="7" t="inlineStr">
        <is>
          <t>commodity</t>
        </is>
      </c>
      <c r="AL3" s="6" t="inlineStr">
        <is>
          <t>LCOE ($/t-ethylene)</t>
        </is>
      </c>
      <c r="AM3" s="11" t="inlineStr">
        <is>
          <t>LCOE ($/t-ethylene)</t>
        </is>
      </c>
      <c r="AN3" s="6" t="inlineStr">
        <is>
          <t>LCOE ($/t-ethylene)</t>
        </is>
      </c>
      <c r="AO3" s="11" t="inlineStr">
        <is>
          <t>LCOE ($/t-ethylene)</t>
        </is>
      </c>
      <c r="AP3" s="7" t="inlineStr">
        <is>
          <t>h2_consumption</t>
        </is>
      </c>
      <c r="AQ3" s="7" t="inlineStr">
        <is>
          <t>h2_production</t>
        </is>
      </c>
      <c r="AR3" s="7" t="inlineStr">
        <is>
          <t>elec_consumption</t>
        </is>
      </c>
      <c r="AS3" s="7" t="inlineStr">
        <is>
          <t>ethane_consumption</t>
        </is>
      </c>
      <c r="AT3" s="7" t="inlineStr">
        <is>
          <t>natgas_consumption</t>
        </is>
      </c>
      <c r="AU3" s="7" t="inlineStr">
        <is>
          <t>natgas_production</t>
        </is>
      </c>
      <c r="AV3" s="7" t="inlineStr">
        <is>
          <t>investment_cost</t>
        </is>
      </c>
      <c r="AW3" s="7" t="inlineStr">
        <is>
          <t>fixed_om_cost</t>
        </is>
      </c>
      <c r="AX3" s="7" t="inlineStr">
        <is>
          <t>variable_om_cost</t>
        </is>
      </c>
      <c r="AY3" s="6" t="inlineStr">
        <is>
          <t>CI</t>
        </is>
      </c>
      <c r="AZ3" s="6" t="inlineStr">
        <is>
          <t>modified capture cost</t>
        </is>
      </c>
      <c r="BA3" s="6" t="inlineStr">
        <is>
          <t>modified emissions cost</t>
        </is>
      </c>
      <c r="BB3" s="11" t="inlineStr">
        <is>
          <t>CI</t>
        </is>
      </c>
      <c r="BC3" s="11" t="inlineStr">
        <is>
          <t>modified capture cost</t>
        </is>
      </c>
      <c r="BD3" s="11" t="inlineStr">
        <is>
          <t>modified emissions cost</t>
        </is>
      </c>
      <c r="BE3" s="6" t="inlineStr">
        <is>
          <t>CI</t>
        </is>
      </c>
      <c r="BF3" s="6" t="inlineStr">
        <is>
          <t>modified capture cost</t>
        </is>
      </c>
      <c r="BG3" s="6" t="inlineStr">
        <is>
          <t>modified emissions cost</t>
        </is>
      </c>
      <c r="BH3" s="11" t="inlineStr">
        <is>
          <t>CI</t>
        </is>
      </c>
      <c r="BI3" s="11" t="inlineStr">
        <is>
          <t>modified capture cost</t>
        </is>
      </c>
      <c r="BJ3" s="11" t="inlineStr">
        <is>
          <t>modified emissions cost</t>
        </is>
      </c>
    </row>
    <row r="4">
      <c r="B4" s="5" t="inlineStr">
        <is>
          <t>CA_TSC</t>
        </is>
      </c>
      <c r="C4" s="5" t="inlineStr">
        <is>
          <t>Ethane</t>
        </is>
      </c>
      <c r="D4" s="5" t="n">
        <v>0</v>
      </c>
      <c r="E4" s="5" t="n">
        <v>0</v>
      </c>
      <c r="F4" s="5" t="n">
        <v>0</v>
      </c>
      <c r="G4" s="5" t="n">
        <v>0.05310189724</v>
      </c>
      <c r="H4" s="5" t="n">
        <v>0.02270169876</v>
      </c>
      <c r="I4" s="5" t="n">
        <v>0</v>
      </c>
      <c r="J4" s="5" t="n">
        <v>0</v>
      </c>
      <c r="K4" s="5" t="n"/>
      <c r="L4" s="5" t="n">
        <v>99124.32016</v>
      </c>
      <c r="M4" s="5" t="n">
        <v>54251.99777</v>
      </c>
      <c r="N4" s="5" t="n">
        <v>1.676159756</v>
      </c>
      <c r="P4" s="12" t="n">
        <v>99.913298</v>
      </c>
      <c r="Q4" s="4" t="n">
        <v>-5.387721</v>
      </c>
      <c r="R4" s="5" t="n"/>
      <c r="S4" s="5" t="n"/>
      <c r="T4" s="5" t="n"/>
      <c r="U4" s="5" t="n"/>
      <c r="V4" s="9" t="n"/>
      <c r="W4" s="9" t="n"/>
      <c r="X4" s="10" t="n"/>
      <c r="Y4" s="10" t="n"/>
      <c r="Z4" s="10" t="n"/>
      <c r="AA4" s="9" t="n"/>
      <c r="AB4" s="9" t="n"/>
      <c r="AC4" s="9" t="n"/>
      <c r="AD4" s="9" t="n"/>
      <c r="AE4" s="9" t="n"/>
      <c r="AF4" s="9" t="n"/>
      <c r="AG4" s="5" t="n"/>
      <c r="AH4" s="5" t="n"/>
      <c r="AJ4" s="1">
        <f>B4</f>
        <v/>
      </c>
      <c r="AK4" s="1">
        <f>C4</f>
        <v/>
      </c>
      <c r="AL4" s="8">
        <f>SUM(AP4:AX4)</f>
        <v/>
      </c>
      <c r="AM4" s="8">
        <f>SUM(AP4:AX4)</f>
        <v/>
      </c>
      <c r="AN4" s="8">
        <f>SUM(AP4:AX4)</f>
        <v/>
      </c>
      <c r="AO4" s="8">
        <f>SUM(AP4:AX4)</f>
        <v/>
      </c>
      <c r="AP4" s="8">
        <f>D4*Y4/G4</f>
        <v/>
      </c>
      <c r="AQ4" s="1">
        <f>E4*Y4/G4*-1</f>
        <v/>
      </c>
      <c r="AR4" s="1">
        <f>F4*X4/G4</f>
        <v/>
      </c>
      <c r="AS4" s="1">
        <f>1/G4*#REF!</f>
        <v/>
      </c>
      <c r="AT4" s="1">
        <f>H4*AG4/G4</f>
        <v/>
      </c>
      <c r="AU4" s="1">
        <f>I4*AG4/G4</f>
        <v/>
      </c>
      <c r="AV4" s="1">
        <f>L4/(0.9*8760)</f>
        <v/>
      </c>
      <c r="AW4" s="1">
        <f>M4/(0.9*8760)</f>
        <v/>
      </c>
      <c r="AX4" s="1">
        <f>N4/G4</f>
        <v/>
      </c>
    </row>
    <row r="5">
      <c r="B5" s="5" t="inlineStr">
        <is>
          <t>SW_TSC</t>
        </is>
      </c>
      <c r="C5" s="5" t="inlineStr">
        <is>
          <t>Ethane</t>
        </is>
      </c>
      <c r="D5" s="5" t="n">
        <v>0</v>
      </c>
      <c r="E5" s="5" t="n">
        <v>0</v>
      </c>
      <c r="F5" s="5" t="n">
        <v>0</v>
      </c>
      <c r="G5" s="5" t="n">
        <v>0.05310189724</v>
      </c>
      <c r="H5" s="5" t="n">
        <v>0.02270169876</v>
      </c>
      <c r="I5" s="5" t="n">
        <v>0</v>
      </c>
      <c r="J5" s="5" t="n">
        <v>0</v>
      </c>
      <c r="K5" s="5" t="n"/>
      <c r="L5" s="5" t="n">
        <v>99124.32016</v>
      </c>
      <c r="M5" s="5" t="n">
        <v>54251.99777</v>
      </c>
      <c r="N5" s="5" t="n">
        <v>1.676159756</v>
      </c>
      <c r="P5" s="12" t="n">
        <v>99.913298</v>
      </c>
      <c r="Q5" s="4" t="n">
        <v>-5.321206</v>
      </c>
      <c r="R5" s="5" t="n"/>
      <c r="S5" s="5" t="n"/>
      <c r="T5" s="5" t="n"/>
      <c r="U5" s="5" t="n"/>
      <c r="V5" s="9" t="n"/>
      <c r="W5" s="9" t="n"/>
      <c r="X5" s="10" t="n"/>
      <c r="Y5" s="10" t="n"/>
      <c r="Z5" s="10" t="n"/>
      <c r="AA5" s="9" t="n"/>
      <c r="AB5" s="9" t="n"/>
      <c r="AC5" s="9" t="n"/>
      <c r="AD5" s="9" t="n"/>
      <c r="AE5" s="9" t="n"/>
      <c r="AF5" s="9" t="n"/>
      <c r="AG5" s="5" t="n"/>
      <c r="AH5" s="5" t="n"/>
      <c r="AJ5" s="1">
        <f>B5</f>
        <v/>
      </c>
      <c r="AK5" s="1">
        <f>C5</f>
        <v/>
      </c>
      <c r="AL5" s="8">
        <f>SUM(AP5:AX5)</f>
        <v/>
      </c>
      <c r="AM5" s="8">
        <f>SUM(AP5:AX5)</f>
        <v/>
      </c>
      <c r="AN5" s="8">
        <f>SUM(AP5:AX5)</f>
        <v/>
      </c>
      <c r="AO5" s="8">
        <f>SUM(AP5:AX5)</f>
        <v/>
      </c>
      <c r="AP5" s="8">
        <f>D5*Y5/G5</f>
        <v/>
      </c>
      <c r="AQ5" s="1">
        <f>E5*Y5/G5*-1</f>
        <v/>
      </c>
      <c r="AR5" s="1">
        <f>F5*X5/G5</f>
        <v/>
      </c>
      <c r="AS5" s="1">
        <f>1/G5*#REF!</f>
        <v/>
      </c>
      <c r="AT5" s="1">
        <f>H5*AG5/G5</f>
        <v/>
      </c>
      <c r="AU5" s="1">
        <f>I5*AG5/G5</f>
        <v/>
      </c>
      <c r="AV5" s="1">
        <f>L5/(0.9*8760)</f>
        <v/>
      </c>
      <c r="AW5" s="1">
        <f>M5/(0.9*8760)</f>
        <v/>
      </c>
      <c r="AX5" s="1">
        <f>N5/G5</f>
        <v/>
      </c>
    </row>
    <row r="6">
      <c r="B6" s="5" t="inlineStr">
        <is>
          <t>NW_TSC</t>
        </is>
      </c>
      <c r="C6" s="5" t="inlineStr">
        <is>
          <t>Ethane</t>
        </is>
      </c>
      <c r="D6" s="5" t="n">
        <v>0</v>
      </c>
      <c r="E6" s="5" t="n">
        <v>0</v>
      </c>
      <c r="F6" s="5" t="n">
        <v>0</v>
      </c>
      <c r="G6" s="5" t="n">
        <v>0.05310189724</v>
      </c>
      <c r="H6" s="5" t="n">
        <v>0.02270169876</v>
      </c>
      <c r="I6" s="5" t="n">
        <v>0</v>
      </c>
      <c r="J6" s="5" t="n">
        <v>0</v>
      </c>
      <c r="K6" s="5" t="n"/>
      <c r="L6" s="5" t="n">
        <v>99124.32016</v>
      </c>
      <c r="M6" s="5" t="n">
        <v>54251.99777</v>
      </c>
      <c r="N6" s="5" t="n">
        <v>1.676159756</v>
      </c>
      <c r="P6" s="12" t="n">
        <v>99.913298</v>
      </c>
      <c r="Q6" s="4" t="n">
        <v>-5.280129</v>
      </c>
      <c r="R6" s="5" t="n"/>
      <c r="S6" s="5" t="n"/>
      <c r="T6" s="5" t="n"/>
      <c r="U6" s="5" t="n"/>
      <c r="V6" s="9" t="n"/>
      <c r="W6" s="9" t="n"/>
      <c r="X6" s="10" t="n"/>
      <c r="Y6" s="10" t="n"/>
      <c r="Z6" s="10" t="n"/>
      <c r="AA6" s="9" t="n"/>
      <c r="AB6" s="9" t="n"/>
      <c r="AC6" s="9" t="n"/>
      <c r="AD6" s="9" t="n"/>
      <c r="AE6" s="9" t="n"/>
      <c r="AF6" s="9" t="n"/>
      <c r="AG6" s="5" t="n"/>
      <c r="AH6" s="5" t="n"/>
      <c r="AJ6" s="1">
        <f>B6</f>
        <v/>
      </c>
      <c r="AK6" s="1">
        <f>C6</f>
        <v/>
      </c>
      <c r="AL6" s="8">
        <f>SUM(AP6:AX6)</f>
        <v/>
      </c>
      <c r="AM6" s="8">
        <f>SUM(AP6:AX6)</f>
        <v/>
      </c>
      <c r="AN6" s="8">
        <f>SUM(AP6:AX6)</f>
        <v/>
      </c>
      <c r="AO6" s="8">
        <f>SUM(AP6:AX6)</f>
        <v/>
      </c>
      <c r="AP6" s="8">
        <f>D6*Y6/G6</f>
        <v/>
      </c>
      <c r="AQ6" s="1">
        <f>E6*Y6/G6*-1</f>
        <v/>
      </c>
      <c r="AR6" s="1">
        <f>F6*X6/G6</f>
        <v/>
      </c>
      <c r="AS6" s="1">
        <f>1/G6*#REF!</f>
        <v/>
      </c>
      <c r="AT6" s="1">
        <f>H6*AG6/G6</f>
        <v/>
      </c>
      <c r="AU6" s="1">
        <f>I6*AG6/G6</f>
        <v/>
      </c>
      <c r="AV6" s="1">
        <f>L6/(0.9*8760)</f>
        <v/>
      </c>
      <c r="AW6" s="1">
        <f>M6/(0.9*8760)</f>
        <v/>
      </c>
      <c r="AX6" s="1">
        <f>N6/G6</f>
        <v/>
      </c>
    </row>
    <row r="7">
      <c r="B7" s="5" t="inlineStr">
        <is>
          <t>TX_TSC</t>
        </is>
      </c>
      <c r="C7" s="5" t="inlineStr">
        <is>
          <t>Ethane</t>
        </is>
      </c>
      <c r="D7" s="5" t="n">
        <v>0</v>
      </c>
      <c r="E7" s="5" t="n">
        <v>0</v>
      </c>
      <c r="F7" s="5" t="n">
        <v>0</v>
      </c>
      <c r="G7" s="5" t="n">
        <v>0.05310189724</v>
      </c>
      <c r="H7" s="5" t="n">
        <v>0.02270169876</v>
      </c>
      <c r="I7" s="5" t="n">
        <v>0</v>
      </c>
      <c r="J7" s="5" t="n">
        <v>0</v>
      </c>
      <c r="K7" s="5" t="n"/>
      <c r="L7" s="5" t="n">
        <v>99124.32016</v>
      </c>
      <c r="M7" s="5" t="n">
        <v>54251.99777</v>
      </c>
      <c r="N7" s="5" t="n">
        <v>1.676159756</v>
      </c>
      <c r="P7" s="12" t="n">
        <v>99.913298</v>
      </c>
      <c r="Q7" s="4" t="n">
        <v>-4.998843</v>
      </c>
      <c r="R7" s="5" t="n"/>
      <c r="S7" s="5" t="n"/>
      <c r="T7" s="5" t="n"/>
      <c r="U7" s="5" t="n"/>
      <c r="V7" s="9" t="n"/>
      <c r="W7" s="9" t="n"/>
      <c r="X7" s="10" t="n"/>
      <c r="Y7" s="10" t="n"/>
      <c r="Z7" s="10" t="n"/>
      <c r="AA7" s="9" t="n"/>
      <c r="AB7" s="9" t="n"/>
      <c r="AC7" s="9" t="n"/>
      <c r="AD7" s="9" t="n"/>
      <c r="AE7" s="9" t="n"/>
      <c r="AF7" s="9" t="n"/>
      <c r="AG7" s="5" t="n"/>
      <c r="AH7" s="5" t="n"/>
      <c r="AJ7" s="1">
        <f>B7</f>
        <v/>
      </c>
      <c r="AK7" s="1">
        <f>C7</f>
        <v/>
      </c>
      <c r="AL7" s="8">
        <f>SUM(AP7:AX7)</f>
        <v/>
      </c>
      <c r="AM7" s="8">
        <f>SUM(AP7:AX7)</f>
        <v/>
      </c>
      <c r="AN7" s="8">
        <f>SUM(AP7:AX7)</f>
        <v/>
      </c>
      <c r="AO7" s="8">
        <f>SUM(AP7:AX7)</f>
        <v/>
      </c>
      <c r="AP7" s="8">
        <f>D7*Y7/G7</f>
        <v/>
      </c>
      <c r="AQ7" s="1">
        <f>E7*Y7/G7*-1</f>
        <v/>
      </c>
      <c r="AR7" s="1">
        <f>F7*X7/G7</f>
        <v/>
      </c>
      <c r="AS7" s="1">
        <f>1/G7*#REF!</f>
        <v/>
      </c>
      <c r="AT7" s="1">
        <f>H7*AG7/G7</f>
        <v/>
      </c>
      <c r="AU7" s="1">
        <f>I7*AG7/G7</f>
        <v/>
      </c>
      <c r="AV7" s="1">
        <f>L7/(0.9*8760)</f>
        <v/>
      </c>
      <c r="AW7" s="1">
        <f>M7/(0.9*8760)</f>
        <v/>
      </c>
      <c r="AX7" s="1">
        <f>N7/G7</f>
        <v/>
      </c>
    </row>
    <row r="8">
      <c r="B8" s="5" t="inlineStr">
        <is>
          <t>NCEN_TSC</t>
        </is>
      </c>
      <c r="C8" s="5" t="inlineStr">
        <is>
          <t>Ethane</t>
        </is>
      </c>
      <c r="D8" s="5" t="n">
        <v>0</v>
      </c>
      <c r="E8" s="5" t="n">
        <v>0</v>
      </c>
      <c r="F8" s="5" t="n">
        <v>0</v>
      </c>
      <c r="G8" s="5" t="n">
        <v>0.05310189724</v>
      </c>
      <c r="H8" s="5" t="n">
        <v>0.02270169876</v>
      </c>
      <c r="I8" s="5" t="n">
        <v>0</v>
      </c>
      <c r="J8" s="5" t="n">
        <v>0</v>
      </c>
      <c r="K8" s="5" t="n"/>
      <c r="L8" s="5" t="n">
        <v>99124.32016</v>
      </c>
      <c r="M8" s="5" t="n">
        <v>54251.99777</v>
      </c>
      <c r="N8" s="5" t="n">
        <v>1.676159756</v>
      </c>
      <c r="P8" s="12" t="n">
        <v>99.913298</v>
      </c>
      <c r="Q8" s="4" t="n">
        <v>-6.08881</v>
      </c>
      <c r="R8" s="5" t="n"/>
      <c r="S8" s="5" t="n"/>
      <c r="T8" s="5" t="n"/>
      <c r="U8" s="5" t="n"/>
      <c r="V8" s="9" t="n"/>
      <c r="W8" s="9" t="n"/>
      <c r="X8" s="10" t="n"/>
      <c r="Y8" s="10" t="n"/>
      <c r="Z8" s="10" t="n"/>
      <c r="AA8" s="9" t="n"/>
      <c r="AB8" s="9" t="n"/>
      <c r="AC8" s="9" t="n"/>
      <c r="AD8" s="9" t="n"/>
      <c r="AE8" s="9" t="n"/>
      <c r="AF8" s="9" t="n"/>
      <c r="AG8" s="5" t="n"/>
      <c r="AH8" s="5" t="n"/>
      <c r="AJ8" s="1">
        <f>B8</f>
        <v/>
      </c>
      <c r="AK8" s="1">
        <f>C8</f>
        <v/>
      </c>
      <c r="AL8" s="8">
        <f>SUM(AP8:AX8)</f>
        <v/>
      </c>
      <c r="AM8" s="8">
        <f>SUM(AP8:AX8)</f>
        <v/>
      </c>
      <c r="AN8" s="8">
        <f>SUM(AP8:AX8)</f>
        <v/>
      </c>
      <c r="AO8" s="8">
        <f>SUM(AP8:AX8)</f>
        <v/>
      </c>
      <c r="AP8" s="8">
        <f>D8*Y8/G8</f>
        <v/>
      </c>
      <c r="AQ8" s="1">
        <f>E8*Y8/G8*-1</f>
        <v/>
      </c>
      <c r="AR8" s="1">
        <f>F8*X8/G8</f>
        <v/>
      </c>
      <c r="AS8" s="1">
        <f>1/G8*#REF!</f>
        <v/>
      </c>
      <c r="AT8" s="1">
        <f>H8*AG8/G8</f>
        <v/>
      </c>
      <c r="AU8" s="1">
        <f>I8*AG8/G8</f>
        <v/>
      </c>
      <c r="AV8" s="1">
        <f>L8/(0.9*8760)</f>
        <v/>
      </c>
      <c r="AW8" s="1">
        <f>M8/(0.9*8760)</f>
        <v/>
      </c>
      <c r="AX8" s="1">
        <f>N8/G8</f>
        <v/>
      </c>
    </row>
    <row r="9">
      <c r="B9" s="5" t="inlineStr">
        <is>
          <t>CEN_TSC</t>
        </is>
      </c>
      <c r="C9" s="5" t="inlineStr">
        <is>
          <t>Ethane</t>
        </is>
      </c>
      <c r="D9" s="5" t="n">
        <v>0</v>
      </c>
      <c r="E9" s="5" t="n">
        <v>0</v>
      </c>
      <c r="F9" s="5" t="n">
        <v>0</v>
      </c>
      <c r="G9" s="5" t="n">
        <v>0.05310189724</v>
      </c>
      <c r="H9" s="5" t="n">
        <v>0.02270169876</v>
      </c>
      <c r="I9" s="5" t="n">
        <v>0</v>
      </c>
      <c r="J9" s="5" t="n">
        <v>0</v>
      </c>
      <c r="K9" s="5" t="n"/>
      <c r="L9" s="5" t="n">
        <v>99124.32016</v>
      </c>
      <c r="M9" s="5" t="n">
        <v>54251.99777</v>
      </c>
      <c r="N9" s="5" t="n">
        <v>1.676159756</v>
      </c>
      <c r="P9" s="12" t="n">
        <v>99.913298</v>
      </c>
      <c r="Q9" s="4" t="n">
        <v>-6.197641</v>
      </c>
      <c r="R9" s="5" t="n"/>
      <c r="S9" s="5" t="n"/>
      <c r="T9" s="5" t="n"/>
      <c r="U9" s="5" t="n"/>
      <c r="V9" s="9" t="n"/>
      <c r="W9" s="9" t="n"/>
      <c r="X9" s="10" t="n"/>
      <c r="Y9" s="10" t="n"/>
      <c r="Z9" s="10" t="n"/>
      <c r="AA9" s="9" t="n"/>
      <c r="AB9" s="9" t="n"/>
      <c r="AC9" s="9" t="n"/>
      <c r="AD9" s="9" t="n"/>
      <c r="AE9" s="9" t="n"/>
      <c r="AF9" s="9" t="n"/>
      <c r="AG9" s="5" t="n"/>
      <c r="AH9" s="5" t="n"/>
      <c r="AJ9" s="1">
        <f>B9</f>
        <v/>
      </c>
      <c r="AK9" s="1">
        <f>C9</f>
        <v/>
      </c>
      <c r="AL9" s="8">
        <f>SUM(AP9:AX9)</f>
        <v/>
      </c>
      <c r="AM9" s="8">
        <f>SUM(AP9:AX9)</f>
        <v/>
      </c>
      <c r="AN9" s="8">
        <f>SUM(AP9:AX9)</f>
        <v/>
      </c>
      <c r="AO9" s="8">
        <f>SUM(AP9:AX9)</f>
        <v/>
      </c>
      <c r="AP9" s="8">
        <f>D9*Y9/G9</f>
        <v/>
      </c>
      <c r="AQ9" s="1">
        <f>E9*Y9/G9*-1</f>
        <v/>
      </c>
      <c r="AR9" s="1">
        <f>F9*X9/G9</f>
        <v/>
      </c>
      <c r="AS9" s="1">
        <f>1/G9*#REF!</f>
        <v/>
      </c>
      <c r="AT9" s="1">
        <f>H9*AG9/G9</f>
        <v/>
      </c>
      <c r="AU9" s="1">
        <f>I9*AG9/G9</f>
        <v/>
      </c>
      <c r="AV9" s="1">
        <f>L9/(0.9*8760)</f>
        <v/>
      </c>
      <c r="AW9" s="1">
        <f>M9/(0.9*8760)</f>
        <v/>
      </c>
      <c r="AX9" s="1">
        <f>N9/G9</f>
        <v/>
      </c>
    </row>
    <row r="10">
      <c r="B10" s="5" t="inlineStr">
        <is>
          <t>SE_TSC</t>
        </is>
      </c>
      <c r="C10" s="5" t="inlineStr">
        <is>
          <t>Ethane</t>
        </is>
      </c>
      <c r="D10" s="5" t="n">
        <v>0</v>
      </c>
      <c r="E10" s="5" t="n">
        <v>0</v>
      </c>
      <c r="F10" s="5" t="n">
        <v>0</v>
      </c>
      <c r="G10" s="5" t="n">
        <v>0.05310189724</v>
      </c>
      <c r="H10" s="5" t="n">
        <v>0.02270169876</v>
      </c>
      <c r="I10" s="5" t="n">
        <v>0</v>
      </c>
      <c r="J10" s="5" t="n">
        <v>0</v>
      </c>
      <c r="K10" s="5" t="n"/>
      <c r="L10" s="5" t="n">
        <v>99124.32016</v>
      </c>
      <c r="M10" s="5" t="n">
        <v>54251.99777</v>
      </c>
      <c r="N10" s="5" t="n">
        <v>1.676159756</v>
      </c>
      <c r="P10" s="12" t="n">
        <v>99.913298</v>
      </c>
      <c r="Q10" s="4" t="n">
        <v>-6.084348</v>
      </c>
      <c r="R10" s="5" t="n"/>
      <c r="S10" s="5" t="n"/>
      <c r="T10" s="5" t="n"/>
      <c r="U10" s="5" t="n"/>
      <c r="V10" s="9" t="n"/>
      <c r="W10" s="9" t="n"/>
      <c r="X10" s="10" t="n"/>
      <c r="Y10" s="10" t="n"/>
      <c r="Z10" s="10" t="n"/>
      <c r="AA10" s="9" t="n"/>
      <c r="AB10" s="9" t="n"/>
      <c r="AC10" s="9" t="n"/>
      <c r="AD10" s="9" t="n"/>
      <c r="AE10" s="9" t="n"/>
      <c r="AF10" s="9" t="n"/>
      <c r="AG10" s="5" t="n"/>
      <c r="AH10" s="5" t="n"/>
      <c r="AJ10" s="1">
        <f>B10</f>
        <v/>
      </c>
      <c r="AK10" s="1">
        <f>C10</f>
        <v/>
      </c>
      <c r="AL10" s="8">
        <f>SUM(AP10:AX10)</f>
        <v/>
      </c>
      <c r="AM10" s="8">
        <f>SUM(AP10:AX10)</f>
        <v/>
      </c>
      <c r="AN10" s="8">
        <f>SUM(AP10:AX10)</f>
        <v/>
      </c>
      <c r="AO10" s="8">
        <f>SUM(AP10:AX10)</f>
        <v/>
      </c>
      <c r="AP10" s="8">
        <f>D10*Y10/G10</f>
        <v/>
      </c>
      <c r="AQ10" s="1">
        <f>E10*Y10/G10*-1</f>
        <v/>
      </c>
      <c r="AR10" s="1">
        <f>F10*X10/G10</f>
        <v/>
      </c>
      <c r="AS10" s="1">
        <f>1/G10*#REF!</f>
        <v/>
      </c>
      <c r="AT10" s="1">
        <f>H10*AG10/G10</f>
        <v/>
      </c>
      <c r="AU10" s="1">
        <f>I10*AG10/G10</f>
        <v/>
      </c>
      <c r="AV10" s="1">
        <f>L10/(0.9*8760)</f>
        <v/>
      </c>
      <c r="AW10" s="1">
        <f>M10/(0.9*8760)</f>
        <v/>
      </c>
      <c r="AX10" s="1">
        <f>N10/G10</f>
        <v/>
      </c>
    </row>
    <row r="11">
      <c r="B11" s="5" t="inlineStr">
        <is>
          <t>MIDAT_TSC</t>
        </is>
      </c>
      <c r="C11" s="5" t="inlineStr">
        <is>
          <t>Ethane</t>
        </is>
      </c>
      <c r="D11" s="5" t="n">
        <v>0</v>
      </c>
      <c r="E11" s="5" t="n">
        <v>0</v>
      </c>
      <c r="F11" s="5" t="n">
        <v>0</v>
      </c>
      <c r="G11" s="5" t="n">
        <v>0.05310189724</v>
      </c>
      <c r="H11" s="5" t="n">
        <v>0.02270169876</v>
      </c>
      <c r="I11" s="5" t="n">
        <v>0</v>
      </c>
      <c r="J11" s="5" t="n">
        <v>0</v>
      </c>
      <c r="K11" s="5" t="n"/>
      <c r="L11" s="5" t="n">
        <v>99124.32016</v>
      </c>
      <c r="M11" s="5" t="n">
        <v>54251.99777</v>
      </c>
      <c r="N11" s="5" t="n">
        <v>1.676159756</v>
      </c>
      <c r="P11" s="12" t="n">
        <v>99.913298</v>
      </c>
      <c r="Q11" s="4" t="n">
        <v>-15.650257</v>
      </c>
      <c r="R11" s="5" t="n"/>
      <c r="S11" s="5" t="n"/>
      <c r="T11" s="5" t="n"/>
      <c r="U11" s="5" t="n"/>
      <c r="V11" s="9" t="n"/>
      <c r="W11" s="9" t="n"/>
      <c r="X11" s="10" t="n"/>
      <c r="Y11" s="10" t="n"/>
      <c r="Z11" s="10" t="n"/>
      <c r="AA11" s="9" t="n"/>
      <c r="AB11" s="9" t="n"/>
      <c r="AC11" s="9" t="n"/>
      <c r="AD11" s="9" t="n"/>
      <c r="AE11" s="9" t="n"/>
      <c r="AF11" s="9" t="n"/>
      <c r="AG11" s="5" t="n"/>
      <c r="AH11" s="5" t="n"/>
      <c r="AJ11" s="1">
        <f>B11</f>
        <v/>
      </c>
      <c r="AK11" s="1">
        <f>C11</f>
        <v/>
      </c>
      <c r="AL11" s="8">
        <f>SUM(AP11:AX11)</f>
        <v/>
      </c>
      <c r="AM11" s="8">
        <f>SUM(AP11:AX11)</f>
        <v/>
      </c>
      <c r="AN11" s="8">
        <f>SUM(AP11:AX11)</f>
        <v/>
      </c>
      <c r="AO11" s="8">
        <f>SUM(AP11:AX11)</f>
        <v/>
      </c>
      <c r="AP11" s="8">
        <f>D11*Y11/G11</f>
        <v/>
      </c>
      <c r="AQ11" s="1">
        <f>E11*Y11/G11*-1</f>
        <v/>
      </c>
      <c r="AR11" s="1">
        <f>F11*X11/G11</f>
        <v/>
      </c>
      <c r="AS11" s="1">
        <f>1/G11*#REF!</f>
        <v/>
      </c>
      <c r="AT11" s="1">
        <f>H11*AG11/G11</f>
        <v/>
      </c>
      <c r="AU11" s="1">
        <f>I11*AG11/G11</f>
        <v/>
      </c>
      <c r="AV11" s="1">
        <f>L11/(0.9*8760)</f>
        <v/>
      </c>
      <c r="AW11" s="1">
        <f>M11/(0.9*8760)</f>
        <v/>
      </c>
      <c r="AX11" s="1">
        <f>N11/G11</f>
        <v/>
      </c>
    </row>
    <row r="12">
      <c r="B12" s="5" t="inlineStr">
        <is>
          <t>NE_TSC</t>
        </is>
      </c>
      <c r="C12" s="5" t="inlineStr">
        <is>
          <t>Ethane</t>
        </is>
      </c>
      <c r="D12" s="5" t="n">
        <v>0</v>
      </c>
      <c r="E12" s="5" t="n">
        <v>0</v>
      </c>
      <c r="F12" s="5" t="n">
        <v>0</v>
      </c>
      <c r="G12" s="5" t="n">
        <v>0.05310189724</v>
      </c>
      <c r="H12" s="5" t="n">
        <v>0.02270169876</v>
      </c>
      <c r="I12" s="5" t="n">
        <v>0</v>
      </c>
      <c r="J12" s="5" t="n">
        <v>0</v>
      </c>
      <c r="K12" s="5" t="n"/>
      <c r="L12" s="5" t="n">
        <v>99124.32016</v>
      </c>
      <c r="M12" s="5" t="n">
        <v>54251.99777</v>
      </c>
      <c r="N12" s="5" t="n">
        <v>1.676159756</v>
      </c>
      <c r="P12" s="12" t="n">
        <v>99.913298</v>
      </c>
      <c r="Q12" s="4" t="n">
        <v>-21.727401</v>
      </c>
      <c r="R12" s="5" t="n"/>
      <c r="S12" s="5" t="n"/>
      <c r="T12" s="5" t="n"/>
      <c r="U12" s="5" t="n"/>
      <c r="V12" s="9" t="n"/>
      <c r="W12" s="9" t="n"/>
      <c r="X12" s="10" t="n"/>
      <c r="Y12" s="10" t="n"/>
      <c r="Z12" s="10" t="n"/>
      <c r="AA12" s="9" t="n"/>
      <c r="AB12" s="9" t="n"/>
      <c r="AC12" s="9" t="n"/>
      <c r="AD12" s="9" t="n"/>
      <c r="AE12" s="9" t="n"/>
      <c r="AF12" s="9" t="n"/>
      <c r="AG12" s="5" t="n"/>
      <c r="AH12" s="5" t="n"/>
      <c r="AJ12" s="1">
        <f>B12</f>
        <v/>
      </c>
      <c r="AK12" s="1">
        <f>C12</f>
        <v/>
      </c>
      <c r="AL12" s="8">
        <f>SUM(AP12:AX12)</f>
        <v/>
      </c>
      <c r="AM12" s="8">
        <f>SUM(AP12:AX12)</f>
        <v/>
      </c>
      <c r="AN12" s="8">
        <f>SUM(AP12:AX12)</f>
        <v/>
      </c>
      <c r="AO12" s="8">
        <f>SUM(AP12:AX12)</f>
        <v/>
      </c>
      <c r="AP12" s="8">
        <f>D12*Y12/G12</f>
        <v/>
      </c>
      <c r="AQ12" s="1">
        <f>E12*Y12/G12*-1</f>
        <v/>
      </c>
      <c r="AR12" s="1">
        <f>F12*X12/G12</f>
        <v/>
      </c>
      <c r="AS12" s="1">
        <f>1/G12*#REF!</f>
        <v/>
      </c>
      <c r="AT12" s="1">
        <f>H12*AG12/G12</f>
        <v/>
      </c>
      <c r="AU12" s="1">
        <f>I12*AG12/G12</f>
        <v/>
      </c>
      <c r="AV12" s="1">
        <f>L12/(0.9*8760)</f>
        <v/>
      </c>
      <c r="AW12" s="1">
        <f>M12/(0.9*8760)</f>
        <v/>
      </c>
      <c r="AX12" s="1">
        <f>N12/G12</f>
        <v/>
      </c>
    </row>
    <row r="13">
      <c r="B13" s="5" t="inlineStr">
        <is>
          <t>CA_TSC+CC90</t>
        </is>
      </c>
      <c r="C13" s="5" t="inlineStr">
        <is>
          <t>Ethane</t>
        </is>
      </c>
      <c r="D13" s="5" t="n">
        <v>0</v>
      </c>
      <c r="E13" s="5" t="n">
        <v>0</v>
      </c>
      <c r="F13" s="5" t="n">
        <v>0.008052966438000001</v>
      </c>
      <c r="G13" s="5" t="n">
        <v>0.05310189724</v>
      </c>
      <c r="H13" s="5" t="n">
        <v>0.02270169876</v>
      </c>
      <c r="I13" s="5" t="n">
        <v>0</v>
      </c>
      <c r="J13" s="5" t="n">
        <v>0.0241051226</v>
      </c>
      <c r="K13" s="5" t="n"/>
      <c r="L13" s="5" t="n">
        <v>106875.1697</v>
      </c>
      <c r="M13" s="5" t="n">
        <v>58496.38728</v>
      </c>
      <c r="N13" s="5" t="n">
        <v>1.807224085</v>
      </c>
      <c r="P13" s="12" t="n">
        <v>99.913298</v>
      </c>
      <c r="Q13" s="4" t="n">
        <v>-5.387721</v>
      </c>
      <c r="R13" s="5" t="n"/>
      <c r="S13" s="5" t="n"/>
      <c r="T13" s="5" t="n"/>
      <c r="U13" s="5" t="n"/>
      <c r="V13" s="9" t="n"/>
      <c r="W13" s="9" t="n"/>
      <c r="X13" s="10" t="n"/>
      <c r="Y13" s="10" t="n"/>
      <c r="Z13" s="10" t="n"/>
      <c r="AA13" s="9" t="n"/>
      <c r="AB13" s="9" t="n"/>
      <c r="AC13" s="9" t="n"/>
      <c r="AD13" s="9" t="n"/>
      <c r="AE13" s="9" t="n"/>
      <c r="AF13" s="9" t="n"/>
      <c r="AG13" s="5" t="n"/>
      <c r="AH13" s="5" t="n"/>
      <c r="AJ13" s="1">
        <f>B13</f>
        <v/>
      </c>
      <c r="AK13" s="1">
        <f>C13</f>
        <v/>
      </c>
      <c r="AL13" s="8">
        <f>SUM(AP13:AX13)</f>
        <v/>
      </c>
      <c r="AM13" s="8">
        <f>SUM(AP13:AX13)</f>
        <v/>
      </c>
      <c r="AN13" s="8">
        <f>SUM(AP13:AX13)</f>
        <v/>
      </c>
      <c r="AO13" s="8">
        <f>SUM(AP13:AX13)</f>
        <v/>
      </c>
      <c r="AP13" s="8">
        <f>D13*Y13/G13</f>
        <v/>
      </c>
      <c r="AQ13" s="1">
        <f>E13*Y13/G13*-1</f>
        <v/>
      </c>
      <c r="AR13" s="1">
        <f>F13*X13/G13</f>
        <v/>
      </c>
      <c r="AS13" s="1">
        <f>1/G13*#REF!</f>
        <v/>
      </c>
      <c r="AT13" s="1">
        <f>H13*AG13/G13</f>
        <v/>
      </c>
      <c r="AU13" s="1">
        <f>I13*AG13/G13</f>
        <v/>
      </c>
      <c r="AV13" s="1">
        <f>L13/(0.9*8760)</f>
        <v/>
      </c>
      <c r="AW13" s="1">
        <f>M13/(0.9*8760)</f>
        <v/>
      </c>
      <c r="AX13" s="1">
        <f>N13/G13</f>
        <v/>
      </c>
    </row>
    <row r="14">
      <c r="B14" s="5" t="inlineStr">
        <is>
          <t>CA_TSC:H2</t>
        </is>
      </c>
      <c r="C14" s="5" t="inlineStr">
        <is>
          <t>Ethane</t>
        </is>
      </c>
      <c r="D14" s="5" t="n">
        <v>0</v>
      </c>
      <c r="E14" s="5" t="n">
        <v>0.1598531434</v>
      </c>
      <c r="F14" s="5" t="n">
        <v>0</v>
      </c>
      <c r="G14" s="5" t="n">
        <v>0.05310189724</v>
      </c>
      <c r="H14" s="5" t="n">
        <v>0.1318322859</v>
      </c>
      <c r="I14" s="5" t="n">
        <v>0</v>
      </c>
      <c r="J14" s="5" t="n">
        <v>0</v>
      </c>
      <c r="K14" s="5" t="n"/>
      <c r="L14" s="5" t="n">
        <v>99124.32016</v>
      </c>
      <c r="M14" s="5" t="n">
        <v>54251.99777</v>
      </c>
      <c r="N14" s="5" t="n">
        <v>1.676159756</v>
      </c>
      <c r="P14" s="12" t="n">
        <v>99.913298</v>
      </c>
      <c r="Q14" s="4" t="n">
        <v>-5.387721</v>
      </c>
      <c r="R14" s="5" t="n"/>
      <c r="S14" s="5" t="n"/>
      <c r="T14" s="5" t="n"/>
      <c r="U14" s="5" t="n"/>
      <c r="V14" s="9" t="n"/>
      <c r="W14" s="9" t="n"/>
      <c r="X14" s="10" t="n"/>
      <c r="Y14" s="10" t="n"/>
      <c r="Z14" s="10" t="n"/>
      <c r="AA14" s="9" t="n"/>
      <c r="AB14" s="9" t="n"/>
      <c r="AC14" s="9" t="n"/>
      <c r="AD14" s="9" t="n"/>
      <c r="AE14" s="9" t="n"/>
      <c r="AF14" s="9" t="n"/>
      <c r="AG14" s="5" t="n"/>
      <c r="AH14" s="5" t="n"/>
      <c r="AJ14" s="1">
        <f>B14</f>
        <v/>
      </c>
      <c r="AK14" s="1">
        <f>C14</f>
        <v/>
      </c>
      <c r="AL14" s="8">
        <f>SUM(AP14:AX14)</f>
        <v/>
      </c>
      <c r="AM14" s="8">
        <f>SUM(AP14:AX14)</f>
        <v/>
      </c>
      <c r="AN14" s="8">
        <f>SUM(AP14:AX14)</f>
        <v/>
      </c>
      <c r="AO14" s="8">
        <f>SUM(AP14:AX14)</f>
        <v/>
      </c>
      <c r="AP14" s="8">
        <f>D14*Y14/G14</f>
        <v/>
      </c>
      <c r="AQ14" s="1">
        <f>E14*Y14/G14*-1</f>
        <v/>
      </c>
      <c r="AR14" s="1">
        <f>F14*X14/G14</f>
        <v/>
      </c>
      <c r="AS14" s="1">
        <f>1/G14*#REF!</f>
        <v/>
      </c>
      <c r="AT14" s="1">
        <f>H14*AG14/G14</f>
        <v/>
      </c>
      <c r="AU14" s="1">
        <f>I14*AG14/G14</f>
        <v/>
      </c>
      <c r="AV14" s="1">
        <f>L14/(0.9*8760)</f>
        <v/>
      </c>
      <c r="AW14" s="1">
        <f>M14/(0.9*8760)</f>
        <v/>
      </c>
      <c r="AX14" s="1">
        <f>N14/G14</f>
        <v/>
      </c>
    </row>
    <row r="15">
      <c r="B15" s="5" t="inlineStr">
        <is>
          <t>CA_TSC+CC90:H2</t>
        </is>
      </c>
      <c r="C15" s="5" t="inlineStr">
        <is>
          <t>Ethane</t>
        </is>
      </c>
      <c r="D15" s="5" t="n">
        <v>0</v>
      </c>
      <c r="E15" s="5" t="n">
        <v>0.1598531434</v>
      </c>
      <c r="F15" s="5" t="n">
        <v>0.009388736698</v>
      </c>
      <c r="G15" s="5" t="n">
        <v>0.05310189724</v>
      </c>
      <c r="H15" s="5" t="n">
        <v>0.1318322859</v>
      </c>
      <c r="I15" s="5" t="n">
        <v>0</v>
      </c>
      <c r="J15" s="5" t="n">
        <v>0.04188723326</v>
      </c>
      <c r="K15" s="5" t="n"/>
      <c r="L15" s="5" t="n">
        <v>106900.9741</v>
      </c>
      <c r="M15" s="5" t="n">
        <v>58510.18581</v>
      </c>
      <c r="N15" s="5" t="n">
        <v>1.807660423</v>
      </c>
      <c r="P15" s="12" t="n">
        <v>99.913298</v>
      </c>
      <c r="Q15" s="4" t="n">
        <v>-5.387721</v>
      </c>
      <c r="R15" s="5" t="n"/>
      <c r="S15" s="5" t="n"/>
      <c r="T15" s="5" t="n"/>
      <c r="U15" s="5" t="n"/>
      <c r="V15" s="9" t="n"/>
      <c r="W15" s="9" t="n"/>
      <c r="X15" s="10" t="n"/>
      <c r="Y15" s="10" t="n"/>
      <c r="Z15" s="10" t="n"/>
      <c r="AA15" s="9" t="n"/>
      <c r="AB15" s="9" t="n"/>
      <c r="AC15" s="9" t="n"/>
      <c r="AD15" s="9" t="n"/>
      <c r="AE15" s="9" t="n"/>
      <c r="AF15" s="9" t="n"/>
      <c r="AG15" s="5" t="n"/>
      <c r="AH15" s="5" t="n"/>
      <c r="AJ15" s="1">
        <f>B15</f>
        <v/>
      </c>
      <c r="AK15" s="1">
        <f>C15</f>
        <v/>
      </c>
      <c r="AL15" s="8">
        <f>SUM(AP15:AX15)</f>
        <v/>
      </c>
      <c r="AM15" s="8">
        <f>SUM(AP15:AX15)</f>
        <v/>
      </c>
      <c r="AN15" s="8">
        <f>SUM(AP15:AX15)</f>
        <v/>
      </c>
      <c r="AO15" s="8">
        <f>SUM(AP15:AX15)</f>
        <v/>
      </c>
      <c r="AP15" s="8">
        <f>D15*Y15/G15</f>
        <v/>
      </c>
      <c r="AQ15" s="1">
        <f>E15*Y15/G15*-1</f>
        <v/>
      </c>
      <c r="AR15" s="1">
        <f>F15*X15/G15</f>
        <v/>
      </c>
      <c r="AS15" s="1">
        <f>1/G15*#REF!</f>
        <v/>
      </c>
      <c r="AT15" s="1">
        <f>H15*AG15/G15</f>
        <v/>
      </c>
      <c r="AU15" s="1">
        <f>I15*AG15/G15</f>
        <v/>
      </c>
      <c r="AV15" s="1">
        <f>L15/(0.9*8760)</f>
        <v/>
      </c>
      <c r="AW15" s="1">
        <f>M15/(0.9*8760)</f>
        <v/>
      </c>
      <c r="AX15" s="1">
        <f>N15/G15</f>
        <v/>
      </c>
    </row>
    <row r="16">
      <c r="B16" s="5" t="inlineStr">
        <is>
          <t>CA_TSC+H2in</t>
        </is>
      </c>
      <c r="C16" s="5" t="inlineStr">
        <is>
          <t>Ethane</t>
        </is>
      </c>
      <c r="D16" s="5" t="n">
        <v>0.02226644157</v>
      </c>
      <c r="E16" s="5" t="n">
        <v>0</v>
      </c>
      <c r="F16" s="5" t="n">
        <v>0</v>
      </c>
      <c r="G16" s="5" t="n">
        <v>0.05310189724</v>
      </c>
      <c r="H16" s="5" t="n">
        <v>0</v>
      </c>
      <c r="I16" s="5" t="n">
        <v>0</v>
      </c>
      <c r="J16" s="5" t="n">
        <v>0</v>
      </c>
      <c r="K16" s="5" t="n"/>
      <c r="L16" s="5" t="n">
        <v>99124.32016</v>
      </c>
      <c r="M16" s="5" t="n">
        <v>54251.99777</v>
      </c>
      <c r="N16" s="5" t="n">
        <v>1.676159756</v>
      </c>
      <c r="P16" s="12" t="n">
        <v>99.913298</v>
      </c>
      <c r="Q16" s="4" t="n">
        <v>-5.387721</v>
      </c>
      <c r="R16" s="5" t="n"/>
      <c r="S16" s="5" t="n"/>
      <c r="T16" s="5" t="n"/>
      <c r="U16" s="5" t="n"/>
      <c r="V16" s="9" t="n"/>
      <c r="W16" s="9" t="n"/>
      <c r="X16" s="10" t="n"/>
      <c r="Y16" s="10" t="n"/>
      <c r="Z16" s="10" t="n"/>
      <c r="AA16" s="9" t="n"/>
      <c r="AB16" s="9" t="n"/>
      <c r="AC16" s="9" t="n"/>
      <c r="AD16" s="9" t="n"/>
      <c r="AE16" s="9" t="n"/>
      <c r="AF16" s="9" t="n"/>
      <c r="AG16" s="5" t="n"/>
      <c r="AH16" s="5" t="n"/>
      <c r="AJ16" s="1">
        <f>B16</f>
        <v/>
      </c>
      <c r="AK16" s="1">
        <f>C16</f>
        <v/>
      </c>
      <c r="AL16" s="8">
        <f>SUM(AP16:AX16)</f>
        <v/>
      </c>
      <c r="AM16" s="8">
        <f>SUM(AP16:AX16)</f>
        <v/>
      </c>
      <c r="AN16" s="8">
        <f>SUM(AP16:AX16)</f>
        <v/>
      </c>
      <c r="AO16" s="8">
        <f>SUM(AP16:AX16)</f>
        <v/>
      </c>
      <c r="AP16" s="8">
        <f>D16*Y16/G16</f>
        <v/>
      </c>
      <c r="AQ16" s="1">
        <f>E16*Y16/G16*-1</f>
        <v/>
      </c>
      <c r="AR16" s="1">
        <f>F16*X16/G16</f>
        <v/>
      </c>
      <c r="AS16" s="1">
        <f>1/G16*#REF!</f>
        <v/>
      </c>
      <c r="AT16" s="1">
        <f>H16*AG16/G16</f>
        <v/>
      </c>
      <c r="AU16" s="1">
        <f>I16*AG16/G16</f>
        <v/>
      </c>
      <c r="AV16" s="1">
        <f>L16/(0.9*8760)</f>
        <v/>
      </c>
      <c r="AW16" s="1">
        <f>M16/(0.9*8760)</f>
        <v/>
      </c>
      <c r="AX16" s="1">
        <f>N16/G16</f>
        <v/>
      </c>
    </row>
    <row r="17">
      <c r="B17" s="5" t="inlineStr">
        <is>
          <t>CA_TSC+H2in:CH4</t>
        </is>
      </c>
      <c r="C17" s="5" t="inlineStr">
        <is>
          <t>Ethane</t>
        </is>
      </c>
      <c r="D17" s="5" t="n">
        <v>0.1375867019</v>
      </c>
      <c r="E17" s="5" t="n">
        <v>0</v>
      </c>
      <c r="F17" s="5" t="n">
        <v>0</v>
      </c>
      <c r="G17" s="5" t="n">
        <v>0.05310189724</v>
      </c>
      <c r="H17" s="5" t="n">
        <v>0</v>
      </c>
      <c r="I17" s="5" t="n">
        <v>0.1181424966</v>
      </c>
      <c r="J17" s="5" t="n">
        <v>0</v>
      </c>
      <c r="K17" s="5" t="n"/>
      <c r="L17" s="5" t="n">
        <v>99124.32016</v>
      </c>
      <c r="M17" s="5" t="n">
        <v>54251.99777</v>
      </c>
      <c r="N17" s="5" t="n">
        <v>1.676159756</v>
      </c>
      <c r="P17" s="12" t="n">
        <v>99.913298</v>
      </c>
      <c r="Q17" s="4" t="n">
        <v>-5.387721</v>
      </c>
      <c r="R17" s="5" t="n"/>
      <c r="S17" s="5" t="n"/>
      <c r="T17" s="5" t="n"/>
      <c r="U17" s="5" t="n"/>
      <c r="V17" s="9" t="n"/>
      <c r="W17" s="9" t="n"/>
      <c r="X17" s="10" t="n"/>
      <c r="Y17" s="10" t="n"/>
      <c r="Z17" s="10" t="n"/>
      <c r="AA17" s="9" t="n"/>
      <c r="AB17" s="9" t="n"/>
      <c r="AC17" s="9" t="n"/>
      <c r="AD17" s="9" t="n"/>
      <c r="AE17" s="9" t="n"/>
      <c r="AF17" s="9" t="n"/>
      <c r="AG17" s="5" t="n"/>
      <c r="AH17" s="5" t="n"/>
      <c r="AJ17" s="1">
        <f>B17</f>
        <v/>
      </c>
      <c r="AK17" s="1">
        <f>C17</f>
        <v/>
      </c>
      <c r="AL17" s="8">
        <f>SUM(AP17:AX17)</f>
        <v/>
      </c>
      <c r="AM17" s="8">
        <f>SUM(AP17:AX17)</f>
        <v/>
      </c>
      <c r="AN17" s="8">
        <f>SUM(AP17:AX17)</f>
        <v/>
      </c>
      <c r="AO17" s="8">
        <f>SUM(AP17:AX17)</f>
        <v/>
      </c>
      <c r="AP17" s="8">
        <f>D17*Y17/G17</f>
        <v/>
      </c>
      <c r="AQ17" s="1">
        <f>E17*Y17/G17*-1</f>
        <v/>
      </c>
      <c r="AR17" s="1">
        <f>F17*X17/G17</f>
        <v/>
      </c>
      <c r="AS17" s="1">
        <f>1/G17*#REF!</f>
        <v/>
      </c>
      <c r="AT17" s="1">
        <f>H17*AG17/G17</f>
        <v/>
      </c>
      <c r="AU17" s="1">
        <f>I17*AG17/G17</f>
        <v/>
      </c>
      <c r="AV17" s="1">
        <f>L17/(0.9*8760)</f>
        <v/>
      </c>
      <c r="AW17" s="1">
        <f>M17/(0.9*8760)</f>
        <v/>
      </c>
      <c r="AX17" s="1">
        <f>N17/G17</f>
        <v/>
      </c>
    </row>
    <row r="18">
      <c r="B18" s="5" t="inlineStr">
        <is>
          <t>SW_TSC+CC90</t>
        </is>
      </c>
      <c r="C18" s="5" t="inlineStr">
        <is>
          <t>Ethane</t>
        </is>
      </c>
      <c r="D18" s="5" t="n">
        <v>0</v>
      </c>
      <c r="E18" s="5" t="n">
        <v>0</v>
      </c>
      <c r="F18" s="5" t="n">
        <v>0.008052966438000001</v>
      </c>
      <c r="G18" s="5" t="n">
        <v>0.05310189724</v>
      </c>
      <c r="H18" s="5" t="n">
        <v>0.02270169876</v>
      </c>
      <c r="I18" s="5" t="n">
        <v>0</v>
      </c>
      <c r="J18" s="5" t="n">
        <v>0.0241051226</v>
      </c>
      <c r="K18" s="5" t="n"/>
      <c r="L18" s="5" t="n">
        <v>106875.1697</v>
      </c>
      <c r="M18" s="5" t="n">
        <v>58496.38728</v>
      </c>
      <c r="N18" s="5" t="n">
        <v>1.807224085</v>
      </c>
      <c r="P18" s="12" t="n">
        <v>99.913298</v>
      </c>
      <c r="Q18" s="4" t="n">
        <v>-5.321206</v>
      </c>
      <c r="R18" s="5" t="n"/>
      <c r="S18" s="5" t="n"/>
      <c r="T18" s="5" t="n"/>
      <c r="U18" s="5" t="n"/>
      <c r="V18" s="9" t="n"/>
      <c r="W18" s="9" t="n"/>
      <c r="X18" s="10" t="n"/>
      <c r="Y18" s="10" t="n"/>
      <c r="Z18" s="10" t="n"/>
      <c r="AA18" s="9" t="n"/>
      <c r="AB18" s="9" t="n"/>
      <c r="AC18" s="9" t="n"/>
      <c r="AD18" s="9" t="n"/>
      <c r="AE18" s="9" t="n"/>
      <c r="AF18" s="9" t="n"/>
      <c r="AG18" s="5" t="n"/>
      <c r="AH18" s="5" t="n"/>
      <c r="AJ18" s="1">
        <f>B18</f>
        <v/>
      </c>
      <c r="AK18" s="1">
        <f>C18</f>
        <v/>
      </c>
      <c r="AL18" s="8">
        <f>SUM(AP18:AX18)</f>
        <v/>
      </c>
      <c r="AM18" s="8">
        <f>SUM(AP18:AX18)</f>
        <v/>
      </c>
      <c r="AN18" s="8">
        <f>SUM(AP18:AX18)</f>
        <v/>
      </c>
      <c r="AO18" s="8">
        <f>SUM(AP18:AX18)</f>
        <v/>
      </c>
      <c r="AP18" s="8">
        <f>D18*Y18/G18</f>
        <v/>
      </c>
      <c r="AQ18" s="1">
        <f>E18*Y18/G18*-1</f>
        <v/>
      </c>
      <c r="AR18" s="1">
        <f>F18*X18/G18</f>
        <v/>
      </c>
      <c r="AS18" s="1">
        <f>1/G18*#REF!</f>
        <v/>
      </c>
      <c r="AT18" s="1">
        <f>H18*AG18/G18</f>
        <v/>
      </c>
      <c r="AU18" s="1">
        <f>I18*AG18/G18</f>
        <v/>
      </c>
      <c r="AV18" s="1">
        <f>L18/(0.9*8760)</f>
        <v/>
      </c>
      <c r="AW18" s="1">
        <f>M18/(0.9*8760)</f>
        <v/>
      </c>
      <c r="AX18" s="1">
        <f>N18/G18</f>
        <v/>
      </c>
    </row>
    <row r="19">
      <c r="B19" s="5" t="inlineStr">
        <is>
          <t>SW_TSC:H2</t>
        </is>
      </c>
      <c r="C19" s="5" t="inlineStr">
        <is>
          <t>Ethane</t>
        </is>
      </c>
      <c r="D19" s="5" t="n">
        <v>0</v>
      </c>
      <c r="E19" s="5" t="n">
        <v>0.1598531434</v>
      </c>
      <c r="F19" s="5" t="n">
        <v>0</v>
      </c>
      <c r="G19" s="5" t="n">
        <v>0.05310189724</v>
      </c>
      <c r="H19" s="5" t="n">
        <v>0.1318322859</v>
      </c>
      <c r="I19" s="5" t="n">
        <v>0</v>
      </c>
      <c r="J19" s="5" t="n">
        <v>0</v>
      </c>
      <c r="K19" s="5" t="n"/>
      <c r="L19" s="5" t="n">
        <v>99124.32016</v>
      </c>
      <c r="M19" s="5" t="n">
        <v>54251.99777</v>
      </c>
      <c r="N19" s="5" t="n">
        <v>1.676159756</v>
      </c>
      <c r="P19" s="12" t="n">
        <v>99.913298</v>
      </c>
      <c r="Q19" s="4" t="n">
        <v>-5.321206</v>
      </c>
      <c r="R19" s="5" t="n"/>
      <c r="S19" s="5" t="n"/>
      <c r="T19" s="5" t="n"/>
      <c r="U19" s="5" t="n"/>
      <c r="V19" s="9" t="n"/>
      <c r="W19" s="9" t="n"/>
      <c r="X19" s="10" t="n"/>
      <c r="Y19" s="10" t="n"/>
      <c r="Z19" s="10" t="n"/>
      <c r="AA19" s="9" t="n"/>
      <c r="AB19" s="9" t="n"/>
      <c r="AC19" s="9" t="n"/>
      <c r="AD19" s="9" t="n"/>
      <c r="AE19" s="9" t="n"/>
      <c r="AF19" s="9" t="n"/>
      <c r="AG19" s="5" t="n"/>
      <c r="AH19" s="5" t="n"/>
      <c r="AJ19" s="1">
        <f>B19</f>
        <v/>
      </c>
      <c r="AK19" s="1">
        <f>C19</f>
        <v/>
      </c>
      <c r="AL19" s="8">
        <f>SUM(AP19:AX19)</f>
        <v/>
      </c>
      <c r="AM19" s="8">
        <f>SUM(AP19:AX19)</f>
        <v/>
      </c>
      <c r="AN19" s="8">
        <f>SUM(AP19:AX19)</f>
        <v/>
      </c>
      <c r="AO19" s="8">
        <f>SUM(AP19:AX19)</f>
        <v/>
      </c>
      <c r="AP19" s="8">
        <f>D19*Y19/G19</f>
        <v/>
      </c>
      <c r="AQ19" s="1">
        <f>E19*Y19/G19*-1</f>
        <v/>
      </c>
      <c r="AR19" s="1">
        <f>F19*X19/G19</f>
        <v/>
      </c>
      <c r="AS19" s="1">
        <f>1/G19*#REF!</f>
        <v/>
      </c>
      <c r="AT19" s="1">
        <f>H19*AG19/G19</f>
        <v/>
      </c>
      <c r="AU19" s="1">
        <f>I19*AG19/G19</f>
        <v/>
      </c>
      <c r="AV19" s="1">
        <f>L19/(0.9*8760)</f>
        <v/>
      </c>
      <c r="AW19" s="1">
        <f>M19/(0.9*8760)</f>
        <v/>
      </c>
      <c r="AX19" s="1">
        <f>N19/G19</f>
        <v/>
      </c>
    </row>
    <row r="20">
      <c r="B20" s="5" t="inlineStr">
        <is>
          <t>SW_TSC+CC90:H2</t>
        </is>
      </c>
      <c r="C20" s="5" t="inlineStr">
        <is>
          <t>Ethane</t>
        </is>
      </c>
      <c r="D20" s="5" t="n">
        <v>0</v>
      </c>
      <c r="E20" s="5" t="n">
        <v>0.1598531434</v>
      </c>
      <c r="F20" s="5" t="n">
        <v>0.009388736698</v>
      </c>
      <c r="G20" s="5" t="n">
        <v>0.05310189724</v>
      </c>
      <c r="H20" s="5" t="n">
        <v>0.1318322859</v>
      </c>
      <c r="I20" s="5" t="n">
        <v>0</v>
      </c>
      <c r="J20" s="5" t="n">
        <v>0.04188723326</v>
      </c>
      <c r="K20" s="5" t="n"/>
      <c r="L20" s="5" t="n">
        <v>106900.9741</v>
      </c>
      <c r="M20" s="5" t="n">
        <v>58510.18581</v>
      </c>
      <c r="N20" s="5" t="n">
        <v>1.807660423</v>
      </c>
      <c r="P20" s="12" t="n">
        <v>99.913298</v>
      </c>
      <c r="Q20" s="4" t="n">
        <v>-5.321206</v>
      </c>
      <c r="R20" s="5" t="n"/>
      <c r="S20" s="5" t="n"/>
      <c r="T20" s="5" t="n"/>
      <c r="U20" s="5" t="n"/>
      <c r="V20" s="9" t="n"/>
      <c r="W20" s="9" t="n"/>
      <c r="X20" s="10" t="n"/>
      <c r="Y20" s="10" t="n"/>
      <c r="Z20" s="10" t="n"/>
      <c r="AA20" s="9" t="n"/>
      <c r="AB20" s="9" t="n"/>
      <c r="AC20" s="9" t="n"/>
      <c r="AD20" s="9" t="n"/>
      <c r="AE20" s="9" t="n"/>
      <c r="AF20" s="9" t="n"/>
      <c r="AG20" s="5" t="n"/>
      <c r="AH20" s="5" t="n"/>
      <c r="AJ20" s="1">
        <f>B20</f>
        <v/>
      </c>
      <c r="AK20" s="1">
        <f>C20</f>
        <v/>
      </c>
      <c r="AL20" s="8">
        <f>SUM(AP20:AX20)</f>
        <v/>
      </c>
      <c r="AM20" s="8">
        <f>SUM(AP20:AX20)</f>
        <v/>
      </c>
      <c r="AN20" s="8">
        <f>SUM(AP20:AX20)</f>
        <v/>
      </c>
      <c r="AO20" s="8">
        <f>SUM(AP20:AX20)</f>
        <v/>
      </c>
      <c r="AP20" s="8">
        <f>D20*Y20/G20</f>
        <v/>
      </c>
      <c r="AQ20" s="1">
        <f>E20*Y20/G20*-1</f>
        <v/>
      </c>
      <c r="AR20" s="1">
        <f>F20*X20/G20</f>
        <v/>
      </c>
      <c r="AS20" s="1">
        <f>1/G20*#REF!</f>
        <v/>
      </c>
      <c r="AT20" s="1">
        <f>H20*AG20/G20</f>
        <v/>
      </c>
      <c r="AU20" s="1">
        <f>I20*AG20/G20</f>
        <v/>
      </c>
      <c r="AV20" s="1">
        <f>L20/(0.9*8760)</f>
        <v/>
      </c>
      <c r="AW20" s="1">
        <f>M20/(0.9*8760)</f>
        <v/>
      </c>
      <c r="AX20" s="1">
        <f>N20/G20</f>
        <v/>
      </c>
    </row>
    <row r="21">
      <c r="B21" s="5" t="inlineStr">
        <is>
          <t>SW_TSC+H2in</t>
        </is>
      </c>
      <c r="C21" s="5" t="inlineStr">
        <is>
          <t>Ethane</t>
        </is>
      </c>
      <c r="D21" s="5" t="n">
        <v>0.02226644157</v>
      </c>
      <c r="E21" s="5" t="n">
        <v>0</v>
      </c>
      <c r="F21" s="5" t="n">
        <v>0</v>
      </c>
      <c r="G21" s="5" t="n">
        <v>0.05310189724</v>
      </c>
      <c r="H21" s="5" t="n">
        <v>0</v>
      </c>
      <c r="I21" s="5" t="n">
        <v>0</v>
      </c>
      <c r="J21" s="5" t="n">
        <v>0</v>
      </c>
      <c r="K21" s="5" t="n"/>
      <c r="L21" s="5" t="n">
        <v>99124.32016</v>
      </c>
      <c r="M21" s="5" t="n">
        <v>54251.99777</v>
      </c>
      <c r="N21" s="5" t="n">
        <v>1.676159756</v>
      </c>
      <c r="P21" s="12" t="n">
        <v>99.913298</v>
      </c>
      <c r="Q21" s="4" t="n">
        <v>-5.321206</v>
      </c>
      <c r="R21" s="5" t="n"/>
      <c r="S21" s="5" t="n"/>
      <c r="T21" s="5" t="n"/>
      <c r="U21" s="5" t="n"/>
      <c r="V21" s="9" t="n"/>
      <c r="W21" s="9" t="n"/>
      <c r="X21" s="10" t="n"/>
      <c r="Y21" s="10" t="n"/>
      <c r="Z21" s="10" t="n"/>
      <c r="AA21" s="9" t="n"/>
      <c r="AB21" s="9" t="n"/>
      <c r="AC21" s="9" t="n"/>
      <c r="AD21" s="9" t="n"/>
      <c r="AE21" s="9" t="n"/>
      <c r="AF21" s="9" t="n"/>
      <c r="AG21" s="5" t="n"/>
      <c r="AH21" s="5" t="n"/>
      <c r="AJ21" s="1">
        <f>B21</f>
        <v/>
      </c>
      <c r="AK21" s="1">
        <f>C21</f>
        <v/>
      </c>
      <c r="AL21" s="8">
        <f>SUM(AP21:AX21)</f>
        <v/>
      </c>
      <c r="AM21" s="8">
        <f>SUM(AP21:AX21)</f>
        <v/>
      </c>
      <c r="AN21" s="8">
        <f>SUM(AP21:AX21)</f>
        <v/>
      </c>
      <c r="AO21" s="8">
        <f>SUM(AP21:AX21)</f>
        <v/>
      </c>
      <c r="AP21" s="8">
        <f>D21*Y21/G21</f>
        <v/>
      </c>
      <c r="AQ21" s="1">
        <f>E21*Y21/G21*-1</f>
        <v/>
      </c>
      <c r="AR21" s="1">
        <f>F21*X21/G21</f>
        <v/>
      </c>
      <c r="AS21" s="1">
        <f>1/G21*#REF!</f>
        <v/>
      </c>
      <c r="AT21" s="1">
        <f>H21*AG21/G21</f>
        <v/>
      </c>
      <c r="AU21" s="1">
        <f>I21*AG21/G21</f>
        <v/>
      </c>
      <c r="AV21" s="1">
        <f>L21/(0.9*8760)</f>
        <v/>
      </c>
      <c r="AW21" s="1">
        <f>M21/(0.9*8760)</f>
        <v/>
      </c>
      <c r="AX21" s="1">
        <f>N21/G21</f>
        <v/>
      </c>
    </row>
    <row r="22">
      <c r="B22" s="5" t="inlineStr">
        <is>
          <t>SW_TSC+H2in:CH4</t>
        </is>
      </c>
      <c r="C22" s="5" t="inlineStr">
        <is>
          <t>Ethane</t>
        </is>
      </c>
      <c r="D22" s="5" t="n">
        <v>0.1375867019</v>
      </c>
      <c r="E22" s="5" t="n">
        <v>0</v>
      </c>
      <c r="F22" s="5" t="n">
        <v>0</v>
      </c>
      <c r="G22" s="5" t="n">
        <v>0.05310189724</v>
      </c>
      <c r="H22" s="5" t="n">
        <v>0</v>
      </c>
      <c r="I22" s="5" t="n">
        <v>0.1181424966</v>
      </c>
      <c r="J22" s="5" t="n">
        <v>0</v>
      </c>
      <c r="K22" s="5" t="n"/>
      <c r="L22" s="5" t="n">
        <v>99124.32016</v>
      </c>
      <c r="M22" s="5" t="n">
        <v>54251.99777</v>
      </c>
      <c r="N22" s="5" t="n">
        <v>1.676159756</v>
      </c>
      <c r="P22" s="12" t="n">
        <v>99.913298</v>
      </c>
      <c r="Q22" s="4" t="n">
        <v>-5.321206</v>
      </c>
      <c r="R22" s="5" t="n"/>
      <c r="S22" s="5" t="n"/>
      <c r="T22" s="5" t="n"/>
      <c r="U22" s="5" t="n"/>
      <c r="V22" s="9" t="n"/>
      <c r="W22" s="9" t="n"/>
      <c r="X22" s="10" t="n"/>
      <c r="Y22" s="10" t="n"/>
      <c r="Z22" s="10" t="n"/>
      <c r="AA22" s="9" t="n"/>
      <c r="AB22" s="9" t="n"/>
      <c r="AC22" s="9" t="n"/>
      <c r="AD22" s="9" t="n"/>
      <c r="AE22" s="9" t="n"/>
      <c r="AF22" s="9" t="n"/>
      <c r="AG22" s="5" t="n"/>
      <c r="AH22" s="5" t="n"/>
      <c r="AJ22" s="1">
        <f>B22</f>
        <v/>
      </c>
      <c r="AK22" s="1">
        <f>C22</f>
        <v/>
      </c>
      <c r="AL22" s="8">
        <f>SUM(AP22:AX22)</f>
        <v/>
      </c>
      <c r="AM22" s="8">
        <f>SUM(AP22:AX22)</f>
        <v/>
      </c>
      <c r="AN22" s="8">
        <f>SUM(AP22:AX22)</f>
        <v/>
      </c>
      <c r="AO22" s="8">
        <f>SUM(AP22:AX22)</f>
        <v/>
      </c>
      <c r="AP22" s="8">
        <f>D22*Y22/G22</f>
        <v/>
      </c>
      <c r="AQ22" s="1">
        <f>E22*Y22/G22*-1</f>
        <v/>
      </c>
      <c r="AR22" s="1">
        <f>F22*X22/G22</f>
        <v/>
      </c>
      <c r="AS22" s="1">
        <f>1/G22*#REF!</f>
        <v/>
      </c>
      <c r="AT22" s="1">
        <f>H22*AG22/G22</f>
        <v/>
      </c>
      <c r="AU22" s="1">
        <f>I22*AG22/G22</f>
        <v/>
      </c>
      <c r="AV22" s="1">
        <f>L22/(0.9*8760)</f>
        <v/>
      </c>
      <c r="AW22" s="1">
        <f>M22/(0.9*8760)</f>
        <v/>
      </c>
      <c r="AX22" s="1">
        <f>N22/G22</f>
        <v/>
      </c>
    </row>
    <row r="23">
      <c r="B23" s="5" t="inlineStr">
        <is>
          <t>NW_TSC+CC90</t>
        </is>
      </c>
      <c r="C23" s="5" t="inlineStr">
        <is>
          <t>Ethane</t>
        </is>
      </c>
      <c r="D23" s="5" t="n">
        <v>0</v>
      </c>
      <c r="E23" s="5" t="n">
        <v>0</v>
      </c>
      <c r="F23" s="5" t="n">
        <v>0.008052966438000001</v>
      </c>
      <c r="G23" s="5" t="n">
        <v>0.05310189724</v>
      </c>
      <c r="H23" s="5" t="n">
        <v>0.02270169876</v>
      </c>
      <c r="I23" s="5" t="n">
        <v>0</v>
      </c>
      <c r="J23" s="5" t="n">
        <v>0.0241051226</v>
      </c>
      <c r="K23" s="5" t="n"/>
      <c r="L23" s="5" t="n">
        <v>106875.1697</v>
      </c>
      <c r="M23" s="5" t="n">
        <v>58496.38728</v>
      </c>
      <c r="N23" s="5" t="n">
        <v>1.807224085</v>
      </c>
      <c r="P23" s="12" t="n">
        <v>99.913298</v>
      </c>
      <c r="Q23" s="4" t="n">
        <v>-5.280129</v>
      </c>
      <c r="R23" s="5" t="n"/>
      <c r="S23" s="5" t="n"/>
      <c r="T23" s="5" t="n"/>
      <c r="U23" s="5" t="n"/>
      <c r="V23" s="9" t="n"/>
      <c r="W23" s="9" t="n"/>
      <c r="X23" s="10" t="n"/>
      <c r="Y23" s="10" t="n"/>
      <c r="Z23" s="10" t="n"/>
      <c r="AA23" s="9" t="n"/>
      <c r="AB23" s="9" t="n"/>
      <c r="AC23" s="9" t="n"/>
      <c r="AD23" s="9" t="n"/>
      <c r="AE23" s="9" t="n"/>
      <c r="AF23" s="9" t="n"/>
      <c r="AG23" s="5" t="n"/>
      <c r="AH23" s="5" t="n"/>
      <c r="AJ23" s="1">
        <f>B23</f>
        <v/>
      </c>
      <c r="AK23" s="1">
        <f>C23</f>
        <v/>
      </c>
      <c r="AL23" s="8">
        <f>SUM(AP23:AX23)</f>
        <v/>
      </c>
      <c r="AM23" s="8">
        <f>SUM(AP23:AX23)</f>
        <v/>
      </c>
      <c r="AN23" s="8">
        <f>SUM(AP23:AX23)</f>
        <v/>
      </c>
      <c r="AO23" s="8">
        <f>SUM(AP23:AX23)</f>
        <v/>
      </c>
      <c r="AP23" s="8">
        <f>D23*Y23/G23</f>
        <v/>
      </c>
      <c r="AQ23" s="1">
        <f>E23*Y23/G23*-1</f>
        <v/>
      </c>
      <c r="AR23" s="1">
        <f>F23*X23/G23</f>
        <v/>
      </c>
      <c r="AS23" s="1">
        <f>1/G23*#REF!</f>
        <v/>
      </c>
      <c r="AT23" s="1">
        <f>H23*AG23/G23</f>
        <v/>
      </c>
      <c r="AU23" s="1">
        <f>I23*AG23/G23</f>
        <v/>
      </c>
      <c r="AV23" s="1">
        <f>L23/(0.9*8760)</f>
        <v/>
      </c>
      <c r="AW23" s="1">
        <f>M23/(0.9*8760)</f>
        <v/>
      </c>
      <c r="AX23" s="1">
        <f>N23/G23</f>
        <v/>
      </c>
    </row>
    <row r="24">
      <c r="B24" s="5" t="inlineStr">
        <is>
          <t>NW_TSC:H2</t>
        </is>
      </c>
      <c r="C24" s="5" t="inlineStr">
        <is>
          <t>Ethane</t>
        </is>
      </c>
      <c r="D24" s="5" t="n">
        <v>0</v>
      </c>
      <c r="E24" s="5" t="n">
        <v>0.1598531434</v>
      </c>
      <c r="F24" s="5" t="n">
        <v>0</v>
      </c>
      <c r="G24" s="5" t="n">
        <v>0.05310189724</v>
      </c>
      <c r="H24" s="5" t="n">
        <v>0.1318322859</v>
      </c>
      <c r="I24" s="5" t="n">
        <v>0</v>
      </c>
      <c r="J24" s="5" t="n">
        <v>0</v>
      </c>
      <c r="K24" s="5" t="n"/>
      <c r="L24" s="5" t="n">
        <v>99124.32016</v>
      </c>
      <c r="M24" s="5" t="n">
        <v>54251.99777</v>
      </c>
      <c r="N24" s="5" t="n">
        <v>1.676159756</v>
      </c>
      <c r="P24" s="12" t="n">
        <v>99.913298</v>
      </c>
      <c r="Q24" s="4" t="n">
        <v>-5.280129</v>
      </c>
      <c r="R24" s="5" t="n"/>
      <c r="S24" s="5" t="n"/>
      <c r="T24" s="5" t="n"/>
      <c r="U24" s="5" t="n"/>
      <c r="V24" s="9" t="n"/>
      <c r="W24" s="9" t="n"/>
      <c r="X24" s="10" t="n"/>
      <c r="Y24" s="10" t="n"/>
      <c r="Z24" s="10" t="n"/>
      <c r="AA24" s="9" t="n"/>
      <c r="AB24" s="9" t="n"/>
      <c r="AC24" s="9" t="n"/>
      <c r="AD24" s="9" t="n"/>
      <c r="AE24" s="9" t="n"/>
      <c r="AF24" s="9" t="n"/>
      <c r="AG24" s="5" t="n"/>
      <c r="AH24" s="5" t="n"/>
      <c r="AJ24" s="1">
        <f>B24</f>
        <v/>
      </c>
      <c r="AK24" s="1">
        <f>C24</f>
        <v/>
      </c>
      <c r="AL24" s="8">
        <f>SUM(AP24:AX24)</f>
        <v/>
      </c>
      <c r="AM24" s="8">
        <f>SUM(AP24:AX24)</f>
        <v/>
      </c>
      <c r="AN24" s="8">
        <f>SUM(AP24:AX24)</f>
        <v/>
      </c>
      <c r="AO24" s="8">
        <f>SUM(AP24:AX24)</f>
        <v/>
      </c>
      <c r="AP24" s="8">
        <f>D24*Y24/G24</f>
        <v/>
      </c>
      <c r="AQ24" s="1">
        <f>E24*Y24/G24*-1</f>
        <v/>
      </c>
      <c r="AR24" s="1">
        <f>F24*X24/G24</f>
        <v/>
      </c>
      <c r="AS24" s="1">
        <f>1/G24*#REF!</f>
        <v/>
      </c>
      <c r="AT24" s="1">
        <f>H24*AG24/G24</f>
        <v/>
      </c>
      <c r="AU24" s="1">
        <f>I24*AG24/G24</f>
        <v/>
      </c>
      <c r="AV24" s="1">
        <f>L24/(0.9*8760)</f>
        <v/>
      </c>
      <c r="AW24" s="1">
        <f>M24/(0.9*8760)</f>
        <v/>
      </c>
      <c r="AX24" s="1">
        <f>N24/G24</f>
        <v/>
      </c>
    </row>
    <row r="25">
      <c r="B25" s="5" t="inlineStr">
        <is>
          <t>NW_TSC+CC90:H2</t>
        </is>
      </c>
      <c r="C25" s="5" t="inlineStr">
        <is>
          <t>Ethane</t>
        </is>
      </c>
      <c r="D25" s="5" t="n">
        <v>0</v>
      </c>
      <c r="E25" s="5" t="n">
        <v>0.1598531434</v>
      </c>
      <c r="F25" s="5" t="n">
        <v>0.009388736698</v>
      </c>
      <c r="G25" s="5" t="n">
        <v>0.05310189724</v>
      </c>
      <c r="H25" s="5" t="n">
        <v>0.1318322859</v>
      </c>
      <c r="I25" s="5" t="n">
        <v>0</v>
      </c>
      <c r="J25" s="5" t="n">
        <v>0.04188723326</v>
      </c>
      <c r="K25" s="5" t="n"/>
      <c r="L25" s="5" t="n">
        <v>106900.9741</v>
      </c>
      <c r="M25" s="5" t="n">
        <v>58510.18581</v>
      </c>
      <c r="N25" s="5" t="n">
        <v>1.807660423</v>
      </c>
      <c r="P25" s="12" t="n">
        <v>99.913298</v>
      </c>
      <c r="Q25" s="4" t="n">
        <v>-5.280129</v>
      </c>
      <c r="R25" s="5" t="n"/>
      <c r="S25" s="5" t="n"/>
      <c r="T25" s="5" t="n"/>
      <c r="U25" s="5" t="n"/>
      <c r="V25" s="9" t="n"/>
      <c r="W25" s="9" t="n"/>
      <c r="X25" s="10" t="n"/>
      <c r="Y25" s="10" t="n"/>
      <c r="Z25" s="10" t="n"/>
      <c r="AA25" s="9" t="n"/>
      <c r="AB25" s="9" t="n"/>
      <c r="AC25" s="9" t="n"/>
      <c r="AD25" s="9" t="n"/>
      <c r="AE25" s="9" t="n"/>
      <c r="AF25" s="9" t="n"/>
      <c r="AG25" s="5" t="n"/>
      <c r="AH25" s="5" t="n"/>
      <c r="AJ25" s="1">
        <f>B25</f>
        <v/>
      </c>
      <c r="AK25" s="1">
        <f>C25</f>
        <v/>
      </c>
      <c r="AL25" s="8">
        <f>SUM(AP25:AX25)</f>
        <v/>
      </c>
      <c r="AM25" s="8">
        <f>SUM(AP25:AX25)</f>
        <v/>
      </c>
      <c r="AN25" s="8">
        <f>SUM(AP25:AX25)</f>
        <v/>
      </c>
      <c r="AO25" s="8">
        <f>SUM(AP25:AX25)</f>
        <v/>
      </c>
      <c r="AP25" s="8">
        <f>D25*Y25/G25</f>
        <v/>
      </c>
      <c r="AQ25" s="1">
        <f>E25*Y25/G25*-1</f>
        <v/>
      </c>
      <c r="AR25" s="1">
        <f>F25*X25/G25</f>
        <v/>
      </c>
      <c r="AS25" s="1">
        <f>1/G25*#REF!</f>
        <v/>
      </c>
      <c r="AT25" s="1">
        <f>H25*AG25/G25</f>
        <v/>
      </c>
      <c r="AU25" s="1">
        <f>I25*AG25/G25</f>
        <v/>
      </c>
      <c r="AV25" s="1">
        <f>L25/(0.9*8760)</f>
        <v/>
      </c>
      <c r="AW25" s="1">
        <f>M25/(0.9*8760)</f>
        <v/>
      </c>
      <c r="AX25" s="1">
        <f>N25/G25</f>
        <v/>
      </c>
    </row>
    <row r="26">
      <c r="B26" s="5" t="inlineStr">
        <is>
          <t>NW_TSC+H2in</t>
        </is>
      </c>
      <c r="C26" s="5" t="inlineStr">
        <is>
          <t>Ethane</t>
        </is>
      </c>
      <c r="D26" s="5" t="n">
        <v>0.02226644157</v>
      </c>
      <c r="E26" s="5" t="n">
        <v>0</v>
      </c>
      <c r="F26" s="5" t="n">
        <v>0</v>
      </c>
      <c r="G26" s="5" t="n">
        <v>0.05310189724</v>
      </c>
      <c r="H26" s="5" t="n">
        <v>0</v>
      </c>
      <c r="I26" s="5" t="n">
        <v>0</v>
      </c>
      <c r="J26" s="5" t="n">
        <v>0</v>
      </c>
      <c r="K26" s="5" t="n"/>
      <c r="L26" s="5" t="n">
        <v>99124.32016</v>
      </c>
      <c r="M26" s="5" t="n">
        <v>54251.99777</v>
      </c>
      <c r="N26" s="5" t="n">
        <v>1.676159756</v>
      </c>
      <c r="P26" s="12" t="n">
        <v>99.913298</v>
      </c>
      <c r="Q26" s="4" t="n">
        <v>-5.280129</v>
      </c>
      <c r="R26" s="5" t="n"/>
      <c r="S26" s="5" t="n"/>
      <c r="T26" s="5" t="n"/>
      <c r="U26" s="5" t="n"/>
      <c r="V26" s="9" t="n"/>
      <c r="W26" s="9" t="n"/>
      <c r="X26" s="10" t="n"/>
      <c r="Y26" s="10" t="n"/>
      <c r="Z26" s="10" t="n"/>
      <c r="AA26" s="9" t="n"/>
      <c r="AB26" s="9" t="n"/>
      <c r="AC26" s="9" t="n"/>
      <c r="AD26" s="9" t="n"/>
      <c r="AE26" s="9" t="n"/>
      <c r="AF26" s="9" t="n"/>
      <c r="AG26" s="5" t="n"/>
      <c r="AH26" s="5" t="n"/>
      <c r="AJ26" s="1">
        <f>B26</f>
        <v/>
      </c>
      <c r="AK26" s="1">
        <f>C26</f>
        <v/>
      </c>
      <c r="AL26" s="8">
        <f>SUM(AP26:AX26)</f>
        <v/>
      </c>
      <c r="AM26" s="8">
        <f>SUM(AP26:AX26)</f>
        <v/>
      </c>
      <c r="AN26" s="8">
        <f>SUM(AP26:AX26)</f>
        <v/>
      </c>
      <c r="AO26" s="8">
        <f>SUM(AP26:AX26)</f>
        <v/>
      </c>
      <c r="AP26" s="8">
        <f>D26*Y26/G26</f>
        <v/>
      </c>
      <c r="AQ26" s="1">
        <f>E26*Y26/G26*-1</f>
        <v/>
      </c>
      <c r="AR26" s="1">
        <f>F26*X26/G26</f>
        <v/>
      </c>
      <c r="AS26" s="1">
        <f>1/G26*#REF!</f>
        <v/>
      </c>
      <c r="AT26" s="1">
        <f>H26*AG26/G26</f>
        <v/>
      </c>
      <c r="AU26" s="1">
        <f>I26*AG26/G26</f>
        <v/>
      </c>
      <c r="AV26" s="1">
        <f>L26/(0.9*8760)</f>
        <v/>
      </c>
      <c r="AW26" s="1">
        <f>M26/(0.9*8760)</f>
        <v/>
      </c>
      <c r="AX26" s="1">
        <f>N26/G26</f>
        <v/>
      </c>
    </row>
    <row r="27">
      <c r="B27" s="5" t="inlineStr">
        <is>
          <t>NW_TSC+H2in:CH4</t>
        </is>
      </c>
      <c r="C27" s="5" t="inlineStr">
        <is>
          <t>Ethane</t>
        </is>
      </c>
      <c r="D27" s="5" t="n">
        <v>0.1375867019</v>
      </c>
      <c r="E27" s="5" t="n">
        <v>0</v>
      </c>
      <c r="F27" s="5" t="n">
        <v>0</v>
      </c>
      <c r="G27" s="5" t="n">
        <v>0.05310189724</v>
      </c>
      <c r="H27" s="5" t="n">
        <v>0</v>
      </c>
      <c r="I27" s="5" t="n">
        <v>0.1181424966</v>
      </c>
      <c r="J27" s="5" t="n">
        <v>0</v>
      </c>
      <c r="K27" s="5" t="n"/>
      <c r="L27" s="5" t="n">
        <v>99124.32016</v>
      </c>
      <c r="M27" s="5" t="n">
        <v>54251.99777</v>
      </c>
      <c r="N27" s="5" t="n">
        <v>1.676159756</v>
      </c>
      <c r="P27" s="12" t="n">
        <v>99.913298</v>
      </c>
      <c r="Q27" s="4" t="n">
        <v>-5.280129</v>
      </c>
      <c r="R27" s="5" t="n"/>
      <c r="S27" s="5" t="n"/>
      <c r="T27" s="5" t="n"/>
      <c r="U27" s="5" t="n"/>
      <c r="V27" s="9" t="n"/>
      <c r="W27" s="9" t="n"/>
      <c r="X27" s="10" t="n"/>
      <c r="Y27" s="10" t="n"/>
      <c r="Z27" s="10" t="n"/>
      <c r="AA27" s="9" t="n"/>
      <c r="AB27" s="9" t="n"/>
      <c r="AC27" s="9" t="n"/>
      <c r="AD27" s="9" t="n"/>
      <c r="AE27" s="9" t="n"/>
      <c r="AF27" s="9" t="n"/>
      <c r="AG27" s="5" t="n"/>
      <c r="AH27" s="5" t="n"/>
      <c r="AJ27" s="1">
        <f>B27</f>
        <v/>
      </c>
      <c r="AK27" s="1">
        <f>C27</f>
        <v/>
      </c>
      <c r="AL27" s="8">
        <f>SUM(AP27:AX27)</f>
        <v/>
      </c>
      <c r="AM27" s="8">
        <f>SUM(AP27:AX27)</f>
        <v/>
      </c>
      <c r="AN27" s="8">
        <f>SUM(AP27:AX27)</f>
        <v/>
      </c>
      <c r="AO27" s="8">
        <f>SUM(AP27:AX27)</f>
        <v/>
      </c>
      <c r="AP27" s="8">
        <f>D27*Y27/G27</f>
        <v/>
      </c>
      <c r="AQ27" s="1">
        <f>E27*Y27/G27*-1</f>
        <v/>
      </c>
      <c r="AR27" s="1">
        <f>F27*X27/G27</f>
        <v/>
      </c>
      <c r="AS27" s="1">
        <f>1/G27*#REF!</f>
        <v/>
      </c>
      <c r="AT27" s="1">
        <f>H27*AG27/G27</f>
        <v/>
      </c>
      <c r="AU27" s="1">
        <f>I27*AG27/G27</f>
        <v/>
      </c>
      <c r="AV27" s="1">
        <f>L27/(0.9*8760)</f>
        <v/>
      </c>
      <c r="AW27" s="1">
        <f>M27/(0.9*8760)</f>
        <v/>
      </c>
      <c r="AX27" s="1">
        <f>N27/G27</f>
        <v/>
      </c>
    </row>
    <row r="28">
      <c r="B28" s="5" t="inlineStr">
        <is>
          <t>TX_TSC+CC90</t>
        </is>
      </c>
      <c r="C28" s="5" t="inlineStr">
        <is>
          <t>Ethane</t>
        </is>
      </c>
      <c r="D28" s="5" t="n">
        <v>0</v>
      </c>
      <c r="E28" s="5" t="n">
        <v>0</v>
      </c>
      <c r="F28" s="5" t="n">
        <v>0.008052966438000001</v>
      </c>
      <c r="G28" s="5" t="n">
        <v>0.05310189724</v>
      </c>
      <c r="H28" s="5" t="n">
        <v>0.02270169876</v>
      </c>
      <c r="I28" s="5" t="n">
        <v>0</v>
      </c>
      <c r="J28" s="5" t="n">
        <v>0.0241051226</v>
      </c>
      <c r="K28" s="5" t="n"/>
      <c r="L28" s="5" t="n">
        <v>106875.1697</v>
      </c>
      <c r="M28" s="5" t="n">
        <v>58496.38728</v>
      </c>
      <c r="N28" s="5" t="n">
        <v>1.807224085</v>
      </c>
      <c r="P28" s="12" t="n">
        <v>99.913298</v>
      </c>
      <c r="Q28" s="4" t="n">
        <v>-4.998843</v>
      </c>
      <c r="R28" s="5" t="n"/>
      <c r="S28" s="5" t="n"/>
      <c r="T28" s="5" t="n"/>
      <c r="U28" s="5" t="n"/>
      <c r="V28" s="9" t="n"/>
      <c r="W28" s="9" t="n"/>
      <c r="X28" s="10" t="n"/>
      <c r="Y28" s="10" t="n"/>
      <c r="Z28" s="10" t="n"/>
      <c r="AA28" s="9" t="n"/>
      <c r="AB28" s="9" t="n"/>
      <c r="AC28" s="9" t="n"/>
      <c r="AD28" s="9" t="n"/>
      <c r="AE28" s="9" t="n"/>
      <c r="AF28" s="9" t="n"/>
      <c r="AG28" s="5" t="n"/>
      <c r="AH28" s="5" t="n"/>
      <c r="AJ28" s="1">
        <f>B28</f>
        <v/>
      </c>
      <c r="AK28" s="1">
        <f>C28</f>
        <v/>
      </c>
      <c r="AL28" s="8">
        <f>SUM(AP28:AX28)</f>
        <v/>
      </c>
      <c r="AM28" s="8">
        <f>SUM(AP28:AX28)</f>
        <v/>
      </c>
      <c r="AN28" s="8">
        <f>SUM(AP28:AX28)</f>
        <v/>
      </c>
      <c r="AO28" s="8">
        <f>SUM(AP28:AX28)</f>
        <v/>
      </c>
      <c r="AP28" s="8">
        <f>D28*Y28/G28</f>
        <v/>
      </c>
      <c r="AQ28" s="1">
        <f>E28*Y28/G28*-1</f>
        <v/>
      </c>
      <c r="AR28" s="1">
        <f>F28*X28/G28</f>
        <v/>
      </c>
      <c r="AS28" s="1">
        <f>1/G28*#REF!</f>
        <v/>
      </c>
      <c r="AT28" s="1">
        <f>H28*AG28/G28</f>
        <v/>
      </c>
      <c r="AU28" s="1">
        <f>I28*AG28/G28</f>
        <v/>
      </c>
      <c r="AV28" s="1">
        <f>L28/(0.9*8760)</f>
        <v/>
      </c>
      <c r="AW28" s="1">
        <f>M28/(0.9*8760)</f>
        <v/>
      </c>
      <c r="AX28" s="1">
        <f>N28/G28</f>
        <v/>
      </c>
    </row>
    <row r="29">
      <c r="B29" s="5" t="inlineStr">
        <is>
          <t>TX_TSC:H2</t>
        </is>
      </c>
      <c r="C29" s="5" t="inlineStr">
        <is>
          <t>Ethane</t>
        </is>
      </c>
      <c r="D29" s="5" t="n">
        <v>0</v>
      </c>
      <c r="E29" s="5" t="n">
        <v>0.1598531434</v>
      </c>
      <c r="F29" s="5" t="n">
        <v>0</v>
      </c>
      <c r="G29" s="5" t="n">
        <v>0.05310189724</v>
      </c>
      <c r="H29" s="5" t="n">
        <v>0.1318322859</v>
      </c>
      <c r="I29" s="5" t="n">
        <v>0</v>
      </c>
      <c r="J29" s="5" t="n">
        <v>0</v>
      </c>
      <c r="K29" s="5" t="n"/>
      <c r="L29" s="5" t="n">
        <v>99124.32016</v>
      </c>
      <c r="M29" s="5" t="n">
        <v>54251.99777</v>
      </c>
      <c r="N29" s="5" t="n">
        <v>1.676159756</v>
      </c>
      <c r="P29" s="12" t="n">
        <v>99.913298</v>
      </c>
      <c r="Q29" s="4" t="n">
        <v>-4.998843</v>
      </c>
      <c r="R29" s="5" t="n"/>
      <c r="S29" s="5" t="n"/>
      <c r="T29" s="5" t="n"/>
      <c r="U29" s="5" t="n"/>
      <c r="V29" s="9" t="n"/>
      <c r="W29" s="9" t="n"/>
      <c r="X29" s="10" t="n"/>
      <c r="Y29" s="10" t="n"/>
      <c r="Z29" s="10" t="n"/>
      <c r="AA29" s="9" t="n"/>
      <c r="AB29" s="9" t="n"/>
      <c r="AC29" s="9" t="n"/>
      <c r="AD29" s="9" t="n"/>
      <c r="AE29" s="9" t="n"/>
      <c r="AF29" s="9" t="n"/>
      <c r="AG29" s="5" t="n"/>
      <c r="AH29" s="5" t="n"/>
      <c r="AJ29" s="1">
        <f>B29</f>
        <v/>
      </c>
      <c r="AK29" s="1">
        <f>C29</f>
        <v/>
      </c>
      <c r="AL29" s="8">
        <f>SUM(AP29:AX29)</f>
        <v/>
      </c>
      <c r="AM29" s="8">
        <f>SUM(AP29:AX29)</f>
        <v/>
      </c>
      <c r="AN29" s="8">
        <f>SUM(AP29:AX29)</f>
        <v/>
      </c>
      <c r="AO29" s="8">
        <f>SUM(AP29:AX29)</f>
        <v/>
      </c>
      <c r="AP29" s="8">
        <f>D29*Y29/G29</f>
        <v/>
      </c>
      <c r="AQ29" s="1">
        <f>E29*Y29/G29*-1</f>
        <v/>
      </c>
      <c r="AR29" s="1">
        <f>F29*X29/G29</f>
        <v/>
      </c>
      <c r="AS29" s="1">
        <f>1/G29*#REF!</f>
        <v/>
      </c>
      <c r="AT29" s="1">
        <f>H29*AG29/G29</f>
        <v/>
      </c>
      <c r="AU29" s="1">
        <f>I29*AG29/G29</f>
        <v/>
      </c>
      <c r="AV29" s="1">
        <f>L29/(0.9*8760)</f>
        <v/>
      </c>
      <c r="AW29" s="1">
        <f>M29/(0.9*8760)</f>
        <v/>
      </c>
      <c r="AX29" s="1">
        <f>N29/G29</f>
        <v/>
      </c>
    </row>
    <row r="30">
      <c r="B30" s="5" t="inlineStr">
        <is>
          <t>TX_TSC+CC90:H2</t>
        </is>
      </c>
      <c r="C30" s="5" t="inlineStr">
        <is>
          <t>Ethane</t>
        </is>
      </c>
      <c r="D30" s="5" t="n">
        <v>0</v>
      </c>
      <c r="E30" s="5" t="n">
        <v>0.1598531434</v>
      </c>
      <c r="F30" s="5" t="n">
        <v>0.009388736698</v>
      </c>
      <c r="G30" s="5" t="n">
        <v>0.05310189724</v>
      </c>
      <c r="H30" s="5" t="n">
        <v>0.1318322859</v>
      </c>
      <c r="I30" s="5" t="n">
        <v>0</v>
      </c>
      <c r="J30" s="5" t="n">
        <v>0.04188723326</v>
      </c>
      <c r="K30" s="5" t="n"/>
      <c r="L30" s="5" t="n">
        <v>106900.9741</v>
      </c>
      <c r="M30" s="5" t="n">
        <v>58510.18581</v>
      </c>
      <c r="N30" s="5" t="n">
        <v>1.807660423</v>
      </c>
      <c r="P30" s="12" t="n">
        <v>99.913298</v>
      </c>
      <c r="Q30" s="4" t="n">
        <v>-4.998843</v>
      </c>
      <c r="R30" s="5" t="n"/>
      <c r="S30" s="5" t="n"/>
      <c r="T30" s="5" t="n"/>
      <c r="U30" s="5" t="n"/>
      <c r="V30" s="9" t="n"/>
      <c r="W30" s="9" t="n"/>
      <c r="X30" s="10" t="n"/>
      <c r="Y30" s="10" t="n"/>
      <c r="Z30" s="10" t="n"/>
      <c r="AA30" s="9" t="n"/>
      <c r="AB30" s="9" t="n"/>
      <c r="AC30" s="9" t="n"/>
      <c r="AD30" s="9" t="n"/>
      <c r="AE30" s="9" t="n"/>
      <c r="AF30" s="9" t="n"/>
      <c r="AG30" s="5" t="n"/>
      <c r="AH30" s="5" t="n"/>
      <c r="AJ30" s="1">
        <f>B30</f>
        <v/>
      </c>
      <c r="AK30" s="1">
        <f>C30</f>
        <v/>
      </c>
      <c r="AL30" s="8">
        <f>SUM(AP30:AX30)</f>
        <v/>
      </c>
      <c r="AM30" s="8">
        <f>SUM(AP30:AX30)</f>
        <v/>
      </c>
      <c r="AN30" s="8">
        <f>SUM(AP30:AX30)</f>
        <v/>
      </c>
      <c r="AO30" s="8">
        <f>SUM(AP30:AX30)</f>
        <v/>
      </c>
      <c r="AP30" s="8">
        <f>D30*Y30/G30</f>
        <v/>
      </c>
      <c r="AQ30" s="1">
        <f>E30*Y30/G30*-1</f>
        <v/>
      </c>
      <c r="AR30" s="1">
        <f>F30*X30/G30</f>
        <v/>
      </c>
      <c r="AS30" s="1">
        <f>1/G30*#REF!</f>
        <v/>
      </c>
      <c r="AT30" s="1">
        <f>H30*AG30/G30</f>
        <v/>
      </c>
      <c r="AU30" s="1">
        <f>I30*AG30/G30</f>
        <v/>
      </c>
      <c r="AV30" s="1">
        <f>L30/(0.9*8760)</f>
        <v/>
      </c>
      <c r="AW30" s="1">
        <f>M30/(0.9*8760)</f>
        <v/>
      </c>
      <c r="AX30" s="1">
        <f>N30/G30</f>
        <v/>
      </c>
    </row>
    <row r="31">
      <c r="B31" s="5" t="inlineStr">
        <is>
          <t>TX_TSC+H2in</t>
        </is>
      </c>
      <c r="C31" s="5" t="inlineStr">
        <is>
          <t>Ethane</t>
        </is>
      </c>
      <c r="D31" s="5" t="n">
        <v>0.02226644157</v>
      </c>
      <c r="E31" s="5" t="n">
        <v>0</v>
      </c>
      <c r="F31" s="5" t="n">
        <v>0</v>
      </c>
      <c r="G31" s="5" t="n">
        <v>0.05310189724</v>
      </c>
      <c r="H31" s="5" t="n">
        <v>0</v>
      </c>
      <c r="I31" s="5" t="n">
        <v>0</v>
      </c>
      <c r="J31" s="5" t="n">
        <v>0</v>
      </c>
      <c r="K31" s="5" t="n"/>
      <c r="L31" s="5" t="n">
        <v>99124.32016</v>
      </c>
      <c r="M31" s="5" t="n">
        <v>54251.99777</v>
      </c>
      <c r="N31" s="5" t="n">
        <v>1.676159756</v>
      </c>
      <c r="P31" s="12" t="n">
        <v>99.913298</v>
      </c>
      <c r="Q31" s="4" t="n">
        <v>-4.998843</v>
      </c>
      <c r="R31" s="5" t="n"/>
      <c r="S31" s="5" t="n"/>
      <c r="T31" s="5" t="n"/>
      <c r="U31" s="5" t="n"/>
      <c r="V31" s="9" t="n"/>
      <c r="W31" s="9" t="n"/>
      <c r="X31" s="10" t="n"/>
      <c r="Y31" s="10" t="n"/>
      <c r="Z31" s="10" t="n"/>
      <c r="AA31" s="9" t="n"/>
      <c r="AB31" s="9" t="n"/>
      <c r="AC31" s="9" t="n"/>
      <c r="AD31" s="9" t="n"/>
      <c r="AE31" s="9" t="n"/>
      <c r="AF31" s="9" t="n"/>
      <c r="AG31" s="5" t="n"/>
      <c r="AH31" s="5" t="n"/>
      <c r="AJ31" s="1">
        <f>B31</f>
        <v/>
      </c>
      <c r="AK31" s="1">
        <f>C31</f>
        <v/>
      </c>
      <c r="AL31" s="8">
        <f>SUM(AP31:AX31)</f>
        <v/>
      </c>
      <c r="AM31" s="8">
        <f>SUM(AP31:AX31)</f>
        <v/>
      </c>
      <c r="AN31" s="8">
        <f>SUM(AP31:AX31)</f>
        <v/>
      </c>
      <c r="AO31" s="8">
        <f>SUM(AP31:AX31)</f>
        <v/>
      </c>
      <c r="AP31" s="8">
        <f>D31*Y31/G31</f>
        <v/>
      </c>
      <c r="AQ31" s="1">
        <f>E31*Y31/G31*-1</f>
        <v/>
      </c>
      <c r="AR31" s="1">
        <f>F31*X31/G31</f>
        <v/>
      </c>
      <c r="AS31" s="1">
        <f>1/G31*#REF!</f>
        <v/>
      </c>
      <c r="AT31" s="1">
        <f>H31*AG31/G31</f>
        <v/>
      </c>
      <c r="AU31" s="1">
        <f>I31*AG31/G31</f>
        <v/>
      </c>
      <c r="AV31" s="1">
        <f>L31/(0.9*8760)</f>
        <v/>
      </c>
      <c r="AW31" s="1">
        <f>M31/(0.9*8760)</f>
        <v/>
      </c>
      <c r="AX31" s="1">
        <f>N31/G31</f>
        <v/>
      </c>
    </row>
    <row r="32">
      <c r="B32" s="5" t="inlineStr">
        <is>
          <t>TX_TSC+H2in:CH4</t>
        </is>
      </c>
      <c r="C32" s="5" t="inlineStr">
        <is>
          <t>Ethane</t>
        </is>
      </c>
      <c r="D32" s="5" t="n">
        <v>0.1375867019</v>
      </c>
      <c r="E32" s="5" t="n">
        <v>0</v>
      </c>
      <c r="F32" s="5" t="n">
        <v>0</v>
      </c>
      <c r="G32" s="5" t="n">
        <v>0.05310189724</v>
      </c>
      <c r="H32" s="5" t="n">
        <v>0</v>
      </c>
      <c r="I32" s="5" t="n">
        <v>0.1181424966</v>
      </c>
      <c r="J32" s="5" t="n">
        <v>0</v>
      </c>
      <c r="K32" s="5" t="n"/>
      <c r="L32" s="5" t="n">
        <v>99124.32016</v>
      </c>
      <c r="M32" s="5" t="n">
        <v>54251.99777</v>
      </c>
      <c r="N32" s="5" t="n">
        <v>1.676159756</v>
      </c>
      <c r="P32" s="12" t="n">
        <v>99.913298</v>
      </c>
      <c r="Q32" s="4" t="n">
        <v>-4.998843</v>
      </c>
      <c r="R32" s="5" t="n"/>
      <c r="S32" s="5" t="n"/>
      <c r="T32" s="5" t="n"/>
      <c r="U32" s="5" t="n"/>
      <c r="V32" s="9" t="n"/>
      <c r="W32" s="9" t="n"/>
      <c r="X32" s="10" t="n"/>
      <c r="Y32" s="10" t="n"/>
      <c r="Z32" s="10" t="n"/>
      <c r="AA32" s="9" t="n"/>
      <c r="AB32" s="9" t="n"/>
      <c r="AC32" s="9" t="n"/>
      <c r="AD32" s="9" t="n"/>
      <c r="AE32" s="9" t="n"/>
      <c r="AF32" s="9" t="n"/>
      <c r="AG32" s="5" t="n"/>
      <c r="AH32" s="5" t="n"/>
      <c r="AJ32" s="1">
        <f>B32</f>
        <v/>
      </c>
      <c r="AK32" s="1">
        <f>C32</f>
        <v/>
      </c>
      <c r="AL32" s="8">
        <f>SUM(AP32:AX32)</f>
        <v/>
      </c>
      <c r="AM32" s="8">
        <f>SUM(AP32:AX32)</f>
        <v/>
      </c>
      <c r="AN32" s="8">
        <f>SUM(AP32:AX32)</f>
        <v/>
      </c>
      <c r="AO32" s="8">
        <f>SUM(AP32:AX32)</f>
        <v/>
      </c>
      <c r="AP32" s="8">
        <f>D32*Y32/G32</f>
        <v/>
      </c>
      <c r="AQ32" s="1">
        <f>E32*Y32/G32*-1</f>
        <v/>
      </c>
      <c r="AR32" s="1">
        <f>F32*X32/G32</f>
        <v/>
      </c>
      <c r="AS32" s="1">
        <f>1/G32*#REF!</f>
        <v/>
      </c>
      <c r="AT32" s="1">
        <f>H32*AG32/G32</f>
        <v/>
      </c>
      <c r="AU32" s="1">
        <f>I32*AG32/G32</f>
        <v/>
      </c>
      <c r="AV32" s="1">
        <f>L32/(0.9*8760)</f>
        <v/>
      </c>
      <c r="AW32" s="1">
        <f>M32/(0.9*8760)</f>
        <v/>
      </c>
      <c r="AX32" s="1">
        <f>N32/G32</f>
        <v/>
      </c>
    </row>
    <row r="33">
      <c r="B33" s="5" t="inlineStr">
        <is>
          <t>NCEN_TSC+CC90</t>
        </is>
      </c>
      <c r="C33" s="5" t="inlineStr">
        <is>
          <t>Ethane</t>
        </is>
      </c>
      <c r="D33" s="5" t="n">
        <v>0</v>
      </c>
      <c r="E33" s="5" t="n">
        <v>0</v>
      </c>
      <c r="F33" s="5" t="n">
        <v>0.008052966438000001</v>
      </c>
      <c r="G33" s="5" t="n">
        <v>0.05310189724</v>
      </c>
      <c r="H33" s="5" t="n">
        <v>0.02270169876</v>
      </c>
      <c r="I33" s="5" t="n">
        <v>0</v>
      </c>
      <c r="J33" s="5" t="n">
        <v>0.0241051226</v>
      </c>
      <c r="K33" s="5" t="n"/>
      <c r="L33" s="5" t="n">
        <v>106875.1697</v>
      </c>
      <c r="M33" s="5" t="n">
        <v>58496.38728</v>
      </c>
      <c r="N33" s="5" t="n">
        <v>1.807224085</v>
      </c>
      <c r="P33" s="12" t="n">
        <v>99.913298</v>
      </c>
      <c r="Q33" s="4" t="n">
        <v>-6.08881</v>
      </c>
      <c r="R33" s="5" t="n"/>
      <c r="S33" s="5" t="n"/>
      <c r="T33" s="5" t="n"/>
      <c r="U33" s="5" t="n"/>
      <c r="V33" s="9" t="n"/>
      <c r="W33" s="9" t="n"/>
      <c r="X33" s="10" t="n"/>
      <c r="Y33" s="10" t="n"/>
      <c r="Z33" s="10" t="n"/>
      <c r="AA33" s="9" t="n"/>
      <c r="AB33" s="9" t="n"/>
      <c r="AC33" s="9" t="n"/>
      <c r="AD33" s="9" t="n"/>
      <c r="AE33" s="9" t="n"/>
      <c r="AF33" s="9" t="n"/>
      <c r="AG33" s="5" t="n"/>
      <c r="AH33" s="5" t="n"/>
      <c r="AJ33" s="1">
        <f>B33</f>
        <v/>
      </c>
      <c r="AK33" s="1">
        <f>C33</f>
        <v/>
      </c>
      <c r="AL33" s="8">
        <f>SUM(AP33:AX33)</f>
        <v/>
      </c>
      <c r="AM33" s="8">
        <f>SUM(AP33:AX33)</f>
        <v/>
      </c>
      <c r="AN33" s="8">
        <f>SUM(AP33:AX33)</f>
        <v/>
      </c>
      <c r="AO33" s="8">
        <f>SUM(AP33:AX33)</f>
        <v/>
      </c>
      <c r="AP33" s="8">
        <f>D33*Y33/G33</f>
        <v/>
      </c>
      <c r="AQ33" s="1">
        <f>E33*Y33/G33*-1</f>
        <v/>
      </c>
      <c r="AR33" s="1">
        <f>F33*X33/G33</f>
        <v/>
      </c>
      <c r="AS33" s="1">
        <f>1/G33*#REF!</f>
        <v/>
      </c>
      <c r="AT33" s="1">
        <f>H33*AG33/G33</f>
        <v/>
      </c>
      <c r="AU33" s="1">
        <f>I33*AG33/G33</f>
        <v/>
      </c>
      <c r="AV33" s="1">
        <f>L33/(0.9*8760)</f>
        <v/>
      </c>
      <c r="AW33" s="1">
        <f>M33/(0.9*8760)</f>
        <v/>
      </c>
      <c r="AX33" s="1">
        <f>N33/G33</f>
        <v/>
      </c>
    </row>
    <row r="34">
      <c r="B34" s="5" t="inlineStr">
        <is>
          <t>NCEN_TSC:H2</t>
        </is>
      </c>
      <c r="C34" s="5" t="inlineStr">
        <is>
          <t>Ethane</t>
        </is>
      </c>
      <c r="D34" s="5" t="n">
        <v>0</v>
      </c>
      <c r="E34" s="5" t="n">
        <v>0.1598531434</v>
      </c>
      <c r="F34" s="5" t="n">
        <v>0</v>
      </c>
      <c r="G34" s="5" t="n">
        <v>0.05310189724</v>
      </c>
      <c r="H34" s="5" t="n">
        <v>0.1318322859</v>
      </c>
      <c r="I34" s="5" t="n">
        <v>0</v>
      </c>
      <c r="J34" s="5" t="n">
        <v>0</v>
      </c>
      <c r="K34" s="5" t="n"/>
      <c r="L34" s="5" t="n">
        <v>99124.32016</v>
      </c>
      <c r="M34" s="5" t="n">
        <v>54251.99777</v>
      </c>
      <c r="N34" s="5" t="n">
        <v>1.676159756</v>
      </c>
      <c r="P34" s="12" t="n">
        <v>99.913298</v>
      </c>
      <c r="Q34" s="4" t="n">
        <v>-6.08881</v>
      </c>
      <c r="R34" s="5" t="n"/>
      <c r="S34" s="5" t="n"/>
      <c r="T34" s="5" t="n"/>
      <c r="U34" s="5" t="n"/>
      <c r="V34" s="9" t="n"/>
      <c r="W34" s="9" t="n"/>
      <c r="X34" s="10" t="n"/>
      <c r="Y34" s="10" t="n"/>
      <c r="Z34" s="10" t="n"/>
      <c r="AA34" s="9" t="n"/>
      <c r="AB34" s="9" t="n"/>
      <c r="AC34" s="9" t="n"/>
      <c r="AD34" s="9" t="n"/>
      <c r="AE34" s="9" t="n"/>
      <c r="AF34" s="9" t="n"/>
      <c r="AG34" s="5" t="n"/>
      <c r="AH34" s="5" t="n"/>
      <c r="AJ34" s="1">
        <f>B34</f>
        <v/>
      </c>
      <c r="AK34" s="1">
        <f>C34</f>
        <v/>
      </c>
      <c r="AL34" s="8">
        <f>SUM(AP34:AX34)</f>
        <v/>
      </c>
      <c r="AM34" s="8">
        <f>SUM(AP34:AX34)</f>
        <v/>
      </c>
      <c r="AN34" s="8">
        <f>SUM(AP34:AX34)</f>
        <v/>
      </c>
      <c r="AO34" s="8">
        <f>SUM(AP34:AX34)</f>
        <v/>
      </c>
      <c r="AP34" s="8">
        <f>D34*Y34/G34</f>
        <v/>
      </c>
      <c r="AQ34" s="1">
        <f>E34*Y34/G34*-1</f>
        <v/>
      </c>
      <c r="AR34" s="1">
        <f>F34*X34/G34</f>
        <v/>
      </c>
      <c r="AS34" s="1">
        <f>1/G34*#REF!</f>
        <v/>
      </c>
      <c r="AT34" s="1">
        <f>H34*AG34/G34</f>
        <v/>
      </c>
      <c r="AU34" s="1">
        <f>I34*AG34/G34</f>
        <v/>
      </c>
      <c r="AV34" s="1">
        <f>L34/(0.9*8760)</f>
        <v/>
      </c>
      <c r="AW34" s="1">
        <f>M34/(0.9*8760)</f>
        <v/>
      </c>
      <c r="AX34" s="1">
        <f>N34/G34</f>
        <v/>
      </c>
    </row>
    <row r="35">
      <c r="B35" s="5" t="inlineStr">
        <is>
          <t>NCEN_TSC+CC90:H2</t>
        </is>
      </c>
      <c r="C35" s="5" t="inlineStr">
        <is>
          <t>Ethane</t>
        </is>
      </c>
      <c r="D35" s="5" t="n">
        <v>0</v>
      </c>
      <c r="E35" s="5" t="n">
        <v>0.1598531434</v>
      </c>
      <c r="F35" s="5" t="n">
        <v>0.009388736698</v>
      </c>
      <c r="G35" s="5" t="n">
        <v>0.05310189724</v>
      </c>
      <c r="H35" s="5" t="n">
        <v>0.1318322859</v>
      </c>
      <c r="I35" s="5" t="n">
        <v>0</v>
      </c>
      <c r="J35" s="5" t="n">
        <v>0.04188723326</v>
      </c>
      <c r="K35" s="5" t="n"/>
      <c r="L35" s="5" t="n">
        <v>106900.9741</v>
      </c>
      <c r="M35" s="5" t="n">
        <v>58510.18581</v>
      </c>
      <c r="N35" s="5" t="n">
        <v>1.807660423</v>
      </c>
      <c r="P35" s="12" t="n">
        <v>99.913298</v>
      </c>
      <c r="Q35" s="4" t="n">
        <v>-6.08881</v>
      </c>
      <c r="R35" s="5" t="n"/>
      <c r="S35" s="5" t="n"/>
      <c r="T35" s="5" t="n"/>
      <c r="U35" s="5" t="n"/>
      <c r="V35" s="9" t="n"/>
      <c r="W35" s="9" t="n"/>
      <c r="X35" s="10" t="n"/>
      <c r="Y35" s="10" t="n"/>
      <c r="Z35" s="10" t="n"/>
      <c r="AA35" s="9" t="n"/>
      <c r="AB35" s="9" t="n"/>
      <c r="AC35" s="9" t="n"/>
      <c r="AD35" s="9" t="n"/>
      <c r="AE35" s="9" t="n"/>
      <c r="AF35" s="9" t="n"/>
      <c r="AG35" s="5" t="n"/>
      <c r="AH35" s="5" t="n"/>
      <c r="AJ35" s="1">
        <f>B35</f>
        <v/>
      </c>
      <c r="AK35" s="1">
        <f>C35</f>
        <v/>
      </c>
      <c r="AL35" s="8">
        <f>SUM(AP35:AX35)</f>
        <v/>
      </c>
      <c r="AM35" s="8">
        <f>SUM(AP35:AX35)</f>
        <v/>
      </c>
      <c r="AN35" s="8">
        <f>SUM(AP35:AX35)</f>
        <v/>
      </c>
      <c r="AO35" s="8">
        <f>SUM(AP35:AX35)</f>
        <v/>
      </c>
      <c r="AP35" s="8">
        <f>D35*Y35/G35</f>
        <v/>
      </c>
      <c r="AQ35" s="1">
        <f>E35*Y35/G35*-1</f>
        <v/>
      </c>
      <c r="AR35" s="1">
        <f>F35*X35/G35</f>
        <v/>
      </c>
      <c r="AS35" s="1">
        <f>1/G35*#REF!</f>
        <v/>
      </c>
      <c r="AT35" s="1">
        <f>H35*AG35/G35</f>
        <v/>
      </c>
      <c r="AU35" s="1">
        <f>I35*AG35/G35</f>
        <v/>
      </c>
      <c r="AV35" s="1">
        <f>L35/(0.9*8760)</f>
        <v/>
      </c>
      <c r="AW35" s="1">
        <f>M35/(0.9*8760)</f>
        <v/>
      </c>
      <c r="AX35" s="1">
        <f>N35/G35</f>
        <v/>
      </c>
    </row>
    <row r="36">
      <c r="B36" s="5" t="inlineStr">
        <is>
          <t>NCEN_TSC+H2in</t>
        </is>
      </c>
      <c r="C36" s="5" t="inlineStr">
        <is>
          <t>Ethane</t>
        </is>
      </c>
      <c r="D36" s="5" t="n">
        <v>0.02226644157</v>
      </c>
      <c r="E36" s="5" t="n">
        <v>0</v>
      </c>
      <c r="F36" s="5" t="n">
        <v>0</v>
      </c>
      <c r="G36" s="5" t="n">
        <v>0.05310189724</v>
      </c>
      <c r="H36" s="5" t="n">
        <v>0</v>
      </c>
      <c r="I36" s="5" t="n">
        <v>0</v>
      </c>
      <c r="J36" s="5" t="n">
        <v>0</v>
      </c>
      <c r="K36" s="5" t="n"/>
      <c r="L36" s="5" t="n">
        <v>99124.32016</v>
      </c>
      <c r="M36" s="5" t="n">
        <v>54251.99777</v>
      </c>
      <c r="N36" s="5" t="n">
        <v>1.676159756</v>
      </c>
      <c r="P36" s="12" t="n">
        <v>99.913298</v>
      </c>
      <c r="Q36" s="4" t="n">
        <v>-6.08881</v>
      </c>
      <c r="R36" s="5" t="n"/>
      <c r="S36" s="5" t="n"/>
      <c r="T36" s="5" t="n"/>
      <c r="U36" s="5" t="n"/>
      <c r="V36" s="9" t="n"/>
      <c r="W36" s="9" t="n"/>
      <c r="X36" s="10" t="n"/>
      <c r="Y36" s="10" t="n"/>
      <c r="Z36" s="10" t="n"/>
      <c r="AA36" s="9" t="n"/>
      <c r="AB36" s="9" t="n"/>
      <c r="AC36" s="9" t="n"/>
      <c r="AD36" s="9" t="n"/>
      <c r="AE36" s="9" t="n"/>
      <c r="AF36" s="9" t="n"/>
      <c r="AG36" s="5" t="n"/>
      <c r="AH36" s="5" t="n"/>
      <c r="AJ36" s="1">
        <f>B36</f>
        <v/>
      </c>
      <c r="AK36" s="1">
        <f>C36</f>
        <v/>
      </c>
      <c r="AL36" s="8">
        <f>SUM(AP36:AX36)</f>
        <v/>
      </c>
      <c r="AM36" s="8">
        <f>SUM(AP36:AX36)</f>
        <v/>
      </c>
      <c r="AN36" s="8">
        <f>SUM(AP36:AX36)</f>
        <v/>
      </c>
      <c r="AO36" s="8">
        <f>SUM(AP36:AX36)</f>
        <v/>
      </c>
      <c r="AP36" s="8">
        <f>D36*Y36/G36</f>
        <v/>
      </c>
      <c r="AQ36" s="1">
        <f>E36*Y36/G36*-1</f>
        <v/>
      </c>
      <c r="AR36" s="1">
        <f>F36*X36/G36</f>
        <v/>
      </c>
      <c r="AS36" s="1">
        <f>1/G36*#REF!</f>
        <v/>
      </c>
      <c r="AT36" s="1">
        <f>H36*AG36/G36</f>
        <v/>
      </c>
      <c r="AU36" s="1">
        <f>I36*AG36/G36</f>
        <v/>
      </c>
      <c r="AV36" s="1">
        <f>L36/(0.9*8760)</f>
        <v/>
      </c>
      <c r="AW36" s="1">
        <f>M36/(0.9*8760)</f>
        <v/>
      </c>
      <c r="AX36" s="1">
        <f>N36/G36</f>
        <v/>
      </c>
    </row>
    <row r="37">
      <c r="B37" s="5" t="inlineStr">
        <is>
          <t>NCEN_TSC+H2in:CH4</t>
        </is>
      </c>
      <c r="C37" s="5" t="inlineStr">
        <is>
          <t>Ethane</t>
        </is>
      </c>
      <c r="D37" s="5" t="n">
        <v>0.1375867019</v>
      </c>
      <c r="E37" s="5" t="n">
        <v>0</v>
      </c>
      <c r="F37" s="5" t="n">
        <v>0</v>
      </c>
      <c r="G37" s="5" t="n">
        <v>0.05310189724</v>
      </c>
      <c r="H37" s="5" t="n">
        <v>0</v>
      </c>
      <c r="I37" s="5" t="n">
        <v>0.1181424966</v>
      </c>
      <c r="J37" s="5" t="n">
        <v>0</v>
      </c>
      <c r="K37" s="5" t="n"/>
      <c r="L37" s="5" t="n">
        <v>99124.32016</v>
      </c>
      <c r="M37" s="5" t="n">
        <v>54251.99777</v>
      </c>
      <c r="N37" s="5" t="n">
        <v>1.676159756</v>
      </c>
      <c r="P37" s="12" t="n">
        <v>99.913298</v>
      </c>
      <c r="Q37" s="4" t="n">
        <v>-6.08881</v>
      </c>
      <c r="R37" s="5" t="n"/>
      <c r="S37" s="5" t="n"/>
      <c r="T37" s="5" t="n"/>
      <c r="U37" s="5" t="n"/>
      <c r="V37" s="9" t="n"/>
      <c r="W37" s="9" t="n"/>
      <c r="X37" s="10" t="n"/>
      <c r="Y37" s="10" t="n"/>
      <c r="Z37" s="10" t="n"/>
      <c r="AA37" s="9" t="n"/>
      <c r="AB37" s="9" t="n"/>
      <c r="AC37" s="9" t="n"/>
      <c r="AD37" s="9" t="n"/>
      <c r="AE37" s="9" t="n"/>
      <c r="AF37" s="9" t="n"/>
      <c r="AG37" s="5" t="n"/>
      <c r="AH37" s="5" t="n"/>
      <c r="AJ37" s="1">
        <f>B37</f>
        <v/>
      </c>
      <c r="AK37" s="1">
        <f>C37</f>
        <v/>
      </c>
      <c r="AL37" s="8">
        <f>SUM(AP37:AX37)</f>
        <v/>
      </c>
      <c r="AM37" s="8">
        <f>SUM(AP37:AX37)</f>
        <v/>
      </c>
      <c r="AN37" s="8">
        <f>SUM(AP37:AX37)</f>
        <v/>
      </c>
      <c r="AO37" s="8">
        <f>SUM(AP37:AX37)</f>
        <v/>
      </c>
      <c r="AP37" s="8">
        <f>D37*Y37/G37</f>
        <v/>
      </c>
      <c r="AQ37" s="1">
        <f>E37*Y37/G37*-1</f>
        <v/>
      </c>
      <c r="AR37" s="1">
        <f>F37*X37/G37</f>
        <v/>
      </c>
      <c r="AS37" s="1">
        <f>1/G37*#REF!</f>
        <v/>
      </c>
      <c r="AT37" s="1">
        <f>H37*AG37/G37</f>
        <v/>
      </c>
      <c r="AU37" s="1">
        <f>I37*AG37/G37</f>
        <v/>
      </c>
      <c r="AV37" s="1">
        <f>L37/(0.9*8760)</f>
        <v/>
      </c>
      <c r="AW37" s="1">
        <f>M37/(0.9*8760)</f>
        <v/>
      </c>
      <c r="AX37" s="1">
        <f>N37/G37</f>
        <v/>
      </c>
    </row>
    <row r="38">
      <c r="B38" s="5" t="inlineStr">
        <is>
          <t>CEN_TSC+CC90</t>
        </is>
      </c>
      <c r="C38" s="5" t="inlineStr">
        <is>
          <t>Ethane</t>
        </is>
      </c>
      <c r="D38" s="5" t="n">
        <v>0</v>
      </c>
      <c r="E38" s="5" t="n">
        <v>0</v>
      </c>
      <c r="F38" s="5" t="n">
        <v>0.008052966438000001</v>
      </c>
      <c r="G38" s="5" t="n">
        <v>0.05310189724</v>
      </c>
      <c r="H38" s="5" t="n">
        <v>0.02270169876</v>
      </c>
      <c r="I38" s="5" t="n">
        <v>0</v>
      </c>
      <c r="J38" s="5" t="n">
        <v>0.0241051226</v>
      </c>
      <c r="K38" s="5" t="n"/>
      <c r="L38" s="5" t="n">
        <v>106875.1697</v>
      </c>
      <c r="M38" s="5" t="n">
        <v>58496.38728</v>
      </c>
      <c r="N38" s="5" t="n">
        <v>1.807224085</v>
      </c>
      <c r="P38" s="12" t="n">
        <v>99.913298</v>
      </c>
      <c r="Q38" s="4" t="n">
        <v>-6.197641</v>
      </c>
      <c r="R38" s="5" t="n"/>
      <c r="S38" s="5" t="n"/>
      <c r="T38" s="5" t="n"/>
      <c r="U38" s="5" t="n"/>
      <c r="V38" s="9" t="n"/>
      <c r="W38" s="9" t="n"/>
      <c r="X38" s="10" t="n"/>
      <c r="Y38" s="10" t="n"/>
      <c r="Z38" s="10" t="n"/>
      <c r="AA38" s="9" t="n"/>
      <c r="AB38" s="9" t="n"/>
      <c r="AC38" s="9" t="n"/>
      <c r="AD38" s="9" t="n"/>
      <c r="AE38" s="9" t="n"/>
      <c r="AF38" s="9" t="n"/>
      <c r="AG38" s="5" t="n"/>
      <c r="AH38" s="5" t="n"/>
      <c r="AJ38" s="1">
        <f>B38</f>
        <v/>
      </c>
      <c r="AK38" s="1">
        <f>C38</f>
        <v/>
      </c>
      <c r="AL38" s="8">
        <f>SUM(AP38:AX38)</f>
        <v/>
      </c>
      <c r="AM38" s="8">
        <f>SUM(AP38:AX38)</f>
        <v/>
      </c>
      <c r="AN38" s="8">
        <f>SUM(AP38:AX38)</f>
        <v/>
      </c>
      <c r="AO38" s="8">
        <f>SUM(AP38:AX38)</f>
        <v/>
      </c>
      <c r="AP38" s="8">
        <f>D38*Y38/G38</f>
        <v/>
      </c>
      <c r="AQ38" s="1">
        <f>E38*Y38/G38*-1</f>
        <v/>
      </c>
      <c r="AR38" s="1">
        <f>F38*X38/G38</f>
        <v/>
      </c>
      <c r="AS38" s="1">
        <f>1/G38*#REF!</f>
        <v/>
      </c>
      <c r="AT38" s="1">
        <f>H38*AG38/G38</f>
        <v/>
      </c>
      <c r="AU38" s="1">
        <f>I38*AG38/G38</f>
        <v/>
      </c>
      <c r="AV38" s="1">
        <f>L38/(0.9*8760)</f>
        <v/>
      </c>
      <c r="AW38" s="1">
        <f>M38/(0.9*8760)</f>
        <v/>
      </c>
      <c r="AX38" s="1">
        <f>N38/G38</f>
        <v/>
      </c>
    </row>
    <row r="39">
      <c r="B39" s="5" t="inlineStr">
        <is>
          <t>CEN_TSC:H2</t>
        </is>
      </c>
      <c r="C39" s="5" t="inlineStr">
        <is>
          <t>Ethane</t>
        </is>
      </c>
      <c r="D39" s="5" t="n">
        <v>0</v>
      </c>
      <c r="E39" s="5" t="n">
        <v>0.1598531434</v>
      </c>
      <c r="F39" s="5" t="n">
        <v>0</v>
      </c>
      <c r="G39" s="5" t="n">
        <v>0.05310189724</v>
      </c>
      <c r="H39" s="5" t="n">
        <v>0.1318322859</v>
      </c>
      <c r="I39" s="5" t="n">
        <v>0</v>
      </c>
      <c r="J39" s="5" t="n">
        <v>0</v>
      </c>
      <c r="K39" s="5" t="n"/>
      <c r="L39" s="5" t="n">
        <v>99124.32016</v>
      </c>
      <c r="M39" s="5" t="n">
        <v>54251.99777</v>
      </c>
      <c r="N39" s="5" t="n">
        <v>1.676159756</v>
      </c>
      <c r="P39" s="12" t="n">
        <v>99.913298</v>
      </c>
      <c r="Q39" s="4" t="n">
        <v>-6.197641</v>
      </c>
      <c r="R39" s="5" t="n"/>
      <c r="S39" s="5" t="n"/>
      <c r="T39" s="5" t="n"/>
      <c r="U39" s="5" t="n"/>
      <c r="V39" s="9" t="n"/>
      <c r="W39" s="9" t="n"/>
      <c r="X39" s="10" t="n"/>
      <c r="Y39" s="10" t="n"/>
      <c r="Z39" s="10" t="n"/>
      <c r="AA39" s="9" t="n"/>
      <c r="AB39" s="9" t="n"/>
      <c r="AC39" s="9" t="n"/>
      <c r="AD39" s="9" t="n"/>
      <c r="AE39" s="9" t="n"/>
      <c r="AF39" s="9" t="n"/>
      <c r="AG39" s="5" t="n"/>
      <c r="AH39" s="5" t="n"/>
      <c r="AJ39" s="1">
        <f>B39</f>
        <v/>
      </c>
      <c r="AK39" s="1">
        <f>C39</f>
        <v/>
      </c>
      <c r="AL39" s="8">
        <f>SUM(AP39:AX39)</f>
        <v/>
      </c>
      <c r="AM39" s="8">
        <f>SUM(AP39:AX39)</f>
        <v/>
      </c>
      <c r="AN39" s="8">
        <f>SUM(AP39:AX39)</f>
        <v/>
      </c>
      <c r="AO39" s="8">
        <f>SUM(AP39:AX39)</f>
        <v/>
      </c>
      <c r="AP39" s="8">
        <f>D39*Y39/G39</f>
        <v/>
      </c>
      <c r="AQ39" s="1">
        <f>E39*Y39/G39*-1</f>
        <v/>
      </c>
      <c r="AR39" s="1">
        <f>F39*X39/G39</f>
        <v/>
      </c>
      <c r="AS39" s="1">
        <f>1/G39*#REF!</f>
        <v/>
      </c>
      <c r="AT39" s="1">
        <f>H39*AG39/G39</f>
        <v/>
      </c>
      <c r="AU39" s="1">
        <f>I39*AG39/G39</f>
        <v/>
      </c>
      <c r="AV39" s="1">
        <f>L39/(0.9*8760)</f>
        <v/>
      </c>
      <c r="AW39" s="1">
        <f>M39/(0.9*8760)</f>
        <v/>
      </c>
      <c r="AX39" s="1">
        <f>N39/G39</f>
        <v/>
      </c>
    </row>
    <row r="40">
      <c r="B40" s="5" t="inlineStr">
        <is>
          <t>CEN_TSC+CC90:H2</t>
        </is>
      </c>
      <c r="C40" s="5" t="inlineStr">
        <is>
          <t>Ethane</t>
        </is>
      </c>
      <c r="D40" s="5" t="n">
        <v>0</v>
      </c>
      <c r="E40" s="5" t="n">
        <v>0.1598531434</v>
      </c>
      <c r="F40" s="5" t="n">
        <v>0.009388736698</v>
      </c>
      <c r="G40" s="5" t="n">
        <v>0.05310189724</v>
      </c>
      <c r="H40" s="5" t="n">
        <v>0.1318322859</v>
      </c>
      <c r="I40" s="5" t="n">
        <v>0</v>
      </c>
      <c r="J40" s="5" t="n">
        <v>0.04188723326</v>
      </c>
      <c r="K40" s="5" t="n"/>
      <c r="L40" s="5" t="n">
        <v>106900.9741</v>
      </c>
      <c r="M40" s="5" t="n">
        <v>58510.18581</v>
      </c>
      <c r="N40" s="5" t="n">
        <v>1.807660423</v>
      </c>
      <c r="P40" s="12" t="n">
        <v>99.913298</v>
      </c>
      <c r="Q40" s="4" t="n">
        <v>-6.197641</v>
      </c>
      <c r="R40" s="5" t="n"/>
      <c r="S40" s="5" t="n"/>
      <c r="T40" s="5" t="n"/>
      <c r="U40" s="5" t="n"/>
      <c r="V40" s="9" t="n"/>
      <c r="W40" s="9" t="n"/>
      <c r="X40" s="10" t="n"/>
      <c r="Y40" s="10" t="n"/>
      <c r="Z40" s="10" t="n"/>
      <c r="AA40" s="9" t="n"/>
      <c r="AB40" s="9" t="n"/>
      <c r="AC40" s="9" t="n"/>
      <c r="AD40" s="9" t="n"/>
      <c r="AE40" s="9" t="n"/>
      <c r="AF40" s="9" t="n"/>
      <c r="AG40" s="5" t="n"/>
      <c r="AH40" s="5" t="n"/>
      <c r="AJ40" s="1">
        <f>B40</f>
        <v/>
      </c>
      <c r="AK40" s="1">
        <f>C40</f>
        <v/>
      </c>
      <c r="AL40" s="8">
        <f>SUM(AP40:AX40)</f>
        <v/>
      </c>
      <c r="AM40" s="8">
        <f>SUM(AP40:AX40)</f>
        <v/>
      </c>
      <c r="AN40" s="8">
        <f>SUM(AP40:AX40)</f>
        <v/>
      </c>
      <c r="AO40" s="8">
        <f>SUM(AP40:AX40)</f>
        <v/>
      </c>
      <c r="AP40" s="8">
        <f>D40*Y40/G40</f>
        <v/>
      </c>
      <c r="AQ40" s="1">
        <f>E40*Y40/G40*-1</f>
        <v/>
      </c>
      <c r="AR40" s="1">
        <f>F40*X40/G40</f>
        <v/>
      </c>
      <c r="AS40" s="1">
        <f>1/G40*#REF!</f>
        <v/>
      </c>
      <c r="AT40" s="1">
        <f>H40*AG40/G40</f>
        <v/>
      </c>
      <c r="AU40" s="1">
        <f>I40*AG40/G40</f>
        <v/>
      </c>
      <c r="AV40" s="1">
        <f>L40/(0.9*8760)</f>
        <v/>
      </c>
      <c r="AW40" s="1">
        <f>M40/(0.9*8760)</f>
        <v/>
      </c>
      <c r="AX40" s="1">
        <f>N40/G40</f>
        <v/>
      </c>
    </row>
    <row r="41">
      <c r="B41" s="5" t="inlineStr">
        <is>
          <t>CEN_TSC+H2in</t>
        </is>
      </c>
      <c r="C41" s="5" t="inlineStr">
        <is>
          <t>Ethane</t>
        </is>
      </c>
      <c r="D41" s="5" t="n">
        <v>0.02226644157</v>
      </c>
      <c r="E41" s="5" t="n">
        <v>0</v>
      </c>
      <c r="F41" s="5" t="n">
        <v>0</v>
      </c>
      <c r="G41" s="5" t="n">
        <v>0.05310189724</v>
      </c>
      <c r="H41" s="5" t="n">
        <v>0</v>
      </c>
      <c r="I41" s="5" t="n">
        <v>0</v>
      </c>
      <c r="J41" s="5" t="n">
        <v>0</v>
      </c>
      <c r="K41" s="5" t="n"/>
      <c r="L41" s="5" t="n">
        <v>99124.32016</v>
      </c>
      <c r="M41" s="5" t="n">
        <v>54251.99777</v>
      </c>
      <c r="N41" s="5" t="n">
        <v>1.676159756</v>
      </c>
      <c r="P41" s="12" t="n">
        <v>99.913298</v>
      </c>
      <c r="Q41" s="4" t="n">
        <v>-6.197641</v>
      </c>
      <c r="R41" s="5" t="n"/>
      <c r="S41" s="5" t="n"/>
      <c r="T41" s="5" t="n"/>
      <c r="U41" s="5" t="n"/>
      <c r="V41" s="9" t="n"/>
      <c r="W41" s="9" t="n"/>
      <c r="X41" s="10" t="n"/>
      <c r="Y41" s="10" t="n"/>
      <c r="Z41" s="10" t="n"/>
      <c r="AA41" s="9" t="n"/>
      <c r="AB41" s="9" t="n"/>
      <c r="AC41" s="9" t="n"/>
      <c r="AD41" s="9" t="n"/>
      <c r="AE41" s="9" t="n"/>
      <c r="AF41" s="9" t="n"/>
      <c r="AG41" s="5" t="n"/>
      <c r="AH41" s="5" t="n"/>
      <c r="AJ41" s="1">
        <f>B41</f>
        <v/>
      </c>
      <c r="AK41" s="1">
        <f>C41</f>
        <v/>
      </c>
      <c r="AL41" s="8">
        <f>SUM(AP41:AX41)</f>
        <v/>
      </c>
      <c r="AM41" s="8">
        <f>SUM(AP41:AX41)</f>
        <v/>
      </c>
      <c r="AN41" s="8">
        <f>SUM(AP41:AX41)</f>
        <v/>
      </c>
      <c r="AO41" s="8">
        <f>SUM(AP41:AX41)</f>
        <v/>
      </c>
      <c r="AP41" s="8">
        <f>D41*Y41/G41</f>
        <v/>
      </c>
      <c r="AQ41" s="1">
        <f>E41*Y41/G41*-1</f>
        <v/>
      </c>
      <c r="AR41" s="1">
        <f>F41*X41/G41</f>
        <v/>
      </c>
      <c r="AS41" s="1">
        <f>1/G41*#REF!</f>
        <v/>
      </c>
      <c r="AT41" s="1">
        <f>H41*AG41/G41</f>
        <v/>
      </c>
      <c r="AU41" s="1">
        <f>I41*AG41/G41</f>
        <v/>
      </c>
      <c r="AV41" s="1">
        <f>L41/(0.9*8760)</f>
        <v/>
      </c>
      <c r="AW41" s="1">
        <f>M41/(0.9*8760)</f>
        <v/>
      </c>
      <c r="AX41" s="1">
        <f>N41/G41</f>
        <v/>
      </c>
    </row>
    <row r="42">
      <c r="B42" s="5" t="inlineStr">
        <is>
          <t>CEN_TSC+H2in:CH4</t>
        </is>
      </c>
      <c r="C42" s="5" t="inlineStr">
        <is>
          <t>Ethane</t>
        </is>
      </c>
      <c r="D42" s="5" t="n">
        <v>0.1375867019</v>
      </c>
      <c r="E42" s="5" t="n">
        <v>0</v>
      </c>
      <c r="F42" s="5" t="n">
        <v>0</v>
      </c>
      <c r="G42" s="5" t="n">
        <v>0.05310189724</v>
      </c>
      <c r="H42" s="5" t="n">
        <v>0</v>
      </c>
      <c r="I42" s="5" t="n">
        <v>0.1181424966</v>
      </c>
      <c r="J42" s="5" t="n">
        <v>0</v>
      </c>
      <c r="K42" s="5" t="n"/>
      <c r="L42" s="5" t="n">
        <v>99124.32016</v>
      </c>
      <c r="M42" s="5" t="n">
        <v>54251.99777</v>
      </c>
      <c r="N42" s="5" t="n">
        <v>1.676159756</v>
      </c>
      <c r="P42" s="12" t="n">
        <v>99.913298</v>
      </c>
      <c r="Q42" s="4" t="n">
        <v>-6.197641</v>
      </c>
      <c r="R42" s="5" t="n"/>
      <c r="S42" s="5" t="n"/>
      <c r="T42" s="5" t="n"/>
      <c r="U42" s="5" t="n"/>
      <c r="V42" s="9" t="n"/>
      <c r="W42" s="9" t="n"/>
      <c r="X42" s="10" t="n"/>
      <c r="Y42" s="10" t="n"/>
      <c r="Z42" s="10" t="n"/>
      <c r="AA42" s="9" t="n"/>
      <c r="AB42" s="9" t="n"/>
      <c r="AC42" s="9" t="n"/>
      <c r="AD42" s="9" t="n"/>
      <c r="AE42" s="9" t="n"/>
      <c r="AF42" s="9" t="n"/>
      <c r="AG42" s="5" t="n"/>
      <c r="AH42" s="5" t="n"/>
      <c r="AJ42" s="1">
        <f>B42</f>
        <v/>
      </c>
      <c r="AK42" s="1">
        <f>C42</f>
        <v/>
      </c>
      <c r="AL42" s="8">
        <f>SUM(AP42:AX42)</f>
        <v/>
      </c>
      <c r="AM42" s="8">
        <f>SUM(AP42:AX42)</f>
        <v/>
      </c>
      <c r="AN42" s="8">
        <f>SUM(AP42:AX42)</f>
        <v/>
      </c>
      <c r="AO42" s="8">
        <f>SUM(AP42:AX42)</f>
        <v/>
      </c>
      <c r="AP42" s="8">
        <f>D42*Y42/G42</f>
        <v/>
      </c>
      <c r="AQ42" s="1">
        <f>E42*Y42/G42*-1</f>
        <v/>
      </c>
      <c r="AR42" s="1">
        <f>F42*X42/G42</f>
        <v/>
      </c>
      <c r="AS42" s="1">
        <f>1/G42*#REF!</f>
        <v/>
      </c>
      <c r="AT42" s="1">
        <f>H42*AG42/G42</f>
        <v/>
      </c>
      <c r="AU42" s="1">
        <f>I42*AG42/G42</f>
        <v/>
      </c>
      <c r="AV42" s="1">
        <f>L42/(0.9*8760)</f>
        <v/>
      </c>
      <c r="AW42" s="1">
        <f>M42/(0.9*8760)</f>
        <v/>
      </c>
      <c r="AX42" s="1">
        <f>N42/G42</f>
        <v/>
      </c>
    </row>
    <row r="43">
      <c r="B43" s="5" t="inlineStr">
        <is>
          <t>SE_TSC+CC90</t>
        </is>
      </c>
      <c r="C43" s="5" t="inlineStr">
        <is>
          <t>Ethane</t>
        </is>
      </c>
      <c r="D43" s="5" t="n">
        <v>0</v>
      </c>
      <c r="E43" s="5" t="n">
        <v>0</v>
      </c>
      <c r="F43" s="5" t="n">
        <v>0.008052966438000001</v>
      </c>
      <c r="G43" s="5" t="n">
        <v>0.05310189724</v>
      </c>
      <c r="H43" s="5" t="n">
        <v>0.02270169876</v>
      </c>
      <c r="I43" s="5" t="n">
        <v>0</v>
      </c>
      <c r="J43" s="5" t="n">
        <v>0.0241051226</v>
      </c>
      <c r="K43" s="5" t="n"/>
      <c r="L43" s="5" t="n">
        <v>106875.1697</v>
      </c>
      <c r="M43" s="5" t="n">
        <v>58496.38728</v>
      </c>
      <c r="N43" s="5" t="n">
        <v>1.807224085</v>
      </c>
      <c r="P43" s="12" t="n">
        <v>99.913298</v>
      </c>
      <c r="Q43" s="4" t="n">
        <v>-6.084348</v>
      </c>
      <c r="R43" s="5" t="n"/>
      <c r="S43" s="5" t="n"/>
      <c r="T43" s="5" t="n"/>
      <c r="U43" s="5" t="n"/>
      <c r="V43" s="9" t="n"/>
      <c r="W43" s="9" t="n"/>
      <c r="X43" s="10" t="n"/>
      <c r="Y43" s="10" t="n"/>
      <c r="Z43" s="10" t="n"/>
      <c r="AA43" s="9" t="n"/>
      <c r="AB43" s="9" t="n"/>
      <c r="AC43" s="9" t="n"/>
      <c r="AD43" s="9" t="n"/>
      <c r="AE43" s="9" t="n"/>
      <c r="AF43" s="9" t="n"/>
      <c r="AG43" s="5" t="n"/>
      <c r="AH43" s="5" t="n"/>
      <c r="AJ43" s="1">
        <f>B43</f>
        <v/>
      </c>
      <c r="AK43" s="1">
        <f>C43</f>
        <v/>
      </c>
      <c r="AL43" s="8">
        <f>SUM(AP43:AX43)</f>
        <v/>
      </c>
      <c r="AM43" s="8">
        <f>SUM(AP43:AX43)</f>
        <v/>
      </c>
      <c r="AN43" s="8">
        <f>SUM(AP43:AX43)</f>
        <v/>
      </c>
      <c r="AO43" s="8">
        <f>SUM(AP43:AX43)</f>
        <v/>
      </c>
      <c r="AP43" s="8">
        <f>D43*Y43/G43</f>
        <v/>
      </c>
      <c r="AQ43" s="1">
        <f>E43*Y43/G43*-1</f>
        <v/>
      </c>
      <c r="AR43" s="1">
        <f>F43*X43/G43</f>
        <v/>
      </c>
      <c r="AS43" s="1">
        <f>1/G43*#REF!</f>
        <v/>
      </c>
      <c r="AT43" s="1">
        <f>H43*AG43/G43</f>
        <v/>
      </c>
      <c r="AU43" s="1">
        <f>I43*AG43/G43</f>
        <v/>
      </c>
      <c r="AV43" s="1">
        <f>L43/(0.9*8760)</f>
        <v/>
      </c>
      <c r="AW43" s="1">
        <f>M43/(0.9*8760)</f>
        <v/>
      </c>
      <c r="AX43" s="1">
        <f>N43/G43</f>
        <v/>
      </c>
    </row>
    <row r="44">
      <c r="B44" s="5" t="inlineStr">
        <is>
          <t>SE_TSC:H2</t>
        </is>
      </c>
      <c r="C44" s="5" t="inlineStr">
        <is>
          <t>Ethane</t>
        </is>
      </c>
      <c r="D44" s="5" t="n">
        <v>0</v>
      </c>
      <c r="E44" s="5" t="n">
        <v>0.1598531434</v>
      </c>
      <c r="F44" s="5" t="n">
        <v>0</v>
      </c>
      <c r="G44" s="5" t="n">
        <v>0.05310189724</v>
      </c>
      <c r="H44" s="5" t="n">
        <v>0.1318322859</v>
      </c>
      <c r="I44" s="5" t="n">
        <v>0</v>
      </c>
      <c r="J44" s="5" t="n">
        <v>0</v>
      </c>
      <c r="K44" s="5" t="n"/>
      <c r="L44" s="5" t="n">
        <v>99124.32016</v>
      </c>
      <c r="M44" s="5" t="n">
        <v>54251.99777</v>
      </c>
      <c r="N44" s="5" t="n">
        <v>1.676159756</v>
      </c>
      <c r="P44" s="12" t="n">
        <v>99.913298</v>
      </c>
      <c r="Q44" s="4" t="n">
        <v>-6.084348</v>
      </c>
      <c r="R44" s="5" t="n"/>
      <c r="S44" s="5" t="n"/>
      <c r="T44" s="5" t="n"/>
      <c r="U44" s="5" t="n"/>
      <c r="V44" s="9" t="n"/>
      <c r="W44" s="9" t="n"/>
      <c r="X44" s="10" t="n"/>
      <c r="Y44" s="10" t="n"/>
      <c r="Z44" s="10" t="n"/>
      <c r="AA44" s="9" t="n"/>
      <c r="AB44" s="9" t="n"/>
      <c r="AC44" s="9" t="n"/>
      <c r="AD44" s="9" t="n"/>
      <c r="AE44" s="9" t="n"/>
      <c r="AF44" s="9" t="n"/>
      <c r="AG44" s="5" t="n"/>
      <c r="AH44" s="5" t="n"/>
      <c r="AJ44" s="1">
        <f>B44</f>
        <v/>
      </c>
      <c r="AK44" s="1">
        <f>C44</f>
        <v/>
      </c>
      <c r="AL44" s="8">
        <f>SUM(AP44:AX44)</f>
        <v/>
      </c>
      <c r="AM44" s="8">
        <f>SUM(AP44:AX44)</f>
        <v/>
      </c>
      <c r="AN44" s="8">
        <f>SUM(AP44:AX44)</f>
        <v/>
      </c>
      <c r="AO44" s="8">
        <f>SUM(AP44:AX44)</f>
        <v/>
      </c>
      <c r="AP44" s="8">
        <f>D44*Y44/G44</f>
        <v/>
      </c>
      <c r="AQ44" s="1">
        <f>E44*Y44/G44*-1</f>
        <v/>
      </c>
      <c r="AR44" s="1">
        <f>F44*X44/G44</f>
        <v/>
      </c>
      <c r="AS44" s="1">
        <f>1/G44*#REF!</f>
        <v/>
      </c>
      <c r="AT44" s="1">
        <f>H44*AG44/G44</f>
        <v/>
      </c>
      <c r="AU44" s="1">
        <f>I44*AG44/G44</f>
        <v/>
      </c>
      <c r="AV44" s="1">
        <f>L44/(0.9*8760)</f>
        <v/>
      </c>
      <c r="AW44" s="1">
        <f>M44/(0.9*8760)</f>
        <v/>
      </c>
      <c r="AX44" s="1">
        <f>N44/G44</f>
        <v/>
      </c>
    </row>
    <row r="45">
      <c r="B45" s="5" t="inlineStr">
        <is>
          <t>SE_TSC+CC90:H2</t>
        </is>
      </c>
      <c r="C45" s="5" t="inlineStr">
        <is>
          <t>Ethane</t>
        </is>
      </c>
      <c r="D45" s="5" t="n">
        <v>0</v>
      </c>
      <c r="E45" s="5" t="n">
        <v>0.1598531434</v>
      </c>
      <c r="F45" s="5" t="n">
        <v>0.009388736698</v>
      </c>
      <c r="G45" s="5" t="n">
        <v>0.05310189724</v>
      </c>
      <c r="H45" s="5" t="n">
        <v>0.1318322859</v>
      </c>
      <c r="I45" s="5" t="n">
        <v>0</v>
      </c>
      <c r="J45" s="5" t="n">
        <v>0.04188723326</v>
      </c>
      <c r="K45" s="5" t="n"/>
      <c r="L45" s="5" t="n">
        <v>106900.9741</v>
      </c>
      <c r="M45" s="5" t="n">
        <v>58510.18581</v>
      </c>
      <c r="N45" s="5" t="n">
        <v>1.807660423</v>
      </c>
      <c r="P45" s="12" t="n">
        <v>99.913298</v>
      </c>
      <c r="Q45" s="4" t="n">
        <v>-6.084348</v>
      </c>
      <c r="R45" s="5" t="n"/>
      <c r="S45" s="5" t="n"/>
      <c r="T45" s="5" t="n"/>
      <c r="U45" s="5" t="n"/>
      <c r="V45" s="9" t="n"/>
      <c r="W45" s="9" t="n"/>
      <c r="X45" s="10" t="n"/>
      <c r="Y45" s="10" t="n"/>
      <c r="Z45" s="10" t="n"/>
      <c r="AA45" s="9" t="n"/>
      <c r="AB45" s="9" t="n"/>
      <c r="AC45" s="9" t="n"/>
      <c r="AD45" s="9" t="n"/>
      <c r="AE45" s="9" t="n"/>
      <c r="AF45" s="9" t="n"/>
      <c r="AG45" s="5" t="n"/>
      <c r="AH45" s="5" t="n"/>
      <c r="AJ45" s="1">
        <f>B45</f>
        <v/>
      </c>
      <c r="AK45" s="1">
        <f>C45</f>
        <v/>
      </c>
      <c r="AL45" s="8">
        <f>SUM(AP45:AX45)</f>
        <v/>
      </c>
      <c r="AM45" s="8">
        <f>SUM(AP45:AX45)</f>
        <v/>
      </c>
      <c r="AN45" s="8">
        <f>SUM(AP45:AX45)</f>
        <v/>
      </c>
      <c r="AO45" s="8">
        <f>SUM(AP45:AX45)</f>
        <v/>
      </c>
      <c r="AP45" s="8">
        <f>D45*Y45/G45</f>
        <v/>
      </c>
      <c r="AQ45" s="1">
        <f>E45*Y45/G45*-1</f>
        <v/>
      </c>
      <c r="AR45" s="1">
        <f>F45*X45/G45</f>
        <v/>
      </c>
      <c r="AS45" s="1">
        <f>1/G45*#REF!</f>
        <v/>
      </c>
      <c r="AT45" s="1">
        <f>H45*AG45/G45</f>
        <v/>
      </c>
      <c r="AU45" s="1">
        <f>I45*AG45/G45</f>
        <v/>
      </c>
      <c r="AV45" s="1">
        <f>L45/(0.9*8760)</f>
        <v/>
      </c>
      <c r="AW45" s="1">
        <f>M45/(0.9*8760)</f>
        <v/>
      </c>
      <c r="AX45" s="1">
        <f>N45/G45</f>
        <v/>
      </c>
    </row>
    <row r="46">
      <c r="B46" s="5" t="inlineStr">
        <is>
          <t>SE_TSC+H2in</t>
        </is>
      </c>
      <c r="C46" s="5" t="inlineStr">
        <is>
          <t>Ethane</t>
        </is>
      </c>
      <c r="D46" s="5" t="n">
        <v>0.02226644157</v>
      </c>
      <c r="E46" s="5" t="n">
        <v>0</v>
      </c>
      <c r="F46" s="5" t="n">
        <v>0</v>
      </c>
      <c r="G46" s="5" t="n">
        <v>0.05310189724</v>
      </c>
      <c r="H46" s="5" t="n">
        <v>0</v>
      </c>
      <c r="I46" s="5" t="n">
        <v>0</v>
      </c>
      <c r="J46" s="5" t="n">
        <v>0</v>
      </c>
      <c r="K46" s="5" t="n"/>
      <c r="L46" s="5" t="n">
        <v>99124.32016</v>
      </c>
      <c r="M46" s="5" t="n">
        <v>54251.99777</v>
      </c>
      <c r="N46" s="5" t="n">
        <v>1.676159756</v>
      </c>
      <c r="P46" s="12" t="n">
        <v>99.913298</v>
      </c>
      <c r="Q46" s="4" t="n">
        <v>-6.084348</v>
      </c>
      <c r="R46" s="5" t="n"/>
      <c r="S46" s="5" t="n"/>
      <c r="T46" s="5" t="n"/>
      <c r="U46" s="5" t="n"/>
      <c r="V46" s="9" t="n"/>
      <c r="W46" s="9" t="n"/>
      <c r="X46" s="10" t="n"/>
      <c r="Y46" s="10" t="n"/>
      <c r="Z46" s="10" t="n"/>
      <c r="AA46" s="9" t="n"/>
      <c r="AB46" s="9" t="n"/>
      <c r="AC46" s="9" t="n"/>
      <c r="AD46" s="9" t="n"/>
      <c r="AE46" s="9" t="n"/>
      <c r="AF46" s="9" t="n"/>
      <c r="AG46" s="5" t="n"/>
      <c r="AH46" s="5" t="n"/>
      <c r="AJ46" s="1">
        <f>B46</f>
        <v/>
      </c>
      <c r="AK46" s="1">
        <f>C46</f>
        <v/>
      </c>
      <c r="AL46" s="8">
        <f>SUM(AP46:AX46)</f>
        <v/>
      </c>
      <c r="AM46" s="8">
        <f>SUM(AP46:AX46)</f>
        <v/>
      </c>
      <c r="AN46" s="8">
        <f>SUM(AP46:AX46)</f>
        <v/>
      </c>
      <c r="AO46" s="8">
        <f>SUM(AP46:AX46)</f>
        <v/>
      </c>
      <c r="AP46" s="8">
        <f>D46*Y46/G46</f>
        <v/>
      </c>
      <c r="AQ46" s="1">
        <f>E46*Y46/G46*-1</f>
        <v/>
      </c>
      <c r="AR46" s="1">
        <f>F46*X46/G46</f>
        <v/>
      </c>
      <c r="AS46" s="1">
        <f>1/G46*#REF!</f>
        <v/>
      </c>
      <c r="AT46" s="1">
        <f>H46*AG46/G46</f>
        <v/>
      </c>
      <c r="AU46" s="1">
        <f>I46*AG46/G46</f>
        <v/>
      </c>
      <c r="AV46" s="1">
        <f>L46/(0.9*8760)</f>
        <v/>
      </c>
      <c r="AW46" s="1">
        <f>M46/(0.9*8760)</f>
        <v/>
      </c>
      <c r="AX46" s="1">
        <f>N46/G46</f>
        <v/>
      </c>
    </row>
    <row r="47">
      <c r="B47" s="5" t="inlineStr">
        <is>
          <t>SE_TSC+H2in:CH4</t>
        </is>
      </c>
      <c r="C47" s="5" t="inlineStr">
        <is>
          <t>Ethane</t>
        </is>
      </c>
      <c r="D47" s="5" t="n">
        <v>0.1375867019</v>
      </c>
      <c r="E47" s="5" t="n">
        <v>0</v>
      </c>
      <c r="F47" s="5" t="n">
        <v>0</v>
      </c>
      <c r="G47" s="5" t="n">
        <v>0.05310189724</v>
      </c>
      <c r="H47" s="5" t="n">
        <v>0</v>
      </c>
      <c r="I47" s="5" t="n">
        <v>0.1181424966</v>
      </c>
      <c r="J47" s="5" t="n">
        <v>0</v>
      </c>
      <c r="K47" s="5" t="n"/>
      <c r="L47" s="5" t="n">
        <v>99124.32016</v>
      </c>
      <c r="M47" s="5" t="n">
        <v>54251.99777</v>
      </c>
      <c r="N47" s="5" t="n">
        <v>1.676159756</v>
      </c>
      <c r="P47" s="12" t="n">
        <v>99.913298</v>
      </c>
      <c r="Q47" s="4" t="n">
        <v>-6.084348</v>
      </c>
      <c r="R47" s="5" t="n"/>
      <c r="S47" s="5" t="n"/>
      <c r="T47" s="5" t="n"/>
      <c r="U47" s="5" t="n"/>
      <c r="V47" s="9" t="n"/>
      <c r="W47" s="9" t="n"/>
      <c r="X47" s="10" t="n"/>
      <c r="Y47" s="10" t="n"/>
      <c r="Z47" s="10" t="n"/>
      <c r="AA47" s="9" t="n"/>
      <c r="AB47" s="9" t="n"/>
      <c r="AC47" s="9" t="n"/>
      <c r="AD47" s="9" t="n"/>
      <c r="AE47" s="9" t="n"/>
      <c r="AF47" s="9" t="n"/>
      <c r="AG47" s="5" t="n"/>
      <c r="AH47" s="5" t="n"/>
      <c r="AJ47" s="1">
        <f>B47</f>
        <v/>
      </c>
      <c r="AK47" s="1">
        <f>C47</f>
        <v/>
      </c>
      <c r="AL47" s="8">
        <f>SUM(AP47:AX47)</f>
        <v/>
      </c>
      <c r="AM47" s="8">
        <f>SUM(AP47:AX47)</f>
        <v/>
      </c>
      <c r="AN47" s="8">
        <f>SUM(AP47:AX47)</f>
        <v/>
      </c>
      <c r="AO47" s="8">
        <f>SUM(AP47:AX47)</f>
        <v/>
      </c>
      <c r="AP47" s="8">
        <f>D47*Y47/G47</f>
        <v/>
      </c>
      <c r="AQ47" s="1">
        <f>E47*Y47/G47*-1</f>
        <v/>
      </c>
      <c r="AR47" s="1">
        <f>F47*X47/G47</f>
        <v/>
      </c>
      <c r="AS47" s="1">
        <f>1/G47*#REF!</f>
        <v/>
      </c>
      <c r="AT47" s="1">
        <f>H47*AG47/G47</f>
        <v/>
      </c>
      <c r="AU47" s="1">
        <f>I47*AG47/G47</f>
        <v/>
      </c>
      <c r="AV47" s="1">
        <f>L47/(0.9*8760)</f>
        <v/>
      </c>
      <c r="AW47" s="1">
        <f>M47/(0.9*8760)</f>
        <v/>
      </c>
      <c r="AX47" s="1">
        <f>N47/G47</f>
        <v/>
      </c>
    </row>
    <row r="48">
      <c r="B48" s="5" t="inlineStr">
        <is>
          <t>MIDAT_TSC+CC90</t>
        </is>
      </c>
      <c r="C48" s="5" t="inlineStr">
        <is>
          <t>Ethane</t>
        </is>
      </c>
      <c r="D48" s="5" t="n">
        <v>0</v>
      </c>
      <c r="E48" s="5" t="n">
        <v>0</v>
      </c>
      <c r="F48" s="5" t="n">
        <v>0.008052966438000001</v>
      </c>
      <c r="G48" s="5" t="n">
        <v>0.05310189724</v>
      </c>
      <c r="H48" s="5" t="n">
        <v>0.02270169876</v>
      </c>
      <c r="I48" s="5" t="n">
        <v>0</v>
      </c>
      <c r="J48" s="5" t="n">
        <v>0.0241051226</v>
      </c>
      <c r="K48" s="5" t="n"/>
      <c r="L48" s="5" t="n">
        <v>106875.1697</v>
      </c>
      <c r="M48" s="5" t="n">
        <v>58496.38728</v>
      </c>
      <c r="N48" s="5" t="n">
        <v>1.807224085</v>
      </c>
      <c r="P48" s="12" t="n">
        <v>99.913298</v>
      </c>
      <c r="Q48" s="4" t="n">
        <v>-15.650257</v>
      </c>
      <c r="R48" s="5" t="n"/>
      <c r="S48" s="5" t="n"/>
      <c r="T48" s="5" t="n"/>
      <c r="U48" s="5" t="n"/>
      <c r="V48" s="9" t="n"/>
      <c r="W48" s="9" t="n"/>
      <c r="X48" s="10" t="n"/>
      <c r="Y48" s="10" t="n"/>
      <c r="Z48" s="10" t="n"/>
      <c r="AA48" s="9" t="n"/>
      <c r="AB48" s="9" t="n"/>
      <c r="AC48" s="9" t="n"/>
      <c r="AD48" s="9" t="n"/>
      <c r="AE48" s="9" t="n"/>
      <c r="AF48" s="9" t="n"/>
      <c r="AG48" s="5" t="n"/>
      <c r="AH48" s="5" t="n"/>
      <c r="AJ48" s="1">
        <f>B48</f>
        <v/>
      </c>
      <c r="AK48" s="1">
        <f>C48</f>
        <v/>
      </c>
      <c r="AL48" s="8">
        <f>SUM(AP48:AX48)</f>
        <v/>
      </c>
      <c r="AM48" s="8">
        <f>SUM(AP48:AX48)</f>
        <v/>
      </c>
      <c r="AN48" s="8">
        <f>SUM(AP48:AX48)</f>
        <v/>
      </c>
      <c r="AO48" s="8">
        <f>SUM(AP48:AX48)</f>
        <v/>
      </c>
      <c r="AP48" s="8">
        <f>D48*Y48/G48</f>
        <v/>
      </c>
      <c r="AQ48" s="1">
        <f>E48*Y48/G48*-1</f>
        <v/>
      </c>
      <c r="AR48" s="1">
        <f>F48*X48/G48</f>
        <v/>
      </c>
      <c r="AS48" s="1">
        <f>1/G48*#REF!</f>
        <v/>
      </c>
      <c r="AT48" s="1">
        <f>H48*AG48/G48</f>
        <v/>
      </c>
      <c r="AU48" s="1">
        <f>I48*AG48/G48</f>
        <v/>
      </c>
      <c r="AV48" s="1">
        <f>L48/(0.9*8760)</f>
        <v/>
      </c>
      <c r="AW48" s="1">
        <f>M48/(0.9*8760)</f>
        <v/>
      </c>
      <c r="AX48" s="1">
        <f>N48/G48</f>
        <v/>
      </c>
    </row>
    <row r="49">
      <c r="B49" s="5" t="inlineStr">
        <is>
          <t>MIDAT_TSC:H2</t>
        </is>
      </c>
      <c r="C49" s="5" t="inlineStr">
        <is>
          <t>Ethane</t>
        </is>
      </c>
      <c r="D49" s="5" t="n">
        <v>0</v>
      </c>
      <c r="E49" s="5" t="n">
        <v>0.1598531434</v>
      </c>
      <c r="F49" s="5" t="n">
        <v>0</v>
      </c>
      <c r="G49" s="5" t="n">
        <v>0.05310189724</v>
      </c>
      <c r="H49" s="5" t="n">
        <v>0.1318322859</v>
      </c>
      <c r="I49" s="5" t="n">
        <v>0</v>
      </c>
      <c r="J49" s="5" t="n">
        <v>0</v>
      </c>
      <c r="K49" s="5" t="n"/>
      <c r="L49" s="5" t="n">
        <v>99124.32016</v>
      </c>
      <c r="M49" s="5" t="n">
        <v>54251.99777</v>
      </c>
      <c r="N49" s="5" t="n">
        <v>1.676159756</v>
      </c>
      <c r="P49" s="12" t="n">
        <v>99.913298</v>
      </c>
      <c r="Q49" s="4" t="n">
        <v>-15.650257</v>
      </c>
      <c r="R49" s="5" t="n"/>
      <c r="S49" s="5" t="n"/>
      <c r="T49" s="5" t="n"/>
      <c r="U49" s="5" t="n"/>
      <c r="V49" s="9" t="n"/>
      <c r="W49" s="9" t="n"/>
      <c r="X49" s="10" t="n"/>
      <c r="Y49" s="10" t="n"/>
      <c r="Z49" s="10" t="n"/>
      <c r="AA49" s="9" t="n"/>
      <c r="AB49" s="9" t="n"/>
      <c r="AC49" s="9" t="n"/>
      <c r="AD49" s="9" t="n"/>
      <c r="AE49" s="9" t="n"/>
      <c r="AF49" s="9" t="n"/>
      <c r="AG49" s="5" t="n"/>
      <c r="AH49" s="5" t="n"/>
      <c r="AJ49" s="1">
        <f>B49</f>
        <v/>
      </c>
      <c r="AK49" s="1">
        <f>C49</f>
        <v/>
      </c>
      <c r="AL49" s="8">
        <f>SUM(AP49:AX49)</f>
        <v/>
      </c>
      <c r="AM49" s="8">
        <f>SUM(AP49:AX49)</f>
        <v/>
      </c>
      <c r="AN49" s="8">
        <f>SUM(AP49:AX49)</f>
        <v/>
      </c>
      <c r="AO49" s="8">
        <f>SUM(AP49:AX49)</f>
        <v/>
      </c>
      <c r="AP49" s="8">
        <f>D49*Y49/G49</f>
        <v/>
      </c>
      <c r="AQ49" s="1">
        <f>E49*Y49/G49*-1</f>
        <v/>
      </c>
      <c r="AR49" s="1">
        <f>F49*X49/G49</f>
        <v/>
      </c>
      <c r="AS49" s="1">
        <f>1/G49*#REF!</f>
        <v/>
      </c>
      <c r="AT49" s="1">
        <f>H49*AG49/G49</f>
        <v/>
      </c>
      <c r="AU49" s="1">
        <f>I49*AG49/G49</f>
        <v/>
      </c>
      <c r="AV49" s="1">
        <f>L49/(0.9*8760)</f>
        <v/>
      </c>
      <c r="AW49" s="1">
        <f>M49/(0.9*8760)</f>
        <v/>
      </c>
      <c r="AX49" s="1">
        <f>N49/G49</f>
        <v/>
      </c>
    </row>
    <row r="50">
      <c r="B50" s="5" t="inlineStr">
        <is>
          <t>MIDAT_TSC+CC90:H2</t>
        </is>
      </c>
      <c r="C50" s="5" t="inlineStr">
        <is>
          <t>Ethane</t>
        </is>
      </c>
      <c r="D50" s="5" t="n">
        <v>0</v>
      </c>
      <c r="E50" s="5" t="n">
        <v>0.1598531434</v>
      </c>
      <c r="F50" s="5" t="n">
        <v>0.009388736698</v>
      </c>
      <c r="G50" s="5" t="n">
        <v>0.05310189724</v>
      </c>
      <c r="H50" s="5" t="n">
        <v>0.1318322859</v>
      </c>
      <c r="I50" s="5" t="n">
        <v>0</v>
      </c>
      <c r="J50" s="5" t="n">
        <v>0.04188723326</v>
      </c>
      <c r="K50" s="5" t="n"/>
      <c r="L50" s="5" t="n">
        <v>106900.9741</v>
      </c>
      <c r="M50" s="5" t="n">
        <v>58510.18581</v>
      </c>
      <c r="N50" s="5" t="n">
        <v>1.807660423</v>
      </c>
      <c r="P50" s="12" t="n">
        <v>99.913298</v>
      </c>
      <c r="Q50" s="4" t="n">
        <v>-15.650257</v>
      </c>
      <c r="R50" s="5" t="n"/>
      <c r="S50" s="5" t="n"/>
      <c r="T50" s="5" t="n"/>
      <c r="U50" s="5" t="n"/>
      <c r="V50" s="9" t="n"/>
      <c r="W50" s="9" t="n"/>
      <c r="X50" s="10" t="n"/>
      <c r="Y50" s="10" t="n"/>
      <c r="Z50" s="10" t="n"/>
      <c r="AA50" s="9" t="n"/>
      <c r="AB50" s="9" t="n"/>
      <c r="AC50" s="9" t="n"/>
      <c r="AD50" s="9" t="n"/>
      <c r="AE50" s="9" t="n"/>
      <c r="AF50" s="9" t="n"/>
      <c r="AG50" s="5" t="n"/>
      <c r="AH50" s="5" t="n"/>
      <c r="AJ50" s="1">
        <f>B50</f>
        <v/>
      </c>
      <c r="AK50" s="1">
        <f>C50</f>
        <v/>
      </c>
      <c r="AL50" s="8">
        <f>SUM(AP50:AX50)</f>
        <v/>
      </c>
      <c r="AM50" s="8">
        <f>SUM(AP50:AX50)</f>
        <v/>
      </c>
      <c r="AN50" s="8">
        <f>SUM(AP50:AX50)</f>
        <v/>
      </c>
      <c r="AO50" s="8">
        <f>SUM(AP50:AX50)</f>
        <v/>
      </c>
      <c r="AP50" s="8">
        <f>D50*Y50/G50</f>
        <v/>
      </c>
      <c r="AQ50" s="1">
        <f>E50*Y50/G50*-1</f>
        <v/>
      </c>
      <c r="AR50" s="1">
        <f>F50*X50/G50</f>
        <v/>
      </c>
      <c r="AS50" s="1">
        <f>1/G50*#REF!</f>
        <v/>
      </c>
      <c r="AT50" s="1">
        <f>H50*AG50/G50</f>
        <v/>
      </c>
      <c r="AU50" s="1">
        <f>I50*AG50/G50</f>
        <v/>
      </c>
      <c r="AV50" s="1">
        <f>L50/(0.9*8760)</f>
        <v/>
      </c>
      <c r="AW50" s="1">
        <f>M50/(0.9*8760)</f>
        <v/>
      </c>
      <c r="AX50" s="1">
        <f>N50/G50</f>
        <v/>
      </c>
    </row>
    <row r="51">
      <c r="B51" s="5" t="inlineStr">
        <is>
          <t>MIDAT_TSC+H2in</t>
        </is>
      </c>
      <c r="C51" s="5" t="inlineStr">
        <is>
          <t>Ethane</t>
        </is>
      </c>
      <c r="D51" s="5" t="n">
        <v>0.02226644157</v>
      </c>
      <c r="E51" s="5" t="n">
        <v>0</v>
      </c>
      <c r="F51" s="5" t="n">
        <v>0</v>
      </c>
      <c r="G51" s="5" t="n">
        <v>0.05310189724</v>
      </c>
      <c r="H51" s="5" t="n">
        <v>0</v>
      </c>
      <c r="I51" s="5" t="n">
        <v>0</v>
      </c>
      <c r="J51" s="5" t="n">
        <v>0</v>
      </c>
      <c r="K51" s="5" t="n"/>
      <c r="L51" s="5" t="n">
        <v>99124.32016</v>
      </c>
      <c r="M51" s="5" t="n">
        <v>54251.99777</v>
      </c>
      <c r="N51" s="5" t="n">
        <v>1.676159756</v>
      </c>
      <c r="P51" s="12" t="n">
        <v>99.913298</v>
      </c>
      <c r="Q51" s="4" t="n">
        <v>-15.650257</v>
      </c>
      <c r="R51" s="5" t="n"/>
      <c r="S51" s="5" t="n"/>
      <c r="T51" s="5" t="n"/>
      <c r="U51" s="5" t="n"/>
      <c r="V51" s="9" t="n"/>
      <c r="W51" s="9" t="n"/>
      <c r="X51" s="10" t="n"/>
      <c r="Y51" s="10" t="n"/>
      <c r="Z51" s="10" t="n"/>
      <c r="AA51" s="9" t="n"/>
      <c r="AB51" s="9" t="n"/>
      <c r="AC51" s="9" t="n"/>
      <c r="AD51" s="9" t="n"/>
      <c r="AE51" s="9" t="n"/>
      <c r="AF51" s="9" t="n"/>
      <c r="AG51" s="5" t="n"/>
      <c r="AH51" s="5" t="n"/>
      <c r="AJ51" s="1">
        <f>B51</f>
        <v/>
      </c>
      <c r="AK51" s="1">
        <f>C51</f>
        <v/>
      </c>
      <c r="AL51" s="8">
        <f>SUM(AP51:AX51)</f>
        <v/>
      </c>
      <c r="AM51" s="8">
        <f>SUM(AP51:AX51)</f>
        <v/>
      </c>
      <c r="AN51" s="8">
        <f>SUM(AP51:AX51)</f>
        <v/>
      </c>
      <c r="AO51" s="8">
        <f>SUM(AP51:AX51)</f>
        <v/>
      </c>
      <c r="AP51" s="8">
        <f>D51*Y51/G51</f>
        <v/>
      </c>
      <c r="AQ51" s="1">
        <f>E51*Y51/G51*-1</f>
        <v/>
      </c>
      <c r="AR51" s="1">
        <f>F51*X51/G51</f>
        <v/>
      </c>
      <c r="AS51" s="1">
        <f>1/G51*#REF!</f>
        <v/>
      </c>
      <c r="AT51" s="1">
        <f>H51*AG51/G51</f>
        <v/>
      </c>
      <c r="AU51" s="1">
        <f>I51*AG51/G51</f>
        <v/>
      </c>
      <c r="AV51" s="1">
        <f>L51/(0.9*8760)</f>
        <v/>
      </c>
      <c r="AW51" s="1">
        <f>M51/(0.9*8760)</f>
        <v/>
      </c>
      <c r="AX51" s="1">
        <f>N51/G51</f>
        <v/>
      </c>
    </row>
    <row r="52">
      <c r="B52" s="5" t="inlineStr">
        <is>
          <t>MIDAT_TSC+H2in:CH4</t>
        </is>
      </c>
      <c r="C52" s="5" t="inlineStr">
        <is>
          <t>Ethane</t>
        </is>
      </c>
      <c r="D52" s="5" t="n">
        <v>0.1375867019</v>
      </c>
      <c r="E52" s="5" t="n">
        <v>0</v>
      </c>
      <c r="F52" s="5" t="n">
        <v>0</v>
      </c>
      <c r="G52" s="5" t="n">
        <v>0.05310189724</v>
      </c>
      <c r="H52" s="5" t="n">
        <v>0</v>
      </c>
      <c r="I52" s="5" t="n">
        <v>0.1181424966</v>
      </c>
      <c r="J52" s="5" t="n">
        <v>0</v>
      </c>
      <c r="K52" s="5" t="n"/>
      <c r="L52" s="5" t="n">
        <v>99124.32016</v>
      </c>
      <c r="M52" s="5" t="n">
        <v>54251.99777</v>
      </c>
      <c r="N52" s="5" t="n">
        <v>1.676159756</v>
      </c>
      <c r="P52" s="12" t="n">
        <v>99.913298</v>
      </c>
      <c r="Q52" s="4" t="n">
        <v>-15.650257</v>
      </c>
      <c r="R52" s="5" t="n"/>
      <c r="S52" s="5" t="n"/>
      <c r="T52" s="5" t="n"/>
      <c r="U52" s="5" t="n"/>
      <c r="V52" s="9" t="n"/>
      <c r="W52" s="9" t="n"/>
      <c r="X52" s="10" t="n"/>
      <c r="Y52" s="10" t="n"/>
      <c r="Z52" s="10" t="n"/>
      <c r="AA52" s="9" t="n"/>
      <c r="AB52" s="9" t="n"/>
      <c r="AC52" s="9" t="n"/>
      <c r="AD52" s="9" t="n"/>
      <c r="AE52" s="9" t="n"/>
      <c r="AF52" s="9" t="n"/>
      <c r="AG52" s="5" t="n"/>
      <c r="AH52" s="5" t="n"/>
      <c r="AJ52" s="1">
        <f>B52</f>
        <v/>
      </c>
      <c r="AK52" s="1">
        <f>C52</f>
        <v/>
      </c>
      <c r="AL52" s="8">
        <f>SUM(AP52:AX52)</f>
        <v/>
      </c>
      <c r="AM52" s="8">
        <f>SUM(AP52:AX52)</f>
        <v/>
      </c>
      <c r="AN52" s="8">
        <f>SUM(AP52:AX52)</f>
        <v/>
      </c>
      <c r="AO52" s="8">
        <f>SUM(AP52:AX52)</f>
        <v/>
      </c>
      <c r="AP52" s="8">
        <f>D52*Y52/G52</f>
        <v/>
      </c>
      <c r="AQ52" s="1">
        <f>E52*Y52/G52*-1</f>
        <v/>
      </c>
      <c r="AR52" s="1">
        <f>F52*X52/G52</f>
        <v/>
      </c>
      <c r="AS52" s="1">
        <f>1/G52*#REF!</f>
        <v/>
      </c>
      <c r="AT52" s="1">
        <f>H52*AG52/G52</f>
        <v/>
      </c>
      <c r="AU52" s="1">
        <f>I52*AG52/G52</f>
        <v/>
      </c>
      <c r="AV52" s="1">
        <f>L52/(0.9*8760)</f>
        <v/>
      </c>
      <c r="AW52" s="1">
        <f>M52/(0.9*8760)</f>
        <v/>
      </c>
      <c r="AX52" s="1">
        <f>N52/G52</f>
        <v/>
      </c>
    </row>
    <row r="53">
      <c r="B53" s="5" t="inlineStr">
        <is>
          <t>NE_TSC+CC90</t>
        </is>
      </c>
      <c r="C53" s="5" t="inlineStr">
        <is>
          <t>Ethane</t>
        </is>
      </c>
      <c r="D53" s="5" t="n">
        <v>0</v>
      </c>
      <c r="E53" s="5" t="n">
        <v>0</v>
      </c>
      <c r="F53" s="5" t="n">
        <v>0.008052966438000001</v>
      </c>
      <c r="G53" s="5" t="n">
        <v>0.05310189724</v>
      </c>
      <c r="H53" s="5" t="n">
        <v>0.02270169876</v>
      </c>
      <c r="I53" s="5" t="n">
        <v>0</v>
      </c>
      <c r="J53" s="5" t="n">
        <v>0.0241051226</v>
      </c>
      <c r="K53" s="5" t="n"/>
      <c r="L53" s="5" t="n">
        <v>106875.1697</v>
      </c>
      <c r="M53" s="5" t="n">
        <v>58496.38728</v>
      </c>
      <c r="N53" s="5" t="n">
        <v>1.807224085</v>
      </c>
      <c r="P53" s="12" t="n">
        <v>99.913298</v>
      </c>
      <c r="Q53" s="4" t="n">
        <v>-21.727401</v>
      </c>
      <c r="R53" s="5" t="n"/>
      <c r="S53" s="5" t="n"/>
      <c r="T53" s="5" t="n"/>
      <c r="U53" s="5" t="n"/>
      <c r="V53" s="9" t="n"/>
      <c r="W53" s="9" t="n"/>
      <c r="X53" s="10" t="n"/>
      <c r="Y53" s="10" t="n"/>
      <c r="Z53" s="10" t="n"/>
      <c r="AA53" s="9" t="n"/>
      <c r="AB53" s="9" t="n"/>
      <c r="AC53" s="9" t="n"/>
      <c r="AD53" s="9" t="n"/>
      <c r="AE53" s="9" t="n"/>
      <c r="AF53" s="9" t="n"/>
      <c r="AG53" s="5" t="n"/>
      <c r="AH53" s="5" t="n"/>
      <c r="AJ53" s="1">
        <f>B53</f>
        <v/>
      </c>
      <c r="AK53" s="1">
        <f>C53</f>
        <v/>
      </c>
      <c r="AL53" s="8">
        <f>SUM(AP53:AX53)</f>
        <v/>
      </c>
      <c r="AM53" s="8">
        <f>SUM(AP53:AX53)</f>
        <v/>
      </c>
      <c r="AN53" s="8">
        <f>SUM(AP53:AX53)</f>
        <v/>
      </c>
      <c r="AO53" s="8">
        <f>SUM(AP53:AX53)</f>
        <v/>
      </c>
      <c r="AP53" s="8">
        <f>D53*Y53/G53</f>
        <v/>
      </c>
      <c r="AQ53" s="1">
        <f>E53*Y53/G53*-1</f>
        <v/>
      </c>
      <c r="AR53" s="1">
        <f>F53*X53/G53</f>
        <v/>
      </c>
      <c r="AS53" s="1">
        <f>1/G53*#REF!</f>
        <v/>
      </c>
      <c r="AT53" s="1">
        <f>H53*AG53/G53</f>
        <v/>
      </c>
      <c r="AU53" s="1">
        <f>I53*AG53/G53</f>
        <v/>
      </c>
      <c r="AV53" s="1">
        <f>L53/(0.9*8760)</f>
        <v/>
      </c>
      <c r="AW53" s="1">
        <f>M53/(0.9*8760)</f>
        <v/>
      </c>
      <c r="AX53" s="1">
        <f>N53/G53</f>
        <v/>
      </c>
    </row>
    <row r="54">
      <c r="B54" s="5" t="inlineStr">
        <is>
          <t>NE_TSC:H2</t>
        </is>
      </c>
      <c r="C54" s="5" t="inlineStr">
        <is>
          <t>Ethane</t>
        </is>
      </c>
      <c r="D54" s="5" t="n">
        <v>0</v>
      </c>
      <c r="E54" s="5" t="n">
        <v>0.1598531434</v>
      </c>
      <c r="F54" s="5" t="n">
        <v>0</v>
      </c>
      <c r="G54" s="5" t="n">
        <v>0.05310189724</v>
      </c>
      <c r="H54" s="5" t="n">
        <v>0.1318322859</v>
      </c>
      <c r="I54" s="5" t="n">
        <v>0</v>
      </c>
      <c r="J54" s="5" t="n">
        <v>0</v>
      </c>
      <c r="K54" s="5" t="n"/>
      <c r="L54" s="5" t="n">
        <v>99124.32016</v>
      </c>
      <c r="M54" s="5" t="n">
        <v>54251.99777</v>
      </c>
      <c r="N54" s="5" t="n">
        <v>1.676159756</v>
      </c>
      <c r="P54" s="12" t="n">
        <v>99.913298</v>
      </c>
      <c r="Q54" s="4" t="n">
        <v>-21.727401</v>
      </c>
      <c r="R54" s="5" t="n"/>
      <c r="S54" s="5" t="n"/>
      <c r="T54" s="5" t="n"/>
      <c r="U54" s="5" t="n"/>
      <c r="V54" s="9" t="n"/>
      <c r="W54" s="9" t="n"/>
      <c r="X54" s="10" t="n"/>
      <c r="Y54" s="10" t="n"/>
      <c r="Z54" s="10" t="n"/>
      <c r="AA54" s="9" t="n"/>
      <c r="AB54" s="9" t="n"/>
      <c r="AC54" s="9" t="n"/>
      <c r="AD54" s="9" t="n"/>
      <c r="AE54" s="9" t="n"/>
      <c r="AF54" s="9" t="n"/>
      <c r="AG54" s="5" t="n"/>
      <c r="AH54" s="5" t="n"/>
      <c r="AJ54" s="1">
        <f>B54</f>
        <v/>
      </c>
      <c r="AK54" s="1">
        <f>C54</f>
        <v/>
      </c>
      <c r="AL54" s="8">
        <f>SUM(AP54:AX54)</f>
        <v/>
      </c>
      <c r="AM54" s="8">
        <f>SUM(AP54:AX54)</f>
        <v/>
      </c>
      <c r="AN54" s="8">
        <f>SUM(AP54:AX54)</f>
        <v/>
      </c>
      <c r="AO54" s="8">
        <f>SUM(AP54:AX54)</f>
        <v/>
      </c>
      <c r="AP54" s="8">
        <f>D54*Y54/G54</f>
        <v/>
      </c>
      <c r="AQ54" s="1">
        <f>E54*Y54/G54*-1</f>
        <v/>
      </c>
      <c r="AR54" s="1">
        <f>F54*X54/G54</f>
        <v/>
      </c>
      <c r="AS54" s="1">
        <f>1/G54*#REF!</f>
        <v/>
      </c>
      <c r="AT54" s="1">
        <f>H54*AG54/G54</f>
        <v/>
      </c>
      <c r="AU54" s="1">
        <f>I54*AG54/G54</f>
        <v/>
      </c>
      <c r="AV54" s="1">
        <f>L54/(0.9*8760)</f>
        <v/>
      </c>
      <c r="AW54" s="1">
        <f>M54/(0.9*8760)</f>
        <v/>
      </c>
      <c r="AX54" s="1">
        <f>N54/G54</f>
        <v/>
      </c>
    </row>
    <row r="55">
      <c r="B55" s="5" t="inlineStr">
        <is>
          <t>NE_TSC+CC90:H2</t>
        </is>
      </c>
      <c r="C55" s="5" t="inlineStr">
        <is>
          <t>Ethane</t>
        </is>
      </c>
      <c r="D55" s="5" t="n">
        <v>0</v>
      </c>
      <c r="E55" s="5" t="n">
        <v>0.1598531434</v>
      </c>
      <c r="F55" s="5" t="n">
        <v>0.009388736698</v>
      </c>
      <c r="G55" s="5" t="n">
        <v>0.05310189724</v>
      </c>
      <c r="H55" s="5" t="n">
        <v>0.1318322859</v>
      </c>
      <c r="I55" s="5" t="n">
        <v>0</v>
      </c>
      <c r="J55" s="5" t="n">
        <v>0.04188723326</v>
      </c>
      <c r="K55" s="5" t="n"/>
      <c r="L55" s="5" t="n">
        <v>106900.9741</v>
      </c>
      <c r="M55" s="5" t="n">
        <v>58510.18581</v>
      </c>
      <c r="N55" s="5" t="n">
        <v>1.807660423</v>
      </c>
      <c r="P55" s="12" t="n">
        <v>99.913298</v>
      </c>
      <c r="Q55" s="4" t="n">
        <v>-21.727401</v>
      </c>
      <c r="R55" s="5" t="n"/>
      <c r="S55" s="5" t="n"/>
      <c r="T55" s="5" t="n"/>
      <c r="U55" s="5" t="n"/>
      <c r="V55" s="9" t="n"/>
      <c r="W55" s="9" t="n"/>
      <c r="X55" s="10" t="n"/>
      <c r="Y55" s="10" t="n"/>
      <c r="Z55" s="10" t="n"/>
      <c r="AA55" s="9" t="n"/>
      <c r="AB55" s="9" t="n"/>
      <c r="AC55" s="9" t="n"/>
      <c r="AD55" s="9" t="n"/>
      <c r="AE55" s="9" t="n"/>
      <c r="AF55" s="9" t="n"/>
      <c r="AG55" s="5" t="n"/>
      <c r="AH55" s="5" t="n"/>
      <c r="AJ55" s="1">
        <f>B55</f>
        <v/>
      </c>
      <c r="AK55" s="1">
        <f>C55</f>
        <v/>
      </c>
      <c r="AL55" s="8">
        <f>SUM(AP55:AX55)</f>
        <v/>
      </c>
      <c r="AM55" s="8">
        <f>SUM(AP55:AX55)</f>
        <v/>
      </c>
      <c r="AN55" s="8">
        <f>SUM(AP55:AX55)</f>
        <v/>
      </c>
      <c r="AO55" s="8">
        <f>SUM(AP55:AX55)</f>
        <v/>
      </c>
      <c r="AP55" s="8">
        <f>D55*Y55/G55</f>
        <v/>
      </c>
      <c r="AQ55" s="1">
        <f>E55*Y55/G55*-1</f>
        <v/>
      </c>
      <c r="AR55" s="1">
        <f>F55*X55/G55</f>
        <v/>
      </c>
      <c r="AS55" s="1">
        <f>1/G55*#REF!</f>
        <v/>
      </c>
      <c r="AT55" s="1">
        <f>H55*AG55/G55</f>
        <v/>
      </c>
      <c r="AU55" s="1">
        <f>I55*AG55/G55</f>
        <v/>
      </c>
      <c r="AV55" s="1">
        <f>L55/(0.9*8760)</f>
        <v/>
      </c>
      <c r="AW55" s="1">
        <f>M55/(0.9*8760)</f>
        <v/>
      </c>
      <c r="AX55" s="1">
        <f>N55/G55</f>
        <v/>
      </c>
    </row>
    <row r="56">
      <c r="B56" s="5" t="inlineStr">
        <is>
          <t>NE_TSC+H2in</t>
        </is>
      </c>
      <c r="C56" s="5" t="inlineStr">
        <is>
          <t>Ethane</t>
        </is>
      </c>
      <c r="D56" s="5" t="n">
        <v>0.02226644157</v>
      </c>
      <c r="E56" s="5" t="n">
        <v>0</v>
      </c>
      <c r="F56" s="5" t="n">
        <v>0</v>
      </c>
      <c r="G56" s="5" t="n">
        <v>0.05310189724</v>
      </c>
      <c r="H56" s="5" t="n">
        <v>0</v>
      </c>
      <c r="I56" s="5" t="n">
        <v>0</v>
      </c>
      <c r="J56" s="5" t="n">
        <v>0</v>
      </c>
      <c r="K56" s="5" t="n"/>
      <c r="L56" s="5" t="n">
        <v>99124.32016</v>
      </c>
      <c r="M56" s="5" t="n">
        <v>54251.99777</v>
      </c>
      <c r="N56" s="5" t="n">
        <v>1.676159756</v>
      </c>
      <c r="P56" s="12" t="n">
        <v>99.913298</v>
      </c>
      <c r="Q56" s="4" t="n">
        <v>-21.727401</v>
      </c>
      <c r="R56" s="5" t="n"/>
      <c r="S56" s="5" t="n"/>
      <c r="T56" s="5" t="n"/>
      <c r="U56" s="5" t="n"/>
      <c r="V56" s="9" t="n"/>
      <c r="W56" s="9" t="n"/>
      <c r="X56" s="10" t="n"/>
      <c r="Y56" s="10" t="n"/>
      <c r="Z56" s="10" t="n"/>
      <c r="AA56" s="9" t="n"/>
      <c r="AB56" s="9" t="n"/>
      <c r="AC56" s="9" t="n"/>
      <c r="AD56" s="9" t="n"/>
      <c r="AE56" s="9" t="n"/>
      <c r="AF56" s="9" t="n"/>
      <c r="AG56" s="5" t="n"/>
      <c r="AH56" s="5" t="n"/>
      <c r="AJ56" s="1">
        <f>B56</f>
        <v/>
      </c>
      <c r="AK56" s="1">
        <f>C56</f>
        <v/>
      </c>
      <c r="AL56" s="8">
        <f>SUM(AP56:AX56)</f>
        <v/>
      </c>
      <c r="AM56" s="8">
        <f>SUM(AP56:AX56)</f>
        <v/>
      </c>
      <c r="AN56" s="8">
        <f>SUM(AP56:AX56)</f>
        <v/>
      </c>
      <c r="AO56" s="8">
        <f>SUM(AP56:AX56)</f>
        <v/>
      </c>
      <c r="AP56" s="8">
        <f>D56*Y56/G56</f>
        <v/>
      </c>
      <c r="AQ56" s="1">
        <f>E56*Y56/G56*-1</f>
        <v/>
      </c>
      <c r="AR56" s="1">
        <f>F56*X56/G56</f>
        <v/>
      </c>
      <c r="AS56" s="1">
        <f>1/G56*#REF!</f>
        <v/>
      </c>
      <c r="AT56" s="1">
        <f>H56*AG56/G56</f>
        <v/>
      </c>
      <c r="AU56" s="1">
        <f>I56*AG56/G56</f>
        <v/>
      </c>
      <c r="AV56" s="1">
        <f>L56/(0.9*8760)</f>
        <v/>
      </c>
      <c r="AW56" s="1">
        <f>M56/(0.9*8760)</f>
        <v/>
      </c>
      <c r="AX56" s="1">
        <f>N56/G56</f>
        <v/>
      </c>
    </row>
    <row r="57">
      <c r="B57" s="5" t="inlineStr">
        <is>
          <t>NE_TSC+H2in:CH4</t>
        </is>
      </c>
      <c r="C57" s="5" t="inlineStr">
        <is>
          <t>Ethane</t>
        </is>
      </c>
      <c r="D57" s="5" t="n">
        <v>0.1375867019</v>
      </c>
      <c r="E57" s="5" t="n">
        <v>0</v>
      </c>
      <c r="F57" s="5" t="n">
        <v>0</v>
      </c>
      <c r="G57" s="5" t="n">
        <v>0.05310189724</v>
      </c>
      <c r="H57" s="5" t="n">
        <v>0</v>
      </c>
      <c r="I57" s="5" t="n">
        <v>0.1181424966</v>
      </c>
      <c r="J57" s="5" t="n">
        <v>0</v>
      </c>
      <c r="K57" s="5" t="n"/>
      <c r="L57" s="5" t="n">
        <v>99124.32016</v>
      </c>
      <c r="M57" s="5" t="n">
        <v>54251.99777</v>
      </c>
      <c r="N57" s="5" t="n">
        <v>1.676159756</v>
      </c>
      <c r="P57" s="12" t="n">
        <v>99.913298</v>
      </c>
      <c r="Q57" s="4" t="n">
        <v>-21.727401</v>
      </c>
      <c r="R57" s="5" t="n"/>
      <c r="S57" s="5" t="n"/>
      <c r="T57" s="5" t="n"/>
      <c r="U57" s="5" t="n"/>
      <c r="V57" s="9" t="n"/>
      <c r="W57" s="9" t="n"/>
      <c r="X57" s="10" t="n"/>
      <c r="Y57" s="10" t="n"/>
      <c r="Z57" s="10" t="n"/>
      <c r="AA57" s="9" t="n"/>
      <c r="AB57" s="9" t="n"/>
      <c r="AC57" s="9" t="n"/>
      <c r="AD57" s="9" t="n"/>
      <c r="AE57" s="9" t="n"/>
      <c r="AF57" s="9" t="n"/>
      <c r="AG57" s="5" t="n"/>
      <c r="AH57" s="5" t="n"/>
      <c r="AJ57" s="1">
        <f>B57</f>
        <v/>
      </c>
      <c r="AK57" s="1">
        <f>C57</f>
        <v/>
      </c>
      <c r="AL57" s="8">
        <f>SUM(AP57:AX57)</f>
        <v/>
      </c>
      <c r="AM57" s="8">
        <f>SUM(AP57:AX57)</f>
        <v/>
      </c>
      <c r="AN57" s="8">
        <f>SUM(AP57:AX57)</f>
        <v/>
      </c>
      <c r="AO57" s="8">
        <f>SUM(AP57:AX57)</f>
        <v/>
      </c>
      <c r="AP57" s="8">
        <f>D57*Y57/G57</f>
        <v/>
      </c>
      <c r="AQ57" s="1">
        <f>E57*Y57/G57*-1</f>
        <v/>
      </c>
      <c r="AR57" s="1">
        <f>F57*X57/G57</f>
        <v/>
      </c>
      <c r="AS57" s="1">
        <f>1/G57*#REF!</f>
        <v/>
      </c>
      <c r="AT57" s="1">
        <f>H57*AG57/G57</f>
        <v/>
      </c>
      <c r="AU57" s="1">
        <f>I57*AG57/G57</f>
        <v/>
      </c>
      <c r="AV57" s="1">
        <f>L57/(0.9*8760)</f>
        <v/>
      </c>
      <c r="AW57" s="1">
        <f>M57/(0.9*8760)</f>
        <v/>
      </c>
      <c r="AX57" s="1">
        <f>N57/G57</f>
        <v/>
      </c>
    </row>
    <row r="58">
      <c r="AL58" s="8" t="n"/>
      <c r="AM58" s="8" t="n"/>
      <c r="AN58" s="8" t="n"/>
      <c r="AO58" s="8" t="n"/>
      <c r="AP58" s="8" t="n"/>
    </row>
    <row r="59">
      <c r="AL59" s="8" t="n"/>
      <c r="AM59" s="8" t="n"/>
      <c r="AN59" s="8" t="n"/>
      <c r="AO59" s="8" t="n"/>
      <c r="AP59" s="8" t="n"/>
    </row>
    <row r="60">
      <c r="AL60" s="8" t="n"/>
      <c r="AM60" s="8" t="n"/>
      <c r="AN60" s="8" t="n"/>
      <c r="AO60" s="8" t="n"/>
      <c r="AP60" s="8" t="n"/>
    </row>
    <row r="61">
      <c r="AL61" s="8" t="n"/>
      <c r="AM61" s="8" t="n"/>
      <c r="AN61" s="8" t="n"/>
      <c r="AO61" s="8" t="n"/>
      <c r="AP61" s="8" t="n"/>
    </row>
    <row r="62">
      <c r="AL62" s="8" t="n"/>
      <c r="AM62" s="8" t="n"/>
      <c r="AN62" s="8" t="n"/>
      <c r="AO62" s="8" t="n"/>
      <c r="AP62" s="8" t="n"/>
    </row>
    <row r="63">
      <c r="AL63" s="8" t="n"/>
      <c r="AM63" s="8" t="n"/>
      <c r="AN63" s="8" t="n"/>
      <c r="AO63" s="8" t="n"/>
      <c r="AP63" s="8" t="n"/>
    </row>
    <row r="64">
      <c r="AL64" s="8" t="n"/>
      <c r="AM64" s="8" t="n"/>
      <c r="AN64" s="8" t="n"/>
      <c r="AO64" s="8" t="n"/>
      <c r="AP64" s="8" t="n"/>
    </row>
    <row r="65">
      <c r="AL65" s="8" t="n"/>
      <c r="AM65" s="8" t="n"/>
      <c r="AN65" s="8" t="n"/>
      <c r="AO65" s="8" t="n"/>
      <c r="AP65" s="8" t="n"/>
    </row>
    <row r="66">
      <c r="AL66" s="8" t="n"/>
      <c r="AM66" s="8" t="n"/>
      <c r="AN66" s="8" t="n"/>
      <c r="AO66" s="8" t="n"/>
      <c r="AP66" s="8" t="n"/>
    </row>
    <row r="67">
      <c r="AL67" s="8" t="n"/>
      <c r="AM67" s="8" t="n"/>
      <c r="AN67" s="8" t="n"/>
      <c r="AO67" s="8" t="n"/>
      <c r="AP67" s="8" t="n"/>
    </row>
    <row r="68">
      <c r="AL68" s="8" t="n"/>
      <c r="AM68" s="8" t="n"/>
      <c r="AN68" s="8" t="n"/>
      <c r="AO68" s="8" t="n"/>
      <c r="AP68" s="8" t="n"/>
    </row>
    <row r="69">
      <c r="AL69" s="8" t="n"/>
      <c r="AM69" s="8" t="n"/>
      <c r="AN69" s="8" t="n"/>
      <c r="AO69" s="8" t="n"/>
      <c r="AP69" s="8" t="n"/>
    </row>
    <row r="70">
      <c r="AL70" s="8" t="n"/>
      <c r="AM70" s="8" t="n"/>
      <c r="AN70" s="8" t="n"/>
      <c r="AO70" s="8" t="n"/>
      <c r="AP70" s="8" t="n"/>
    </row>
    <row r="71">
      <c r="AL71" s="8" t="n"/>
      <c r="AM71" s="8" t="n"/>
      <c r="AN71" s="8" t="n"/>
      <c r="AO71" s="8" t="n"/>
      <c r="AP71" s="8" t="n"/>
    </row>
    <row r="72">
      <c r="AL72" s="8" t="n"/>
      <c r="AM72" s="8" t="n"/>
      <c r="AN72" s="8" t="n"/>
      <c r="AO72" s="8" t="n"/>
      <c r="AP72" s="8" t="n"/>
    </row>
    <row r="73">
      <c r="AL73" s="8" t="n"/>
      <c r="AM73" s="8" t="n"/>
      <c r="AN73" s="8" t="n"/>
      <c r="AO73" s="8" t="n"/>
      <c r="AP73" s="8" t="n"/>
    </row>
    <row r="74">
      <c r="AL74" s="8" t="n"/>
      <c r="AM74" s="8" t="n"/>
      <c r="AN74" s="8" t="n"/>
      <c r="AO74" s="8" t="n"/>
      <c r="AP74" s="8" t="n"/>
    </row>
    <row r="75">
      <c r="AL75" s="8" t="n"/>
      <c r="AM75" s="8" t="n"/>
      <c r="AN75" s="8" t="n"/>
      <c r="AO75" s="8" t="n"/>
      <c r="AP75" s="8" t="n"/>
    </row>
    <row r="76">
      <c r="AL76" s="8" t="n"/>
      <c r="AM76" s="8" t="n"/>
      <c r="AN76" s="8" t="n"/>
      <c r="AO76" s="8" t="n"/>
      <c r="AP76" s="8" t="n"/>
    </row>
    <row r="77">
      <c r="AL77" s="8" t="n"/>
      <c r="AM77" s="8" t="n"/>
      <c r="AN77" s="8" t="n"/>
      <c r="AO77" s="8" t="n"/>
      <c r="AP77" s="8" t="n"/>
    </row>
    <row r="78">
      <c r="AL78" s="8" t="n"/>
      <c r="AM78" s="8" t="n"/>
      <c r="AN78" s="8" t="n"/>
      <c r="AO78" s="8" t="n"/>
      <c r="AP78" s="8" t="n"/>
    </row>
    <row r="79">
      <c r="AL79" s="8" t="n"/>
      <c r="AM79" s="8" t="n"/>
      <c r="AN79" s="8" t="n"/>
      <c r="AO79" s="8" t="n"/>
      <c r="AP79" s="8" t="n"/>
    </row>
    <row r="80">
      <c r="AL80" s="8" t="n"/>
      <c r="AM80" s="8" t="n"/>
      <c r="AN80" s="8" t="n"/>
      <c r="AO80" s="8" t="n"/>
      <c r="AP80" s="8" t="n"/>
    </row>
    <row r="81">
      <c r="AL81" s="8" t="n"/>
      <c r="AM81" s="8" t="n"/>
      <c r="AN81" s="8" t="n"/>
      <c r="AO81" s="8" t="n"/>
      <c r="AP81" s="8" t="n"/>
    </row>
    <row r="82">
      <c r="AL82" s="8" t="n"/>
      <c r="AM82" s="8" t="n"/>
      <c r="AN82" s="8" t="n"/>
      <c r="AO82" s="8" t="n"/>
      <c r="AP82" s="8" t="n"/>
    </row>
    <row r="83">
      <c r="AL83" s="8" t="n"/>
      <c r="AM83" s="8" t="n"/>
      <c r="AN83" s="8" t="n"/>
      <c r="AO83" s="8" t="n"/>
      <c r="AP83" s="8" t="n"/>
    </row>
    <row r="84">
      <c r="AL84" s="8" t="n"/>
      <c r="AM84" s="8" t="n"/>
      <c r="AN84" s="8" t="n"/>
      <c r="AO84" s="8" t="n"/>
      <c r="AP84" s="8" t="n"/>
    </row>
    <row r="85">
      <c r="AL85" s="8" t="n"/>
      <c r="AM85" s="8" t="n"/>
      <c r="AN85" s="8" t="n"/>
      <c r="AO85" s="8" t="n"/>
      <c r="AP85" s="8" t="n"/>
    </row>
    <row r="86">
      <c r="AL86" s="8" t="n"/>
      <c r="AM86" s="8" t="n"/>
      <c r="AN86" s="8" t="n"/>
      <c r="AO86" s="8" t="n"/>
      <c r="AP86" s="8" t="n"/>
    </row>
    <row r="87">
      <c r="AL87" s="8" t="n"/>
      <c r="AM87" s="8" t="n"/>
      <c r="AN87" s="8" t="n"/>
      <c r="AO87" s="8" t="n"/>
      <c r="AP87" s="8" t="n"/>
    </row>
    <row r="88">
      <c r="AL88" s="8" t="n"/>
      <c r="AM88" s="8" t="n"/>
      <c r="AN88" s="8" t="n"/>
      <c r="AO88" s="8" t="n"/>
      <c r="AP88" s="8" t="n"/>
    </row>
    <row r="89">
      <c r="AL89" s="8" t="n"/>
      <c r="AM89" s="8" t="n"/>
      <c r="AN89" s="8" t="n"/>
      <c r="AO89" s="8" t="n"/>
      <c r="AP89" s="8" t="n"/>
    </row>
    <row r="90">
      <c r="AL90" s="8" t="n"/>
      <c r="AM90" s="8" t="n"/>
      <c r="AN90" s="8" t="n"/>
      <c r="AO90" s="8" t="n"/>
      <c r="AP90" s="8" t="n"/>
    </row>
    <row r="91">
      <c r="AL91" s="8" t="n"/>
      <c r="AM91" s="8" t="n"/>
      <c r="AN91" s="8" t="n"/>
      <c r="AO91" s="8" t="n"/>
      <c r="AP91" s="8" t="n"/>
    </row>
    <row r="92">
      <c r="AL92" s="8" t="n"/>
      <c r="AM92" s="8" t="n"/>
      <c r="AN92" s="8" t="n"/>
      <c r="AO92" s="8" t="n"/>
      <c r="AP92" s="8" t="n"/>
    </row>
    <row r="93">
      <c r="AL93" s="8" t="n"/>
      <c r="AM93" s="8" t="n"/>
      <c r="AN93" s="8" t="n"/>
      <c r="AO93" s="8" t="n"/>
      <c r="AP93" s="8" t="n"/>
    </row>
    <row r="94">
      <c r="AL94" s="8" t="n"/>
      <c r="AM94" s="8" t="n"/>
      <c r="AN94" s="8" t="n"/>
      <c r="AO94" s="8" t="n"/>
      <c r="AP94" s="8" t="n"/>
    </row>
    <row r="95">
      <c r="AL95" s="8" t="n"/>
      <c r="AM95" s="8" t="n"/>
      <c r="AN95" s="8" t="n"/>
      <c r="AO95" s="8" t="n"/>
      <c r="AP95" s="8" t="n"/>
    </row>
    <row r="96">
      <c r="AL96" s="8" t="n"/>
      <c r="AM96" s="8" t="n"/>
      <c r="AN96" s="8" t="n"/>
      <c r="AO96" s="8" t="n"/>
      <c r="AP96" s="8" t="n"/>
    </row>
    <row r="97">
      <c r="AL97" s="8" t="n"/>
      <c r="AM97" s="8" t="n"/>
      <c r="AN97" s="8" t="n"/>
      <c r="AO97" s="8" t="n"/>
      <c r="AP97" s="8" t="n"/>
    </row>
    <row r="98">
      <c r="AL98" s="8" t="n"/>
      <c r="AM98" s="8" t="n"/>
      <c r="AN98" s="8" t="n"/>
      <c r="AO98" s="8" t="n"/>
      <c r="AP98" s="8" t="n"/>
    </row>
    <row r="99">
      <c r="AL99" s="8" t="n"/>
      <c r="AM99" s="8" t="n"/>
      <c r="AN99" s="8" t="n"/>
      <c r="AO99" s="8" t="n"/>
      <c r="AP99" s="8" t="n"/>
    </row>
    <row r="100">
      <c r="AL100" s="8" t="n"/>
      <c r="AM100" s="8" t="n"/>
      <c r="AN100" s="8" t="n"/>
      <c r="AO100" s="8" t="n"/>
      <c r="AP100" s="8" t="n"/>
    </row>
    <row r="101">
      <c r="AL101" s="8" t="n"/>
      <c r="AM101" s="8" t="n"/>
      <c r="AN101" s="8" t="n"/>
      <c r="AO101" s="8" t="n"/>
      <c r="AP101" s="8" t="n"/>
    </row>
    <row r="102">
      <c r="AL102" s="8" t="n"/>
      <c r="AM102" s="8" t="n"/>
      <c r="AN102" s="8" t="n"/>
      <c r="AO102" s="8" t="n"/>
      <c r="AP102" s="8" t="n"/>
    </row>
    <row r="103">
      <c r="AL103" s="8" t="n"/>
      <c r="AM103" s="8" t="n"/>
      <c r="AN103" s="8" t="n"/>
      <c r="AO103" s="8" t="n"/>
      <c r="AP103" s="8" t="n"/>
    </row>
    <row r="104">
      <c r="AL104" s="8" t="n"/>
      <c r="AM104" s="8" t="n"/>
      <c r="AN104" s="8" t="n"/>
      <c r="AO104" s="8" t="n"/>
      <c r="AP104" s="8" t="n"/>
    </row>
    <row r="105">
      <c r="AL105" s="8" t="n"/>
      <c r="AM105" s="8" t="n"/>
      <c r="AN105" s="8" t="n"/>
      <c r="AO105" s="8" t="n"/>
      <c r="AP105" s="8" t="n"/>
    </row>
    <row r="106">
      <c r="AL106" s="8" t="n"/>
      <c r="AM106" s="8" t="n"/>
      <c r="AN106" s="8" t="n"/>
      <c r="AO106" s="8" t="n"/>
      <c r="AP106" s="8" t="n"/>
    </row>
    <row r="107">
      <c r="AL107" s="8" t="n"/>
      <c r="AM107" s="8" t="n"/>
      <c r="AN107" s="8" t="n"/>
      <c r="AO107" s="8" t="n"/>
      <c r="AP107" s="8" t="n"/>
    </row>
    <row r="108">
      <c r="AP108" s="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2026-04-05T22:02:34Z</dcterms:modified>
  <cp:lastModifiedBy>Abigail Cheng</cp:lastModifiedBy>
</cp:coreProperties>
</file>