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14120" windowHeight="177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rgb="FFF7E8FF"/>
        <bgColor rgb="FFADD8E6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0" fontId="0" fillId="8" borderId="0" pivotButton="0" quotePrefix="0" xfId="0"/>
    <xf numFmtId="164" fontId="1" fillId="9" borderId="0" pivotButton="0" quotePrefix="0" xfId="0"/>
    <xf numFmtId="0" fontId="0" fillId="10" borderId="0" pivotButton="0" quotePrefix="0" xfId="0"/>
    <xf numFmtId="0" fontId="4" fillId="11" borderId="0" pivotButton="0" quotePrefix="0" xfId="0"/>
    <xf numFmtId="0" fontId="2" fillId="12" borderId="0" pivotButton="0" quotePrefix="0" xfId="0"/>
    <xf numFmtId="0" fontId="0" fillId="13" borderId="0" pivotButton="0" quotePrefix="0" xfId="0"/>
    <xf numFmtId="0" fontId="1" fillId="1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B108"/>
  <sheetViews>
    <sheetView tabSelected="1" topLeftCell="D1" zoomScaleNormal="157" workbookViewId="0">
      <selection activeCell="G9" sqref="G9"/>
    </sheetView>
  </sheetViews>
  <sheetFormatPr baseColWidth="10" defaultRowHeight="16"/>
  <cols>
    <col width="2.6640625" customWidth="1" style="1" min="1" max="1"/>
    <col width="28.6640625" customWidth="1" style="1" min="2" max="2"/>
    <col width="10" bestFit="1" customWidth="1" style="1" min="3" max="3"/>
    <col width="14" customWidth="1" style="1" min="4" max="4"/>
    <col width="14.6640625" customWidth="1" style="1" min="5" max="5"/>
    <col width="17" customWidth="1" style="1" min="6" max="6"/>
    <col width="16.33203125" customWidth="1" style="1" min="7" max="7"/>
    <col width="17" customWidth="1" style="1" min="8" max="10"/>
    <col width="12.1640625" customWidth="1" style="1" min="11" max="11"/>
    <col width="15.83203125" customWidth="1" style="1" min="12" max="12"/>
    <col width="13.5" customWidth="1" style="1" min="13" max="13"/>
    <col width="3" customWidth="1" style="1" min="14" max="14"/>
    <col width="12.83203125" bestFit="1" customWidth="1" style="1" min="15" max="15"/>
    <col width="11" customWidth="1" style="1" min="16" max="16"/>
    <col width="12.83203125" customWidth="1" style="1" min="17" max="17"/>
    <col width="13.83203125" customWidth="1" style="1" min="18" max="18"/>
    <col width="12" customWidth="1" style="1" min="19" max="19"/>
    <col width="11.83203125" customWidth="1" style="1" min="20" max="20"/>
    <col width="13.5" customWidth="1" style="1" min="21" max="21"/>
    <col width="14.33203125" customWidth="1" style="1" min="22" max="22"/>
    <col width="11" customWidth="1" style="1" min="23" max="23"/>
    <col width="9.33203125" customWidth="1" style="1" min="24" max="24"/>
    <col width="10.33203125" customWidth="1" style="1" min="25" max="25"/>
    <col width="14.83203125" customWidth="1" style="1" min="26" max="26"/>
    <col width="14.5" customWidth="1" style="1" min="27" max="27"/>
    <col width="12.5" customWidth="1" style="1" min="28" max="29"/>
    <col width="12.1640625" customWidth="1" style="1" min="30" max="30"/>
    <col width="13.1640625" customWidth="1" style="1" min="31" max="31"/>
    <col width="9.6640625" customWidth="1" style="1" min="32" max="32"/>
    <col width="9.83203125" customWidth="1" style="1" min="33" max="33"/>
    <col width="14.5" customWidth="1" style="1" min="34" max="34"/>
    <col width="15.33203125" customWidth="1" style="1" min="35" max="35"/>
    <col width="3.33203125" customWidth="1" min="36" max="36"/>
    <col width="18.83203125" customWidth="1" style="1" min="37" max="37"/>
    <col width="19.83203125" customWidth="1" style="1" min="38" max="38"/>
    <col width="15.6640625" bestFit="1" customWidth="1" style="1" min="39" max="39"/>
    <col width="15.6640625" customWidth="1" style="1" min="40" max="40"/>
    <col width="18.33203125" bestFit="1" customWidth="1" style="1" min="41" max="41"/>
    <col width="15.6640625" customWidth="1" style="1" min="42" max="43"/>
    <col width="18.33203125" bestFit="1" customWidth="1" style="1" min="44" max="44"/>
    <col width="14.1640625" bestFit="1" customWidth="1" style="1" min="45" max="45"/>
    <col width="12.6640625" bestFit="1" customWidth="1" style="1" min="46" max="46"/>
    <col width="15.1640625" bestFit="1" customWidth="1" style="1" min="47" max="47"/>
    <col width="17.33203125" bestFit="1" customWidth="1" style="1" min="48" max="48"/>
    <col width="17.1640625" bestFit="1" customWidth="1" style="1" min="49" max="49"/>
    <col width="15.5" customWidth="1" style="1" min="50" max="50"/>
    <col width="13.6640625" bestFit="1" customWidth="1" style="1" min="51" max="51"/>
    <col width="12.1640625" bestFit="1" customWidth="1" style="1" min="52" max="52"/>
    <col width="14.5" bestFit="1" customWidth="1" style="1" min="53" max="53"/>
    <col width="10.5" customWidth="1" style="1" min="54" max="54"/>
    <col width="17.83203125" bestFit="1" customWidth="1" style="1" min="55" max="55"/>
    <col width="19.6640625" bestFit="1" customWidth="1" style="1" min="56" max="56"/>
    <col width="12.1640625" customWidth="1" style="1" min="57" max="57"/>
    <col width="17.83203125" bestFit="1" customWidth="1" style="1" min="58" max="58"/>
    <col width="19.33203125" bestFit="1" customWidth="1" style="1" min="59" max="59"/>
    <col width="18" customWidth="1" style="1" min="60" max="60"/>
    <col width="17.83203125" bestFit="1" customWidth="1" style="1" min="61" max="61"/>
    <col width="19.33203125" bestFit="1" customWidth="1" style="1" min="62" max="62"/>
    <col width="9.6640625" customWidth="1" style="1" min="63" max="63"/>
    <col width="17.83203125" bestFit="1" customWidth="1" style="1" min="64" max="64"/>
    <col width="19.33203125" bestFit="1" customWidth="1" style="1" min="65" max="65"/>
    <col width="3.33203125" customWidth="1" style="1" min="66" max="66"/>
    <col width="12.83203125" customWidth="1" style="1" min="67" max="67"/>
    <col width="11.6640625" customWidth="1" style="1" min="68" max="68"/>
    <col width="19.1640625" bestFit="1" customWidth="1" style="1" min="69" max="69"/>
    <col width="3.6640625" customWidth="1" style="1" min="70" max="70"/>
    <col width="21.6640625" bestFit="1" customWidth="1" style="1" min="71" max="71"/>
    <col width="18.33203125" bestFit="1" customWidth="1" style="1" min="72" max="72"/>
    <col width="24.33203125" bestFit="1" customWidth="1" style="1" min="73" max="73"/>
    <col width="3.33203125" customWidth="1" style="1" min="74" max="74"/>
    <col width="23" bestFit="1" customWidth="1" style="1" min="75" max="75"/>
    <col width="17.83203125" bestFit="1" customWidth="1" style="1" min="76" max="76"/>
    <col width="23.6640625" bestFit="1" customWidth="1" style="1" min="77" max="77"/>
    <col width="23.1640625" bestFit="1" customWidth="1" style="1" min="78" max="78"/>
    <col width="18.5" bestFit="1" customWidth="1" style="1" min="79" max="79"/>
    <col width="26" bestFit="1" customWidth="1" style="1" min="80" max="80"/>
    <col width="10.83203125" customWidth="1" style="1" min="81" max="89"/>
    <col width="10.83203125" customWidth="1" style="1" min="90" max="16384"/>
  </cols>
  <sheetData>
    <row r="2">
      <c r="B2" s="1" t="inlineStr">
        <is>
          <t>Asset Parameters (normalized by commodity feedstock)</t>
        </is>
      </c>
      <c r="O2" s="1" t="inlineStr">
        <is>
          <t>Duals</t>
        </is>
      </c>
      <c r="AK2" s="1" t="inlineStr">
        <is>
          <t>LCOE for assets with ethane capacity ($/t-ethylene)</t>
        </is>
      </c>
      <c r="AM2" s="1" t="inlineStr">
        <is>
          <t>SEQ - CI</t>
        </is>
      </c>
      <c r="AN2" s="1" t="inlineStr">
        <is>
          <t>SEQ - CREDIT</t>
        </is>
      </c>
      <c r="AP2" s="1" t="inlineStr">
        <is>
          <t>NO SEQ - CI</t>
        </is>
      </c>
      <c r="AQ2" s="1" t="inlineStr">
        <is>
          <t>NO SEQ - CREDIT</t>
        </is>
      </c>
      <c r="BB2" s="1" t="inlineStr">
        <is>
          <t>CHEM SEQUESTRATION - CARBON INTENSITY</t>
        </is>
      </c>
      <c r="BE2" s="1" t="inlineStr">
        <is>
          <t>CHEM SEQUESTRATION - CREDIT</t>
        </is>
      </c>
      <c r="BH2" s="1" t="inlineStr">
        <is>
          <t>NO CHEM SEQUESTRATION - CARBON INTENSITY</t>
        </is>
      </c>
      <c r="BK2" s="1" t="inlineStr">
        <is>
          <t>NO CHEM SEQUESTRATION - CREDIT</t>
        </is>
      </c>
      <c r="BO2" s="1" t="inlineStr">
        <is>
          <t>Carbon Content</t>
        </is>
      </c>
      <c r="BS2" s="1" t="inlineStr">
        <is>
          <t>Carbon Inputs</t>
        </is>
      </c>
      <c r="BW2" s="1" t="inlineStr">
        <is>
          <t>Carbon Outputs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h2_consumption (MWh/MWh-ethanol)</t>
        </is>
      </c>
      <c r="E3" s="2" t="inlineStr">
        <is>
          <t>elec_consumption (MWh/MWh-ethanol)</t>
        </is>
      </c>
      <c r="F3" s="2" t="inlineStr">
        <is>
          <t>ethylene_production (t-ethylene/MWh-ethanol)</t>
        </is>
      </c>
      <c r="G3" s="2" t="inlineStr">
        <is>
          <t>natgas_consumption (MWh/MWh-ethanol)</t>
        </is>
      </c>
      <c r="H3" s="2" t="inlineStr">
        <is>
          <t>capture_rate (t-CO2/MWh-ethanol)</t>
        </is>
      </c>
      <c r="I3" s="2" t="inlineStr">
        <is>
          <t>emission_rate (t-CO2/MWh-ethanol)</t>
        </is>
      </c>
      <c r="J3" s="2" t="inlineStr">
        <is>
          <t>investment_cost ($/yr per MW ethanol)</t>
        </is>
      </c>
      <c r="K3" s="2" t="inlineStr">
        <is>
          <t>fixed_om_cost ($/yr per MW ethanol)</t>
        </is>
      </c>
      <c r="L3" s="2" t="inlineStr">
        <is>
          <t>variable_om_cost ($/MWh-ethanol)</t>
        </is>
      </c>
      <c r="M3" s="7" t="inlineStr">
        <is>
          <t>LPG_production (t-LPG/t-ethylene)</t>
        </is>
      </c>
      <c r="O3" s="15" t="inlineStr">
        <is>
          <t>co2_sink ($/t)</t>
        </is>
      </c>
      <c r="P3" s="15" t="inlineStr">
        <is>
          <t>co2_captured ($/t)</t>
        </is>
      </c>
      <c r="Q3" s="15" t="inlineStr">
        <is>
          <t>bioherb_supply ($/t)</t>
        </is>
      </c>
      <c r="R3" s="15" t="inlineStr">
        <is>
          <t>biowood_supply ($/t)</t>
        </is>
      </c>
      <c r="S3" s="15" t="inlineStr">
        <is>
          <t>bioagri_supply ($/t)</t>
        </is>
      </c>
      <c r="T3" s="7" t="inlineStr">
        <is>
          <t>ethane_supply ($/MWh)</t>
        </is>
      </c>
      <c r="U3" s="15" t="inlineStr">
        <is>
          <t>ethanol_balance ($/MWh)</t>
        </is>
      </c>
      <c r="V3" s="15" t="inlineStr">
        <is>
          <t>ethanol_demand ($/MWh)</t>
        </is>
      </c>
      <c r="W3" s="15" t="inlineStr">
        <is>
          <t>elec_demand ($/MWh)</t>
        </is>
      </c>
      <c r="X3" s="15" t="inlineStr">
        <is>
          <t>h2_balance ($/MWh)</t>
        </is>
      </c>
      <c r="Y3" s="15" t="inlineStr">
        <is>
          <t>h2_demand ($/MWh)</t>
        </is>
      </c>
      <c r="Z3" s="15" t="inlineStr">
        <is>
          <t>gasoline_balance ($/MWh)</t>
        </is>
      </c>
      <c r="AA3" s="15" t="inlineStr">
        <is>
          <t>gasoline_demand ($/MWh)</t>
        </is>
      </c>
      <c r="AB3" s="15" t="inlineStr">
        <is>
          <t>diesel_balance ($/MWh)</t>
        </is>
      </c>
      <c r="AC3" s="15" t="inlineStr">
        <is>
          <t>diesel_demand ($/MWh)</t>
        </is>
      </c>
      <c r="AD3" s="15" t="inlineStr">
        <is>
          <t>jetfuel_balance ($/MWh)</t>
        </is>
      </c>
      <c r="AE3" s="15" t="inlineStr">
        <is>
          <t>jetfuel_demand ($/MWh)</t>
        </is>
      </c>
      <c r="AF3" s="15" t="inlineStr">
        <is>
          <t>ng_balance ($/MWh)</t>
        </is>
      </c>
      <c r="AG3" s="15" t="inlineStr">
        <is>
          <t>ng_demand ($/MWh)</t>
        </is>
      </c>
      <c r="AH3" s="15" t="inlineStr">
        <is>
          <t>ethylene_balance ($/t)</t>
        </is>
      </c>
      <c r="AI3" s="15" t="inlineStr">
        <is>
          <t>ethylene_demand ($/t)</t>
        </is>
      </c>
      <c r="AK3" s="4" t="inlineStr">
        <is>
          <t>id_LC</t>
        </is>
      </c>
      <c r="AL3" s="4" t="inlineStr">
        <is>
          <t>commodity_LC</t>
        </is>
      </c>
      <c r="AM3" s="3" t="inlineStr">
        <is>
          <t>LCOE ($/t-ethylene)</t>
        </is>
      </c>
      <c r="AN3" s="6" t="inlineStr">
        <is>
          <t>LCOE ($/t-ethylene)</t>
        </is>
      </c>
      <c r="AO3" s="7" t="inlineStr">
        <is>
          <t>Diff. Between Methods</t>
        </is>
      </c>
      <c r="AP3" s="3" t="inlineStr">
        <is>
          <t>LCOE ($/t-ethylene)</t>
        </is>
      </c>
      <c r="AQ3" s="6" t="inlineStr">
        <is>
          <t>LCOE ($/t-ethylene)</t>
        </is>
      </c>
      <c r="AR3" s="7" t="inlineStr">
        <is>
          <t>Diff. Between Methods</t>
        </is>
      </c>
      <c r="AS3" s="4" t="inlineStr">
        <is>
          <t>h2_consumption</t>
        </is>
      </c>
      <c r="AT3" s="4" t="inlineStr">
        <is>
          <t>h2_production</t>
        </is>
      </c>
      <c r="AU3" s="4" t="inlineStr">
        <is>
          <t>elec_consumption</t>
        </is>
      </c>
      <c r="AV3" s="4" t="inlineStr">
        <is>
          <t>ethane_consumption</t>
        </is>
      </c>
      <c r="AW3" s="4" t="inlineStr">
        <is>
          <t>natgas_consumption</t>
        </is>
      </c>
      <c r="AX3" s="4" t="inlineStr">
        <is>
          <t>natgas_production</t>
        </is>
      </c>
      <c r="AY3" s="4" t="inlineStr">
        <is>
          <t>investment_cost</t>
        </is>
      </c>
      <c r="AZ3" s="4" t="inlineStr">
        <is>
          <t>fixed_om_cost</t>
        </is>
      </c>
      <c r="BA3" s="4" t="inlineStr">
        <is>
          <t>variable_om_cost</t>
        </is>
      </c>
      <c r="BB3" s="3" t="inlineStr">
        <is>
          <t>CI</t>
        </is>
      </c>
      <c r="BC3" s="3" t="inlineStr">
        <is>
          <t>modified capture cost</t>
        </is>
      </c>
      <c r="BD3" s="3" t="inlineStr">
        <is>
          <t>modified emissions cost</t>
        </is>
      </c>
      <c r="BE3" s="6" t="inlineStr">
        <is>
          <t>CI</t>
        </is>
      </c>
      <c r="BF3" s="6" t="inlineStr">
        <is>
          <t>modified capture cost</t>
        </is>
      </c>
      <c r="BG3" s="6" t="inlineStr">
        <is>
          <t>modified emissions cost</t>
        </is>
      </c>
      <c r="BH3" s="3" t="inlineStr">
        <is>
          <t>CI</t>
        </is>
      </c>
      <c r="BI3" s="3" t="inlineStr">
        <is>
          <t>modified capture cost</t>
        </is>
      </c>
      <c r="BJ3" s="3" t="inlineStr">
        <is>
          <t>modified emissions cost</t>
        </is>
      </c>
      <c r="BK3" s="6" t="inlineStr">
        <is>
          <t>CI</t>
        </is>
      </c>
      <c r="BL3" s="6" t="inlineStr">
        <is>
          <t>modified capture cost</t>
        </is>
      </c>
      <c r="BM3" s="6" t="inlineStr">
        <is>
          <t>modified emissions cost</t>
        </is>
      </c>
      <c r="BO3" s="7" t="inlineStr">
        <is>
          <t>Ethylene (t-CO2/t-ethylene)</t>
        </is>
      </c>
      <c r="BP3" s="7" t="inlineStr">
        <is>
          <t>Ethane (t-CO2/MWh-ethane)</t>
        </is>
      </c>
      <c r="BQ3" s="7" t="inlineStr">
        <is>
          <t>NG (t-CO2/MWh-NG)</t>
        </is>
      </c>
      <c r="BS3" s="7" t="inlineStr">
        <is>
          <t>Ethane (t-CO2/t-ethylene)</t>
        </is>
      </c>
      <c r="BT3" s="7" t="inlineStr">
        <is>
          <t>NG (t-CO2/t-ethylene)</t>
        </is>
      </c>
      <c r="BU3" s="7" t="inlineStr">
        <is>
          <t>Total input (t-CO2/t-ethylene)</t>
        </is>
      </c>
      <c r="BW3" s="7" t="inlineStr">
        <is>
          <t>Ethylene (t-CO2/t-ethylene)</t>
        </is>
      </c>
      <c r="BX3" s="7" t="inlineStr">
        <is>
          <t>NG (t-CO2/MWh-NG)</t>
        </is>
      </c>
      <c r="BY3" s="7" t="inlineStr">
        <is>
          <t>Emissions (t-CO2/t-ethylene)</t>
        </is>
      </c>
      <c r="BZ3" s="7" t="inlineStr">
        <is>
          <t>Captured (t-CO2/t-ethylene)</t>
        </is>
      </c>
      <c r="CA3" s="7" t="inlineStr">
        <is>
          <t>LPG (t-CO2/t-ethylene)</t>
        </is>
      </c>
      <c r="CB3" s="7" t="inlineStr">
        <is>
          <t>Total Output (t-CO2/t-ethylene)</t>
        </is>
      </c>
    </row>
    <row r="4">
      <c r="B4" s="14" t="inlineStr">
        <is>
          <t>SE_Ethanol_Dehydration_NGfuel</t>
        </is>
      </c>
      <c r="C4" s="13" t="inlineStr">
        <is>
          <t>Ethanol</t>
        </is>
      </c>
      <c r="D4" s="13" t="n">
        <v>0</v>
      </c>
      <c r="E4" s="13" t="n">
        <v>0.01623145534</v>
      </c>
      <c r="F4" s="13" t="n">
        <v>0.0704490249</v>
      </c>
      <c r="G4" s="13" t="n">
        <v>0.1145684494</v>
      </c>
      <c r="H4" s="13" t="n">
        <v>0</v>
      </c>
      <c r="I4" s="13" t="n">
        <v>0.42269136727</v>
      </c>
      <c r="J4" s="13" t="n">
        <v>6577.971284</v>
      </c>
      <c r="K4" s="13" t="n">
        <v>6324.13288</v>
      </c>
      <c r="L4" s="13" t="n">
        <v>0.1113094593</v>
      </c>
      <c r="M4" s="11">
        <f>CA4/0.22/14</f>
        <v/>
      </c>
      <c r="O4" s="16" t="n">
        <v>122.135409</v>
      </c>
      <c r="P4" s="16" t="n">
        <v>-10.071578</v>
      </c>
      <c r="Q4" s="16" t="n">
        <v>73.297528</v>
      </c>
      <c r="R4" s="16" t="n">
        <v>77.15826</v>
      </c>
      <c r="S4" s="16" t="n">
        <v>59.694024</v>
      </c>
      <c r="T4" s="11" t="n">
        <v>21.9863533</v>
      </c>
      <c r="U4" s="17" t="n"/>
      <c r="V4" s="17" t="n"/>
      <c r="W4" s="16" t="n">
        <v>26.556269</v>
      </c>
      <c r="X4" s="16" t="n">
        <v>8.627891999999999</v>
      </c>
      <c r="Y4" s="16" t="n"/>
      <c r="Z4" s="17" t="n">
        <v>-96.133976</v>
      </c>
      <c r="AA4" s="17" t="n">
        <v>-96.133976</v>
      </c>
      <c r="AB4" s="17" t="n"/>
      <c r="AC4" s="17" t="n"/>
      <c r="AD4" s="17" t="n"/>
      <c r="AE4" s="17" t="n"/>
      <c r="AF4" s="16" t="n">
        <v>4.754684</v>
      </c>
      <c r="AG4" s="16" t="n">
        <v>-0.136283</v>
      </c>
      <c r="AH4" s="16" t="n">
        <v>576.811269</v>
      </c>
      <c r="AI4" s="16" t="n">
        <v>576.811269</v>
      </c>
      <c r="AK4" s="1">
        <f>B4</f>
        <v/>
      </c>
      <c r="AL4" s="1">
        <f>C4</f>
        <v/>
      </c>
      <c r="AM4" s="12">
        <f>SUM(AS4:BA4)+BC4+BD4</f>
        <v/>
      </c>
      <c r="AN4" s="12">
        <f>SUM(AS4:BA4)+BF4+BG4</f>
        <v/>
      </c>
      <c r="AO4" s="5">
        <f>AM4-AN4</f>
        <v/>
      </c>
      <c r="AP4" s="12">
        <f>SUM(AS4:BA4)+BI4+BJ4</f>
        <v/>
      </c>
      <c r="AQ4" s="12">
        <f>SUM(AS4:BA4)+BL4+BM4</f>
        <v/>
      </c>
      <c r="AR4" s="5">
        <f>AP4-AQ4</f>
        <v/>
      </c>
      <c r="AS4" s="5">
        <f>D4/F4*X4</f>
        <v/>
      </c>
      <c r="AT4" s="1">
        <f>#REF!/F4*X4*-1</f>
        <v/>
      </c>
      <c r="AU4" s="1">
        <f>E4/F4*W4</f>
        <v/>
      </c>
      <c r="AV4" s="1">
        <f>1/F4*T4</f>
        <v/>
      </c>
      <c r="AW4" s="1">
        <f>G4/F4*AF4</f>
        <v/>
      </c>
      <c r="AX4" s="1">
        <f>#REF!/F4*AF4*-1</f>
        <v/>
      </c>
      <c r="AY4" s="1">
        <f>J4/F4/(0.9*8760)</f>
        <v/>
      </c>
      <c r="AZ4" s="1">
        <f>K4/F4/(0.9*8760)</f>
        <v/>
      </c>
      <c r="BA4" s="1">
        <f>L4/F4</f>
        <v/>
      </c>
      <c r="BB4" s="1">
        <f>BX4+BY4+BZ4</f>
        <v/>
      </c>
      <c r="BC4" s="1">
        <f>(O4+P4)*-1*H4/F4</f>
        <v/>
      </c>
      <c r="BD4" s="1">
        <f>BB4*O4</f>
        <v/>
      </c>
      <c r="BE4" s="1">
        <f>BX4+BY4</f>
        <v/>
      </c>
      <c r="BF4" s="1">
        <f>P4*H4*-1/F4</f>
        <v/>
      </c>
      <c r="BG4" s="1">
        <f>BE4*O4</f>
        <v/>
      </c>
      <c r="BH4" s="1">
        <f>SUM(BW4:CA4)</f>
        <v/>
      </c>
      <c r="BI4" s="1">
        <f>(O4+P4)*-1*H4/F4</f>
        <v/>
      </c>
      <c r="BJ4" s="1">
        <f>BH4*O4</f>
        <v/>
      </c>
      <c r="BK4" s="1">
        <f>BW4+BX4+BY4+CA4</f>
        <v/>
      </c>
      <c r="BL4" s="1">
        <f>H4/F4*P4*-1</f>
        <v/>
      </c>
      <c r="BM4" s="1">
        <f>O4*BK4</f>
        <v/>
      </c>
      <c r="BO4" s="9" t="n">
        <v>3.14</v>
      </c>
      <c r="BP4" s="10" t="n">
        <v>0.2218110024</v>
      </c>
      <c r="BQ4" s="9" t="n">
        <v>0.18104824</v>
      </c>
      <c r="BS4" s="10">
        <f>1/F4*BP4</f>
        <v/>
      </c>
      <c r="BT4" s="10">
        <f>G4/F4*BQ4</f>
        <v/>
      </c>
      <c r="BU4" s="10">
        <f>BS4+BT4</f>
        <v/>
      </c>
      <c r="BW4" s="10">
        <f>BO4</f>
        <v/>
      </c>
      <c r="BX4" s="10">
        <f>#REF!/F4*BQ4</f>
        <v/>
      </c>
      <c r="BY4" s="10">
        <f>I4/F4</f>
        <v/>
      </c>
      <c r="BZ4" s="10">
        <f>H4/F4</f>
        <v/>
      </c>
      <c r="CA4" s="10">
        <f>BU4-SUM(BW4:BZ4)</f>
        <v/>
      </c>
      <c r="CB4" s="10">
        <f>SUM(BW4:CA4)</f>
        <v/>
      </c>
    </row>
    <row r="5">
      <c r="B5" s="14" t="inlineStr">
        <is>
          <t>SE_Ethanol_Dehydration_H2fuel</t>
        </is>
      </c>
      <c r="C5" s="13" t="inlineStr">
        <is>
          <t>Ethanol</t>
        </is>
      </c>
      <c r="D5" s="13" t="n">
        <v>0.1123387839</v>
      </c>
      <c r="E5" s="13" t="n">
        <v>0.01623145534</v>
      </c>
      <c r="F5" s="13" t="n">
        <v>0.0704490249</v>
      </c>
      <c r="G5" s="13" t="n">
        <v>0</v>
      </c>
      <c r="H5" s="13" t="n">
        <v>0</v>
      </c>
      <c r="I5" s="13" t="n">
        <v>0.12825981766</v>
      </c>
      <c r="J5" s="13" t="n">
        <v>6577.971284</v>
      </c>
      <c r="K5" s="13" t="n">
        <v>6324.13288</v>
      </c>
      <c r="L5" s="13" t="n">
        <v>0.1113094593</v>
      </c>
      <c r="M5" s="11">
        <f>CA5/0.22/14</f>
        <v/>
      </c>
      <c r="O5" s="16" t="n">
        <v>122.135409</v>
      </c>
      <c r="P5" s="16" t="n">
        <v>-10.071578</v>
      </c>
      <c r="Q5" s="16" t="n">
        <v>73.297528</v>
      </c>
      <c r="R5" s="16" t="n">
        <v>77.15826</v>
      </c>
      <c r="S5" s="16" t="n">
        <v>59.694024</v>
      </c>
      <c r="T5" s="11" t="n">
        <v>21.9863533</v>
      </c>
      <c r="U5" s="17" t="n"/>
      <c r="V5" s="17" t="n"/>
      <c r="W5" s="16" t="n">
        <v>26.556269</v>
      </c>
      <c r="X5" s="16" t="n">
        <v>8.627891999999999</v>
      </c>
      <c r="Y5" s="16" t="n"/>
      <c r="Z5" s="17" t="n">
        <v>-96.133976</v>
      </c>
      <c r="AA5" s="17" t="n">
        <v>-96.133976</v>
      </c>
      <c r="AB5" s="17" t="n"/>
      <c r="AC5" s="17" t="n"/>
      <c r="AD5" s="17" t="n"/>
      <c r="AE5" s="17" t="n"/>
      <c r="AF5" s="16" t="n">
        <v>4.754684</v>
      </c>
      <c r="AG5" s="16" t="n">
        <v>-0.136283</v>
      </c>
      <c r="AH5" s="16" t="n">
        <v>576.811269</v>
      </c>
      <c r="AI5" s="16" t="n">
        <v>576.811269</v>
      </c>
      <c r="AK5" s="1">
        <f>B5</f>
        <v/>
      </c>
      <c r="AL5" s="1">
        <f>C5</f>
        <v/>
      </c>
      <c r="AM5" s="12">
        <f>SUM(AS5:BA5)+BC5+BD5</f>
        <v/>
      </c>
      <c r="AN5" s="12">
        <f>SUM(AS5:BA5)+BF5+BG5</f>
        <v/>
      </c>
      <c r="AO5" s="5">
        <f>AM5-AN5</f>
        <v/>
      </c>
      <c r="AP5" s="12">
        <f>SUM(AS5:BA5)+BI5+BJ5</f>
        <v/>
      </c>
      <c r="AQ5" s="12">
        <f>SUM(AS5:BA5)+BL5+BM5</f>
        <v/>
      </c>
      <c r="AR5" s="5">
        <f>AP5-AQ5</f>
        <v/>
      </c>
      <c r="AS5" s="5">
        <f>D5/F5*X5</f>
        <v/>
      </c>
      <c r="AT5" s="1">
        <f>#REF!/F5*X5*-1</f>
        <v/>
      </c>
      <c r="AU5" s="1">
        <f>E5/F5*W5</f>
        <v/>
      </c>
      <c r="AV5" s="1">
        <f>1/F5*T5</f>
        <v/>
      </c>
      <c r="AW5" s="1">
        <f>G5/F5*AF5</f>
        <v/>
      </c>
      <c r="AX5" s="1">
        <f>#REF!/F5*AF5*-1</f>
        <v/>
      </c>
      <c r="AY5" s="1">
        <f>J5/F5/(0.9*8760)</f>
        <v/>
      </c>
      <c r="AZ5" s="1">
        <f>K5/F5/(0.9*8760)</f>
        <v/>
      </c>
      <c r="BA5" s="1">
        <f>L5/F5</f>
        <v/>
      </c>
      <c r="BB5" s="1">
        <f>BX5+BY5+BZ5</f>
        <v/>
      </c>
      <c r="BC5" s="1">
        <f>(O5+P5)*-1*H5/F5</f>
        <v/>
      </c>
      <c r="BD5" s="1">
        <f>BB5*O5</f>
        <v/>
      </c>
      <c r="BE5" s="1">
        <f>BX5+BY5</f>
        <v/>
      </c>
      <c r="BF5" s="1">
        <f>P5*H5*-1/F5</f>
        <v/>
      </c>
      <c r="BG5" s="1">
        <f>BE5*O5</f>
        <v/>
      </c>
      <c r="BH5" s="1">
        <f>SUM(BW5:CA5)</f>
        <v/>
      </c>
      <c r="BI5" s="1">
        <f>(O5+P5)*-1*H5/F5</f>
        <v/>
      </c>
      <c r="BJ5" s="1">
        <f>BH5*O5</f>
        <v/>
      </c>
      <c r="BK5" s="1">
        <f>BW5+BX5+BY5+CA5</f>
        <v/>
      </c>
      <c r="BL5" s="1">
        <f>H5/F5*P5*-1</f>
        <v/>
      </c>
      <c r="BM5" s="1">
        <f>O5*BK5</f>
        <v/>
      </c>
      <c r="BO5" s="9" t="n">
        <v>3.14</v>
      </c>
      <c r="BP5" s="10" t="n">
        <v>0.2218110024</v>
      </c>
      <c r="BQ5" s="9" t="n">
        <v>0.18104824</v>
      </c>
      <c r="BS5" s="10">
        <f>1/F5*BP5</f>
        <v/>
      </c>
      <c r="BT5" s="10">
        <f>G5/F5*BQ5</f>
        <v/>
      </c>
      <c r="BU5" s="10">
        <f>BS5+BT5</f>
        <v/>
      </c>
      <c r="BW5" s="10">
        <f>BO5</f>
        <v/>
      </c>
      <c r="BX5" s="10">
        <f>#REF!/F5*BQ5</f>
        <v/>
      </c>
      <c r="BY5" s="10">
        <f>I5/F5</f>
        <v/>
      </c>
      <c r="BZ5" s="10">
        <f>H5/F5</f>
        <v/>
      </c>
      <c r="CA5" s="10">
        <f>BU5-SUM(BW5:BZ5)</f>
        <v/>
      </c>
      <c r="CB5" s="10">
        <f>SUM(BW5:CA5)</f>
        <v/>
      </c>
    </row>
    <row r="6">
      <c r="B6" s="14" t="inlineStr">
        <is>
          <t>CA_Ethanol_Dehydration_NGfuel</t>
        </is>
      </c>
      <c r="C6" s="13" t="inlineStr">
        <is>
          <t>Ethanol</t>
        </is>
      </c>
      <c r="D6" s="13" t="n">
        <v>0</v>
      </c>
      <c r="E6" s="13" t="n">
        <v>0.01623145534</v>
      </c>
      <c r="F6" s="13" t="n">
        <v>0.0704490249</v>
      </c>
      <c r="G6" s="13" t="n">
        <v>0.1145684494</v>
      </c>
      <c r="H6" s="13" t="n">
        <v>0</v>
      </c>
      <c r="I6" s="13" t="n">
        <v>0.42269136727</v>
      </c>
      <c r="J6" s="13" t="n">
        <v>6577.971284</v>
      </c>
      <c r="K6" s="13" t="n">
        <v>6324.13288</v>
      </c>
      <c r="L6" s="13" t="n">
        <v>0.1113094593</v>
      </c>
      <c r="M6" s="11">
        <f>CA6/0.22/14</f>
        <v/>
      </c>
      <c r="O6" s="16" t="n">
        <v>122.135409</v>
      </c>
      <c r="P6" s="16" t="n">
        <v>-6.496536</v>
      </c>
      <c r="Q6" s="16" t="n">
        <v>117.625038</v>
      </c>
      <c r="R6" s="16" t="n">
        <v>88.648826</v>
      </c>
      <c r="S6" s="16" t="n">
        <v>72.81119700000001</v>
      </c>
      <c r="T6" s="11" t="n">
        <v>21.9863533</v>
      </c>
      <c r="U6" s="17" t="n"/>
      <c r="V6" s="17" t="n"/>
      <c r="W6" s="16" t="n">
        <v>25.313633</v>
      </c>
      <c r="X6" s="16" t="n">
        <v>8.809073</v>
      </c>
      <c r="Y6" s="16" t="n"/>
      <c r="Z6" s="17" t="n">
        <v>0</v>
      </c>
      <c r="AA6" s="17" t="n">
        <v>0</v>
      </c>
      <c r="AB6" s="17" t="n"/>
      <c r="AC6" s="17" t="n"/>
      <c r="AD6" s="17" t="n"/>
      <c r="AE6" s="17" t="n"/>
      <c r="AF6" s="16" t="n">
        <v>11.573017</v>
      </c>
      <c r="AG6" s="16" t="n">
        <v>0</v>
      </c>
      <c r="AH6" s="16" t="n">
        <v>576.811269</v>
      </c>
      <c r="AI6" s="16" t="n">
        <v>0</v>
      </c>
      <c r="AK6" s="1">
        <f>B6</f>
        <v/>
      </c>
      <c r="AL6" s="1">
        <f>C6</f>
        <v/>
      </c>
      <c r="AM6" s="12">
        <f>SUM(AS6:BA6)+BC6+BD6</f>
        <v/>
      </c>
      <c r="AN6" s="12">
        <f>SUM(AS6:BA6)+BF6+BG6</f>
        <v/>
      </c>
      <c r="AO6" s="5">
        <f>AM6-AN6</f>
        <v/>
      </c>
      <c r="AP6" s="12">
        <f>SUM(AS6:BA6)+BI6+BJ6</f>
        <v/>
      </c>
      <c r="AQ6" s="12">
        <f>SUM(AS6:BA6)+BL6+BM6</f>
        <v/>
      </c>
      <c r="AR6" s="5">
        <f>AP6-AQ6</f>
        <v/>
      </c>
      <c r="AS6" s="5">
        <f>D6/F6*X6</f>
        <v/>
      </c>
      <c r="AT6" s="1">
        <f>#REF!/F6*X6*-1</f>
        <v/>
      </c>
      <c r="AU6" s="1">
        <f>E6/F6*W6</f>
        <v/>
      </c>
      <c r="AV6" s="1">
        <f>1/F6*T6</f>
        <v/>
      </c>
      <c r="AW6" s="1">
        <f>G6/F6*AF6</f>
        <v/>
      </c>
      <c r="AX6" s="1">
        <f>#REF!/F6*AF6*-1</f>
        <v/>
      </c>
      <c r="AY6" s="1">
        <f>J6/F6/(0.9*8760)</f>
        <v/>
      </c>
      <c r="AZ6" s="1">
        <f>K6/F6/(0.9*8760)</f>
        <v/>
      </c>
      <c r="BA6" s="1">
        <f>L6/F6</f>
        <v/>
      </c>
      <c r="BB6" s="1">
        <f>BX6+BY6+BZ6</f>
        <v/>
      </c>
      <c r="BC6" s="1">
        <f>(O6+P6)*-1*H6/F6</f>
        <v/>
      </c>
      <c r="BD6" s="1">
        <f>BB6*O6</f>
        <v/>
      </c>
      <c r="BE6" s="1">
        <f>BX6+BY6</f>
        <v/>
      </c>
      <c r="BF6" s="1">
        <f>P6*H6*-1/F6</f>
        <v/>
      </c>
      <c r="BG6" s="1">
        <f>BE6*O6</f>
        <v/>
      </c>
      <c r="BH6" s="1">
        <f>SUM(BW6:CA6)</f>
        <v/>
      </c>
      <c r="BI6" s="1">
        <f>(O6+P6)*-1*H6/F6</f>
        <v/>
      </c>
      <c r="BJ6" s="1">
        <f>BH6*O6</f>
        <v/>
      </c>
      <c r="BK6" s="1">
        <f>BW6+BX6+BY6+CA6</f>
        <v/>
      </c>
      <c r="BL6" s="1">
        <f>H6/F6*P6*-1</f>
        <v/>
      </c>
      <c r="BM6" s="1">
        <f>O6*BK6</f>
        <v/>
      </c>
      <c r="BO6" s="9" t="n">
        <v>3.14</v>
      </c>
      <c r="BP6" s="10" t="n">
        <v>0.2218110024</v>
      </c>
      <c r="BQ6" s="9" t="n">
        <v>0.18104824</v>
      </c>
      <c r="BS6" s="10">
        <f>1/F6*BP6</f>
        <v/>
      </c>
      <c r="BT6" s="10">
        <f>G6/F6*BQ6</f>
        <v/>
      </c>
      <c r="BU6" s="10">
        <f>BS6+BT6</f>
        <v/>
      </c>
      <c r="BW6" s="10">
        <f>BO6</f>
        <v/>
      </c>
      <c r="BX6" s="10">
        <f>#REF!/F6*BQ6</f>
        <v/>
      </c>
      <c r="BY6" s="10">
        <f>I6/F6</f>
        <v/>
      </c>
      <c r="BZ6" s="10">
        <f>H6/F6</f>
        <v/>
      </c>
      <c r="CA6" s="10">
        <f>BU6-SUM(BW6:BZ6)</f>
        <v/>
      </c>
      <c r="CB6" s="10">
        <f>SUM(BW6:CA6)</f>
        <v/>
      </c>
    </row>
    <row r="7">
      <c r="B7" s="14" t="inlineStr">
        <is>
          <t>CA_Ethanol_Dehydration_H2fuel</t>
        </is>
      </c>
      <c r="C7" s="13" t="inlineStr">
        <is>
          <t>Ethanol</t>
        </is>
      </c>
      <c r="D7" s="13" t="n">
        <v>0.1123387839</v>
      </c>
      <c r="E7" s="13" t="n">
        <v>0.01623145534</v>
      </c>
      <c r="F7" s="13" t="n">
        <v>0.0704490249</v>
      </c>
      <c r="G7" s="13" t="n">
        <v>0</v>
      </c>
      <c r="H7" s="13" t="n">
        <v>0</v>
      </c>
      <c r="I7" s="13" t="n">
        <v>0.12825981766</v>
      </c>
      <c r="J7" s="13" t="n">
        <v>6577.971284</v>
      </c>
      <c r="K7" s="13" t="n">
        <v>6324.13288</v>
      </c>
      <c r="L7" s="13" t="n">
        <v>0.1113094593</v>
      </c>
      <c r="M7" s="11">
        <f>CA7/0.22/14</f>
        <v/>
      </c>
      <c r="O7" s="16" t="n">
        <v>122.135409</v>
      </c>
      <c r="P7" s="16" t="n">
        <v>-6.496536</v>
      </c>
      <c r="Q7" s="16" t="n">
        <v>117.625038</v>
      </c>
      <c r="R7" s="16" t="n">
        <v>88.648826</v>
      </c>
      <c r="S7" s="16" t="n">
        <v>72.81119700000001</v>
      </c>
      <c r="T7" s="11" t="n">
        <v>21.9863533</v>
      </c>
      <c r="U7" s="17" t="n"/>
      <c r="V7" s="17" t="n"/>
      <c r="W7" s="16" t="n">
        <v>25.313633</v>
      </c>
      <c r="X7" s="16" t="n">
        <v>8.809073</v>
      </c>
      <c r="Y7" s="16" t="n"/>
      <c r="Z7" s="17" t="n">
        <v>0</v>
      </c>
      <c r="AA7" s="17" t="n">
        <v>0</v>
      </c>
      <c r="AB7" s="17" t="n"/>
      <c r="AC7" s="17" t="n"/>
      <c r="AD7" s="17" t="n"/>
      <c r="AE7" s="17" t="n"/>
      <c r="AF7" s="16" t="n">
        <v>11.573017</v>
      </c>
      <c r="AG7" s="16" t="n">
        <v>0</v>
      </c>
      <c r="AH7" s="16" t="n">
        <v>576.811269</v>
      </c>
      <c r="AI7" s="16" t="n">
        <v>0</v>
      </c>
      <c r="AK7" s="1">
        <f>B7</f>
        <v/>
      </c>
      <c r="AL7" s="1">
        <f>C7</f>
        <v/>
      </c>
      <c r="AM7" s="12">
        <f>SUM(AS7:BA7)+BC7+BD7</f>
        <v/>
      </c>
      <c r="AN7" s="12">
        <f>SUM(AS7:BA7)+BF7+BG7</f>
        <v/>
      </c>
      <c r="AO7" s="5">
        <f>AM7-AN7</f>
        <v/>
      </c>
      <c r="AP7" s="12">
        <f>SUM(AS7:BA7)+BI7+BJ7</f>
        <v/>
      </c>
      <c r="AQ7" s="12">
        <f>SUM(AS7:BA7)+BL7+BM7</f>
        <v/>
      </c>
      <c r="AR7" s="5">
        <f>AP7-AQ7</f>
        <v/>
      </c>
      <c r="AS7" s="5">
        <f>D7/F7*X7</f>
        <v/>
      </c>
      <c r="AT7" s="1">
        <f>#REF!/F7*X7*-1</f>
        <v/>
      </c>
      <c r="AU7" s="1">
        <f>E7/F7*W7</f>
        <v/>
      </c>
      <c r="AV7" s="1">
        <f>1/F7*T7</f>
        <v/>
      </c>
      <c r="AW7" s="1">
        <f>G7/F7*AF7</f>
        <v/>
      </c>
      <c r="AX7" s="1">
        <f>#REF!/F7*AF7*-1</f>
        <v/>
      </c>
      <c r="AY7" s="1">
        <f>J7/F7/(0.9*8760)</f>
        <v/>
      </c>
      <c r="AZ7" s="1">
        <f>K7/F7/(0.9*8760)</f>
        <v/>
      </c>
      <c r="BA7" s="1">
        <f>L7/F7</f>
        <v/>
      </c>
      <c r="BB7" s="1">
        <f>BX7+BY7+BZ7</f>
        <v/>
      </c>
      <c r="BC7" s="1">
        <f>(O7+P7)*-1*H7/F7</f>
        <v/>
      </c>
      <c r="BD7" s="1">
        <f>BB7*O7</f>
        <v/>
      </c>
      <c r="BE7" s="1">
        <f>BX7+BY7</f>
        <v/>
      </c>
      <c r="BF7" s="1">
        <f>P7*H7*-1/F7</f>
        <v/>
      </c>
      <c r="BG7" s="1">
        <f>BE7*O7</f>
        <v/>
      </c>
      <c r="BH7" s="1">
        <f>SUM(BW7:CA7)</f>
        <v/>
      </c>
      <c r="BI7" s="1">
        <f>(O7+P7)*-1*H7/F7</f>
        <v/>
      </c>
      <c r="BJ7" s="1">
        <f>BH7*O7</f>
        <v/>
      </c>
      <c r="BK7" s="1">
        <f>BW7+BX7+BY7+CA7</f>
        <v/>
      </c>
      <c r="BL7" s="1">
        <f>H7/F7*P7*-1</f>
        <v/>
      </c>
      <c r="BM7" s="1">
        <f>O7*BK7</f>
        <v/>
      </c>
      <c r="BO7" s="9" t="n">
        <v>3.14</v>
      </c>
      <c r="BP7" s="10" t="n">
        <v>0.2218110024</v>
      </c>
      <c r="BQ7" s="9" t="n">
        <v>0.18104824</v>
      </c>
      <c r="BS7" s="10">
        <f>1/F7*BP7</f>
        <v/>
      </c>
      <c r="BT7" s="10">
        <f>G7/F7*BQ7</f>
        <v/>
      </c>
      <c r="BU7" s="10">
        <f>BS7+BT7</f>
        <v/>
      </c>
      <c r="BW7" s="10">
        <f>BO7</f>
        <v/>
      </c>
      <c r="BX7" s="10">
        <f>#REF!/F7*BQ7</f>
        <v/>
      </c>
      <c r="BY7" s="10">
        <f>I7/F7</f>
        <v/>
      </c>
      <c r="BZ7" s="10">
        <f>H7/F7</f>
        <v/>
      </c>
      <c r="CA7" s="10">
        <f>BU7-SUM(BW7:BZ7)</f>
        <v/>
      </c>
      <c r="CB7" s="10">
        <f>SUM(BW7:CA7)</f>
        <v/>
      </c>
    </row>
    <row r="8">
      <c r="B8" s="14" t="n"/>
      <c r="C8" s="13" t="inlineStr">
        <is>
          <t>Ethanol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1">
        <f>CA8/0.22/14</f>
        <v/>
      </c>
      <c r="O8" s="16" t="n"/>
      <c r="P8" s="16" t="n"/>
      <c r="Q8" s="16" t="n"/>
      <c r="R8" s="16" t="n"/>
      <c r="S8" s="16" t="n"/>
      <c r="T8" s="11" t="n">
        <v>21.9863533</v>
      </c>
      <c r="U8" s="17" t="n"/>
      <c r="V8" s="17" t="n"/>
      <c r="W8" s="16" t="n"/>
      <c r="X8" s="16" t="n"/>
      <c r="Y8" s="16" t="n"/>
      <c r="Z8" s="17" t="n"/>
      <c r="AA8" s="17" t="n"/>
      <c r="AB8" s="17" t="n"/>
      <c r="AC8" s="17" t="n"/>
      <c r="AD8" s="17" t="n"/>
      <c r="AE8" s="17" t="n"/>
      <c r="AF8" s="16" t="n"/>
      <c r="AG8" s="16" t="n"/>
      <c r="AH8" s="16" t="n"/>
      <c r="AI8" s="16" t="n"/>
      <c r="AK8" s="1">
        <f>B8</f>
        <v/>
      </c>
      <c r="AL8" s="1">
        <f>C8</f>
        <v/>
      </c>
      <c r="AM8" s="12">
        <f>SUM(AS8:BA8)+BC8+BD8</f>
        <v/>
      </c>
      <c r="AN8" s="12">
        <f>SUM(AS8:BA8)+BF8+BG8</f>
        <v/>
      </c>
      <c r="AO8" s="5">
        <f>AM8-AN8</f>
        <v/>
      </c>
      <c r="AP8" s="12">
        <f>SUM(AS8:BA8)+BI8+BJ8</f>
        <v/>
      </c>
      <c r="AQ8" s="12">
        <f>SUM(AS8:BA8)+BL8+BM8</f>
        <v/>
      </c>
      <c r="AR8" s="5">
        <f>AP8-AQ8</f>
        <v/>
      </c>
      <c r="AS8" s="5">
        <f>D8/F8*X8</f>
        <v/>
      </c>
      <c r="AT8" s="1">
        <f>#REF!/F8*X8*-1</f>
        <v/>
      </c>
      <c r="AU8" s="1">
        <f>E8/F8*W8</f>
        <v/>
      </c>
      <c r="AV8" s="1">
        <f>1/F8*T8</f>
        <v/>
      </c>
      <c r="AW8" s="1">
        <f>G8/F8*AF8</f>
        <v/>
      </c>
      <c r="AX8" s="1">
        <f>#REF!/F8*AF8*-1</f>
        <v/>
      </c>
      <c r="AY8" s="1">
        <f>J8/F8/(0.9*8760)</f>
        <v/>
      </c>
      <c r="AZ8" s="1">
        <f>K8/F8/(0.9*8760)</f>
        <v/>
      </c>
      <c r="BA8" s="1">
        <f>L8/F8</f>
        <v/>
      </c>
      <c r="BB8" s="1">
        <f>BX8+BY8+BZ8</f>
        <v/>
      </c>
      <c r="BC8" s="1">
        <f>(O8+P8)*-1*H8/F8</f>
        <v/>
      </c>
      <c r="BD8" s="1">
        <f>BB8*O8</f>
        <v/>
      </c>
      <c r="BE8" s="1">
        <f>BX8+BY8</f>
        <v/>
      </c>
      <c r="BF8" s="1">
        <f>P8*H8*-1/F8</f>
        <v/>
      </c>
      <c r="BG8" s="1">
        <f>BE8*O8</f>
        <v/>
      </c>
      <c r="BH8" s="1">
        <f>SUM(BW8:CA8)</f>
        <v/>
      </c>
      <c r="BI8" s="1">
        <f>(O8+P8)*-1*H8/F8</f>
        <v/>
      </c>
      <c r="BJ8" s="1">
        <f>BH8*O8</f>
        <v/>
      </c>
      <c r="BK8" s="1">
        <f>BW8+BX8+BY8+CA8</f>
        <v/>
      </c>
      <c r="BL8" s="1">
        <f>H8/F8*P8*-1</f>
        <v/>
      </c>
      <c r="BM8" s="1">
        <f>O8*BK8</f>
        <v/>
      </c>
      <c r="BO8" s="9" t="n">
        <v>3.14</v>
      </c>
      <c r="BP8" s="10" t="n">
        <v>0.2218110024</v>
      </c>
      <c r="BQ8" s="9" t="n">
        <v>0.18104824</v>
      </c>
      <c r="BS8" s="10">
        <f>1/F8*BP8</f>
        <v/>
      </c>
      <c r="BT8" s="10">
        <f>G8/F8*BQ8</f>
        <v/>
      </c>
      <c r="BU8" s="10">
        <f>BS8+BT8</f>
        <v/>
      </c>
      <c r="BW8" s="10">
        <f>BO8</f>
        <v/>
      </c>
      <c r="BX8" s="10">
        <f>#REF!/F8*BQ8</f>
        <v/>
      </c>
      <c r="BY8" s="10">
        <f>I8/F8</f>
        <v/>
      </c>
      <c r="BZ8" s="10">
        <f>H8/F8</f>
        <v/>
      </c>
      <c r="CA8" s="10">
        <f>BU8-SUM(BW8:BZ8)</f>
        <v/>
      </c>
      <c r="CB8" s="10">
        <f>SUM(BW8:CA8)</f>
        <v/>
      </c>
    </row>
    <row r="9">
      <c r="B9" s="14" t="n"/>
      <c r="C9" s="13" t="inlineStr">
        <is>
          <t>Ethanol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1">
        <f>CA9/0.22/14</f>
        <v/>
      </c>
      <c r="O9" s="16" t="n"/>
      <c r="P9" s="16" t="n"/>
      <c r="Q9" s="16" t="n"/>
      <c r="R9" s="16" t="n"/>
      <c r="S9" s="16" t="n"/>
      <c r="T9" s="11" t="n">
        <v>21.9863533</v>
      </c>
      <c r="U9" s="17" t="n"/>
      <c r="V9" s="17" t="n"/>
      <c r="W9" s="16" t="n"/>
      <c r="X9" s="16" t="n"/>
      <c r="Y9" s="16" t="n"/>
      <c r="Z9" s="17" t="n"/>
      <c r="AA9" s="17" t="n"/>
      <c r="AB9" s="17" t="n"/>
      <c r="AC9" s="17" t="n"/>
      <c r="AD9" s="17" t="n"/>
      <c r="AE9" s="17" t="n"/>
      <c r="AF9" s="16" t="n"/>
      <c r="AG9" s="16" t="n"/>
      <c r="AH9" s="16" t="n"/>
      <c r="AI9" s="16" t="n"/>
      <c r="AK9" s="1">
        <f>B9</f>
        <v/>
      </c>
      <c r="AL9" s="1">
        <f>C9</f>
        <v/>
      </c>
      <c r="AM9" s="12">
        <f>SUM(AS9:BA9)+BC9+BD9</f>
        <v/>
      </c>
      <c r="AN9" s="12">
        <f>SUM(AS9:BA9)+BF9+BG9</f>
        <v/>
      </c>
      <c r="AO9" s="5">
        <f>AM9-AN9</f>
        <v/>
      </c>
      <c r="AP9" s="12">
        <f>SUM(AS9:BA9)+BI9+BJ9</f>
        <v/>
      </c>
      <c r="AQ9" s="12">
        <f>SUM(AS9:BA9)+BL9+BM9</f>
        <v/>
      </c>
      <c r="AR9" s="5">
        <f>AP9-AQ9</f>
        <v/>
      </c>
      <c r="AS9" s="5">
        <f>D9/F9*X9</f>
        <v/>
      </c>
      <c r="AT9" s="1">
        <f>#REF!/F9*X9*-1</f>
        <v/>
      </c>
      <c r="AU9" s="1">
        <f>E9/F9*W9</f>
        <v/>
      </c>
      <c r="AV9" s="1">
        <f>1/F9*T9</f>
        <v/>
      </c>
      <c r="AW9" s="1">
        <f>G9/F9*AF9</f>
        <v/>
      </c>
      <c r="AX9" s="1">
        <f>#REF!/F9*AF9*-1</f>
        <v/>
      </c>
      <c r="AY9" s="1">
        <f>J9/F9/(0.9*8760)</f>
        <v/>
      </c>
      <c r="AZ9" s="1">
        <f>K9/F9/(0.9*8760)</f>
        <v/>
      </c>
      <c r="BA9" s="1">
        <f>L9/F9</f>
        <v/>
      </c>
      <c r="BB9" s="1">
        <f>BX9+BY9+BZ9</f>
        <v/>
      </c>
      <c r="BC9" s="1">
        <f>(O9+P9)*-1*H9/F9</f>
        <v/>
      </c>
      <c r="BD9" s="1">
        <f>BB9*O9</f>
        <v/>
      </c>
      <c r="BE9" s="1">
        <f>BX9+BY9</f>
        <v/>
      </c>
      <c r="BF9" s="1">
        <f>P9*H9*-1/F9</f>
        <v/>
      </c>
      <c r="BG9" s="1">
        <f>BE9*O9</f>
        <v/>
      </c>
      <c r="BH9" s="1">
        <f>SUM(BW9:CA9)</f>
        <v/>
      </c>
      <c r="BI9" s="1">
        <f>(O9+P9)*-1*H9/F9</f>
        <v/>
      </c>
      <c r="BJ9" s="1">
        <f>BH9*O9</f>
        <v/>
      </c>
      <c r="BK9" s="1">
        <f>BW9+BX9+BY9+CA9</f>
        <v/>
      </c>
      <c r="BL9" s="1">
        <f>H9/F9*P9*-1</f>
        <v/>
      </c>
      <c r="BM9" s="1">
        <f>O9*BK9</f>
        <v/>
      </c>
      <c r="BO9" s="9" t="n">
        <v>3.14</v>
      </c>
      <c r="BP9" s="10" t="n">
        <v>0.2218110024</v>
      </c>
      <c r="BQ9" s="9" t="n">
        <v>0.18104824</v>
      </c>
      <c r="BS9" s="10">
        <f>1/F9*BP9</f>
        <v/>
      </c>
      <c r="BT9" s="10">
        <f>G9/F9*BQ9</f>
        <v/>
      </c>
      <c r="BU9" s="10">
        <f>BS9+BT9</f>
        <v/>
      </c>
      <c r="BW9" s="10">
        <f>BO9</f>
        <v/>
      </c>
      <c r="BX9" s="10">
        <f>#REF!/F9*BQ9</f>
        <v/>
      </c>
      <c r="BY9" s="10">
        <f>I9/F9</f>
        <v/>
      </c>
      <c r="BZ9" s="10">
        <f>H9/F9</f>
        <v/>
      </c>
      <c r="CA9" s="10">
        <f>BU9-SUM(BW9:BZ9)</f>
        <v/>
      </c>
      <c r="CB9" s="10">
        <f>SUM(BW9:CA9)</f>
        <v/>
      </c>
    </row>
    <row r="10">
      <c r="B10" s="14" t="n"/>
      <c r="C10" s="13" t="inlineStr">
        <is>
          <t>Ethanol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1">
        <f>CA10/0.22/14</f>
        <v/>
      </c>
      <c r="O10" s="16" t="n"/>
      <c r="P10" s="16" t="n"/>
      <c r="Q10" s="16" t="n"/>
      <c r="R10" s="16" t="n"/>
      <c r="S10" s="16" t="n"/>
      <c r="T10" s="11" t="n">
        <v>21.9863533</v>
      </c>
      <c r="U10" s="17" t="n"/>
      <c r="V10" s="17" t="n"/>
      <c r="W10" s="16" t="n"/>
      <c r="X10" s="16" t="n"/>
      <c r="Y10" s="16" t="n"/>
      <c r="Z10" s="17" t="n"/>
      <c r="AA10" s="17" t="n"/>
      <c r="AB10" s="17" t="n"/>
      <c r="AC10" s="17" t="n"/>
      <c r="AD10" s="17" t="n"/>
      <c r="AE10" s="17" t="n"/>
      <c r="AF10" s="16" t="n"/>
      <c r="AG10" s="16" t="n"/>
      <c r="AH10" s="16" t="n"/>
      <c r="AI10" s="16" t="n"/>
      <c r="AK10" s="1">
        <f>B10</f>
        <v/>
      </c>
      <c r="AL10" s="1">
        <f>C10</f>
        <v/>
      </c>
      <c r="AM10" s="12">
        <f>SUM(AS10:BA10)+BC10+BD10</f>
        <v/>
      </c>
      <c r="AN10" s="12">
        <f>SUM(AS10:BA10)+BF10+BG10</f>
        <v/>
      </c>
      <c r="AO10" s="5">
        <f>AM10-AN10</f>
        <v/>
      </c>
      <c r="AP10" s="12">
        <f>SUM(AS10:BA10)+BI10+BJ10</f>
        <v/>
      </c>
      <c r="AQ10" s="12">
        <f>SUM(AS10:BA10)+BL10+BM10</f>
        <v/>
      </c>
      <c r="AR10" s="5">
        <f>AP10-AQ10</f>
        <v/>
      </c>
      <c r="AS10" s="5">
        <f>D10/F10*X10</f>
        <v/>
      </c>
      <c r="AT10" s="1">
        <f>#REF!/F10*X10*-1</f>
        <v/>
      </c>
      <c r="AU10" s="1">
        <f>E10/F10*W10</f>
        <v/>
      </c>
      <c r="AV10" s="1">
        <f>1/F10*T10</f>
        <v/>
      </c>
      <c r="AW10" s="1">
        <f>G10/F10*AF10</f>
        <v/>
      </c>
      <c r="AX10" s="1">
        <f>#REF!/F10*AF10*-1</f>
        <v/>
      </c>
      <c r="AY10" s="1">
        <f>J10/F10/(0.9*8760)</f>
        <v/>
      </c>
      <c r="AZ10" s="1">
        <f>K10/F10/(0.9*8760)</f>
        <v/>
      </c>
      <c r="BA10" s="1">
        <f>L10/F10</f>
        <v/>
      </c>
      <c r="BB10" s="1">
        <f>BX10+BY10+BZ10</f>
        <v/>
      </c>
      <c r="BC10" s="1">
        <f>(O10+P10)*-1*H10/F10</f>
        <v/>
      </c>
      <c r="BD10" s="1">
        <f>BB10*O10</f>
        <v/>
      </c>
      <c r="BE10" s="1">
        <f>BX10+BY10</f>
        <v/>
      </c>
      <c r="BF10" s="1">
        <f>P10*H10*-1/F10</f>
        <v/>
      </c>
      <c r="BG10" s="1">
        <f>BE10*O10</f>
        <v/>
      </c>
      <c r="BH10" s="1">
        <f>SUM(BW10:CA10)</f>
        <v/>
      </c>
      <c r="BI10" s="1">
        <f>(O10+P10)*-1*H10/F10</f>
        <v/>
      </c>
      <c r="BJ10" s="1">
        <f>BH10*O10</f>
        <v/>
      </c>
      <c r="BK10" s="1">
        <f>BW10+BX10+BY10+CA10</f>
        <v/>
      </c>
      <c r="BL10" s="1">
        <f>H10/F10*P10*-1</f>
        <v/>
      </c>
      <c r="BM10" s="1">
        <f>O10*BK10</f>
        <v/>
      </c>
      <c r="BO10" s="9" t="n">
        <v>3.14</v>
      </c>
      <c r="BP10" s="10" t="n">
        <v>0.2218110024</v>
      </c>
      <c r="BQ10" s="9" t="n">
        <v>0.18104824</v>
      </c>
      <c r="BS10" s="10">
        <f>1/F10*BP10</f>
        <v/>
      </c>
      <c r="BT10" s="10">
        <f>G10/F10*BQ10</f>
        <v/>
      </c>
      <c r="BU10" s="10">
        <f>BS10+BT10</f>
        <v/>
      </c>
      <c r="BW10" s="10">
        <f>BO10</f>
        <v/>
      </c>
      <c r="BX10" s="10">
        <f>#REF!/F10*BQ10</f>
        <v/>
      </c>
      <c r="BY10" s="10">
        <f>I10/F10</f>
        <v/>
      </c>
      <c r="BZ10" s="10">
        <f>H10/F10</f>
        <v/>
      </c>
      <c r="CA10" s="10">
        <f>BU10-SUM(BW10:BZ10)</f>
        <v/>
      </c>
      <c r="CB10" s="10">
        <f>SUM(BW10:CA10)</f>
        <v/>
      </c>
    </row>
    <row r="11">
      <c r="B11" s="14" t="n"/>
      <c r="C11" s="13" t="inlineStr">
        <is>
          <t>Ethanol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1">
        <f>CA11/0.22/14</f>
        <v/>
      </c>
      <c r="O11" s="16" t="n"/>
      <c r="P11" s="16" t="n"/>
      <c r="Q11" s="16" t="n"/>
      <c r="R11" s="16" t="n"/>
      <c r="S11" s="16" t="n"/>
      <c r="T11" s="11" t="n">
        <v>21.9863533</v>
      </c>
      <c r="U11" s="17" t="n"/>
      <c r="V11" s="17" t="n"/>
      <c r="W11" s="16" t="n"/>
      <c r="X11" s="16" t="n"/>
      <c r="Y11" s="16" t="n"/>
      <c r="Z11" s="17" t="n"/>
      <c r="AA11" s="17" t="n"/>
      <c r="AB11" s="17" t="n"/>
      <c r="AC11" s="17" t="n"/>
      <c r="AD11" s="17" t="n"/>
      <c r="AE11" s="17" t="n"/>
      <c r="AF11" s="16" t="n"/>
      <c r="AG11" s="16" t="n"/>
      <c r="AH11" s="16" t="n"/>
      <c r="AI11" s="16" t="n"/>
      <c r="AK11" s="1">
        <f>B11</f>
        <v/>
      </c>
      <c r="AL11" s="1">
        <f>C11</f>
        <v/>
      </c>
      <c r="AM11" s="12">
        <f>SUM(AS11:BA11)+BC11+BD11</f>
        <v/>
      </c>
      <c r="AN11" s="12">
        <f>SUM(AS11:BA11)+BF11+BG11</f>
        <v/>
      </c>
      <c r="AO11" s="5">
        <f>AM11-AN11</f>
        <v/>
      </c>
      <c r="AP11" s="12">
        <f>SUM(AS11:BA11)+BI11+BJ11</f>
        <v/>
      </c>
      <c r="AQ11" s="12">
        <f>SUM(AS11:BA11)+BL11+BM11</f>
        <v/>
      </c>
      <c r="AR11" s="5">
        <f>AP11-AQ11</f>
        <v/>
      </c>
      <c r="AS11" s="5">
        <f>D11/F11*X11</f>
        <v/>
      </c>
      <c r="AT11" s="1">
        <f>#REF!/F11*X11*-1</f>
        <v/>
      </c>
      <c r="AU11" s="1">
        <f>E11/F11*W11</f>
        <v/>
      </c>
      <c r="AV11" s="1">
        <f>1/F11*T11</f>
        <v/>
      </c>
      <c r="AW11" s="1">
        <f>G11/F11*AF11</f>
        <v/>
      </c>
      <c r="AX11" s="1">
        <f>#REF!/F11*AF11*-1</f>
        <v/>
      </c>
      <c r="AY11" s="1">
        <f>J11/F11/(0.9*8760)</f>
        <v/>
      </c>
      <c r="AZ11" s="1">
        <f>K11/F11/(0.9*8760)</f>
        <v/>
      </c>
      <c r="BA11" s="1">
        <f>L11/F11</f>
        <v/>
      </c>
      <c r="BB11" s="1">
        <f>BX11+BY11+BZ11</f>
        <v/>
      </c>
      <c r="BC11" s="1">
        <f>(O11+P11)*-1*H11/F11</f>
        <v/>
      </c>
      <c r="BD11" s="1">
        <f>BB11*O11</f>
        <v/>
      </c>
      <c r="BE11" s="1">
        <f>BX11+BY11</f>
        <v/>
      </c>
      <c r="BF11" s="1">
        <f>P11*H11*-1/F11</f>
        <v/>
      </c>
      <c r="BG11" s="1">
        <f>BE11*O11</f>
        <v/>
      </c>
      <c r="BH11" s="1">
        <f>SUM(BW11:CA11)</f>
        <v/>
      </c>
      <c r="BI11" s="1">
        <f>(O11+P11)*-1*H11/F11</f>
        <v/>
      </c>
      <c r="BJ11" s="1">
        <f>BH11*O11</f>
        <v/>
      </c>
      <c r="BK11" s="1">
        <f>BW11+BX11+BY11+CA11</f>
        <v/>
      </c>
      <c r="BL11" s="1">
        <f>H11/F11*P11*-1</f>
        <v/>
      </c>
      <c r="BM11" s="1">
        <f>O11*BK11</f>
        <v/>
      </c>
      <c r="BO11" s="9" t="n">
        <v>3.14</v>
      </c>
      <c r="BP11" s="10" t="n">
        <v>0.2218110024</v>
      </c>
      <c r="BQ11" s="9" t="n">
        <v>0.18104824</v>
      </c>
      <c r="BS11" s="10">
        <f>1/F11*BP11</f>
        <v/>
      </c>
      <c r="BT11" s="10">
        <f>G11/F11*BQ11</f>
        <v/>
      </c>
      <c r="BU11" s="10">
        <f>BS11+BT11</f>
        <v/>
      </c>
      <c r="BW11" s="10">
        <f>BO11</f>
        <v/>
      </c>
      <c r="BX11" s="10">
        <f>#REF!/F11*BQ11</f>
        <v/>
      </c>
      <c r="BY11" s="10">
        <f>I11/F11</f>
        <v/>
      </c>
      <c r="BZ11" s="10">
        <f>H11/F11</f>
        <v/>
      </c>
      <c r="CA11" s="10">
        <f>BU11-SUM(BW11:BZ11)</f>
        <v/>
      </c>
      <c r="CB11" s="10">
        <f>SUM(BW11:CA11)</f>
        <v/>
      </c>
    </row>
    <row r="12">
      <c r="B12" s="14" t="n"/>
      <c r="C12" s="13" t="inlineStr">
        <is>
          <t>Ethanol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1">
        <f>CA12/0.22/14</f>
        <v/>
      </c>
      <c r="O12" s="16" t="n"/>
      <c r="P12" s="16" t="n"/>
      <c r="Q12" s="16" t="n"/>
      <c r="R12" s="16" t="n"/>
      <c r="S12" s="16" t="n"/>
      <c r="T12" s="11" t="n">
        <v>21.9863533</v>
      </c>
      <c r="U12" s="17" t="n"/>
      <c r="V12" s="17" t="n"/>
      <c r="W12" s="16" t="n"/>
      <c r="X12" s="16" t="n"/>
      <c r="Y12" s="16" t="n"/>
      <c r="Z12" s="17" t="n"/>
      <c r="AA12" s="17" t="n"/>
      <c r="AB12" s="17" t="n"/>
      <c r="AC12" s="17" t="n"/>
      <c r="AD12" s="17" t="n"/>
      <c r="AE12" s="17" t="n"/>
      <c r="AF12" s="16" t="n"/>
      <c r="AG12" s="16" t="n"/>
      <c r="AH12" s="16" t="n"/>
      <c r="AI12" s="16" t="n"/>
      <c r="AK12" s="1">
        <f>B12</f>
        <v/>
      </c>
      <c r="AL12" s="1">
        <f>C12</f>
        <v/>
      </c>
      <c r="AM12" s="12">
        <f>SUM(AS12:BA12)+BC12+BD12</f>
        <v/>
      </c>
      <c r="AN12" s="12">
        <f>SUM(AS12:BA12)+BF12+BG12</f>
        <v/>
      </c>
      <c r="AO12" s="5">
        <f>AM12-AN12</f>
        <v/>
      </c>
      <c r="AP12" s="12">
        <f>SUM(AS12:BA12)+BI12+BJ12</f>
        <v/>
      </c>
      <c r="AQ12" s="12">
        <f>SUM(AS12:BA12)+BL12+BM12</f>
        <v/>
      </c>
      <c r="AR12" s="5">
        <f>AP12-AQ12</f>
        <v/>
      </c>
      <c r="AS12" s="5">
        <f>D12/F12*X12</f>
        <v/>
      </c>
      <c r="AT12" s="1">
        <f>#REF!/F12*X12*-1</f>
        <v/>
      </c>
      <c r="AU12" s="1">
        <f>E12/F12*W12</f>
        <v/>
      </c>
      <c r="AV12" s="1">
        <f>1/F12*T12</f>
        <v/>
      </c>
      <c r="AW12" s="1">
        <f>G12/F12*AF12</f>
        <v/>
      </c>
      <c r="AX12" s="1">
        <f>#REF!/F12*AF12*-1</f>
        <v/>
      </c>
      <c r="AY12" s="1">
        <f>J12/F12/(0.9*8760)</f>
        <v/>
      </c>
      <c r="AZ12" s="1">
        <f>K12/F12/(0.9*8760)</f>
        <v/>
      </c>
      <c r="BA12" s="1">
        <f>L12/F12</f>
        <v/>
      </c>
      <c r="BB12" s="1">
        <f>BX12+BY12+BZ12</f>
        <v/>
      </c>
      <c r="BC12" s="1">
        <f>(O12+P12)*-1*H12/F12</f>
        <v/>
      </c>
      <c r="BD12" s="1">
        <f>BB12*O12</f>
        <v/>
      </c>
      <c r="BE12" s="1">
        <f>BX12+BY12</f>
        <v/>
      </c>
      <c r="BF12" s="1">
        <f>P12*H12*-1/F12</f>
        <v/>
      </c>
      <c r="BG12" s="1">
        <f>BE12*O12</f>
        <v/>
      </c>
      <c r="BH12" s="1">
        <f>SUM(BW12:CA12)</f>
        <v/>
      </c>
      <c r="BI12" s="1">
        <f>(O12+P12)*-1*H12/F12</f>
        <v/>
      </c>
      <c r="BJ12" s="1">
        <f>BH12*O12</f>
        <v/>
      </c>
      <c r="BK12" s="1">
        <f>BW12+BX12+BY12+CA12</f>
        <v/>
      </c>
      <c r="BL12" s="1">
        <f>H12/F12*P12*-1</f>
        <v/>
      </c>
      <c r="BM12" s="1">
        <f>O12*BK12</f>
        <v/>
      </c>
      <c r="BO12" s="9" t="n">
        <v>3.14</v>
      </c>
      <c r="BP12" s="10" t="n">
        <v>0.2218110024</v>
      </c>
      <c r="BQ12" s="9" t="n">
        <v>0.18104824</v>
      </c>
      <c r="BS12" s="10">
        <f>1/F12*BP12</f>
        <v/>
      </c>
      <c r="BT12" s="10">
        <f>G12/F12*BQ12</f>
        <v/>
      </c>
      <c r="BU12" s="10">
        <f>BS12+BT12</f>
        <v/>
      </c>
      <c r="BW12" s="10">
        <f>BO12</f>
        <v/>
      </c>
      <c r="BX12" s="10">
        <f>#REF!/F12*BQ12</f>
        <v/>
      </c>
      <c r="BY12" s="10">
        <f>I12/F12</f>
        <v/>
      </c>
      <c r="BZ12" s="10">
        <f>H12/F12</f>
        <v/>
      </c>
      <c r="CA12" s="10">
        <f>BU12-SUM(BW12:BZ12)</f>
        <v/>
      </c>
      <c r="CB12" s="10">
        <f>SUM(BW12:CA12)</f>
        <v/>
      </c>
    </row>
    <row r="13">
      <c r="B13" s="14" t="n"/>
      <c r="C13" s="13" t="inlineStr">
        <is>
          <t>Ethanol</t>
        </is>
      </c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1">
        <f>CA13/0.22/14</f>
        <v/>
      </c>
      <c r="O13" s="16" t="n"/>
      <c r="P13" s="16" t="n"/>
      <c r="Q13" s="16" t="n"/>
      <c r="R13" s="16" t="n"/>
      <c r="S13" s="16" t="n"/>
      <c r="T13" s="11" t="n">
        <v>21.9863533</v>
      </c>
      <c r="U13" s="17" t="n"/>
      <c r="V13" s="17" t="n"/>
      <c r="W13" s="16" t="n"/>
      <c r="X13" s="16" t="n"/>
      <c r="Y13" s="16" t="n"/>
      <c r="Z13" s="17" t="n"/>
      <c r="AA13" s="17" t="n"/>
      <c r="AB13" s="17" t="n"/>
      <c r="AC13" s="17" t="n"/>
      <c r="AD13" s="17" t="n"/>
      <c r="AE13" s="17" t="n"/>
      <c r="AF13" s="16" t="n"/>
      <c r="AG13" s="16" t="n"/>
      <c r="AH13" s="16" t="n"/>
      <c r="AI13" s="16" t="n"/>
      <c r="AK13" s="1">
        <f>B13</f>
        <v/>
      </c>
      <c r="AL13" s="1">
        <f>C13</f>
        <v/>
      </c>
      <c r="AM13" s="12">
        <f>SUM(AS13:BA13)+BC13+BD13</f>
        <v/>
      </c>
      <c r="AN13" s="12">
        <f>SUM(AS13:BA13)+BF13+BG13</f>
        <v/>
      </c>
      <c r="AO13" s="5">
        <f>AM13-AN13</f>
        <v/>
      </c>
      <c r="AP13" s="12">
        <f>SUM(AS13:BA13)+BI13+BJ13</f>
        <v/>
      </c>
      <c r="AQ13" s="12">
        <f>SUM(AS13:BA13)+BL13+BM13</f>
        <v/>
      </c>
      <c r="AR13" s="5">
        <f>AP13-AQ13</f>
        <v/>
      </c>
      <c r="AS13" s="5">
        <f>D13/F13*X13</f>
        <v/>
      </c>
      <c r="AT13" s="1">
        <f>#REF!/F13*X13*-1</f>
        <v/>
      </c>
      <c r="AU13" s="1">
        <f>E13/F13*W13</f>
        <v/>
      </c>
      <c r="AV13" s="1">
        <f>1/F13*T13</f>
        <v/>
      </c>
      <c r="AW13" s="1">
        <f>G13/F13*AF13</f>
        <v/>
      </c>
      <c r="AX13" s="1">
        <f>#REF!/F13*AF13*-1</f>
        <v/>
      </c>
      <c r="AY13" s="1">
        <f>J13/F13/(0.9*8760)</f>
        <v/>
      </c>
      <c r="AZ13" s="1">
        <f>K13/F13/(0.9*8760)</f>
        <v/>
      </c>
      <c r="BA13" s="1">
        <f>L13/F13</f>
        <v/>
      </c>
      <c r="BB13" s="1">
        <f>BX13+BY13+BZ13</f>
        <v/>
      </c>
      <c r="BC13" s="1">
        <f>(O13+P13)*-1*H13/F13</f>
        <v/>
      </c>
      <c r="BD13" s="1">
        <f>BB13*O13</f>
        <v/>
      </c>
      <c r="BE13" s="1">
        <f>BX13+BY13</f>
        <v/>
      </c>
      <c r="BF13" s="1">
        <f>P13*H13*-1/F13</f>
        <v/>
      </c>
      <c r="BG13" s="1">
        <f>BE13*O13</f>
        <v/>
      </c>
      <c r="BH13" s="1">
        <f>SUM(BW13:CA13)</f>
        <v/>
      </c>
      <c r="BI13" s="1">
        <f>(O13+P13)*-1*H13/F13</f>
        <v/>
      </c>
      <c r="BJ13" s="1">
        <f>BH13*O13</f>
        <v/>
      </c>
      <c r="BK13" s="1">
        <f>BW13+BX13+BY13+CA13</f>
        <v/>
      </c>
      <c r="BL13" s="1">
        <f>H13/F13*P13*-1</f>
        <v/>
      </c>
      <c r="BM13" s="1">
        <f>O13*BK13</f>
        <v/>
      </c>
      <c r="BO13" s="9" t="n">
        <v>3.14</v>
      </c>
      <c r="BP13" s="10" t="n">
        <v>0.2218110024</v>
      </c>
      <c r="BQ13" s="9" t="n">
        <v>0.18104824</v>
      </c>
      <c r="BS13" s="10">
        <f>1/F13*BP13</f>
        <v/>
      </c>
      <c r="BT13" s="10">
        <f>G13/F13*BQ13</f>
        <v/>
      </c>
      <c r="BU13" s="10">
        <f>BS13+BT13</f>
        <v/>
      </c>
      <c r="BW13" s="10">
        <f>BO13</f>
        <v/>
      </c>
      <c r="BX13" s="10">
        <f>#REF!/F13*BQ13</f>
        <v/>
      </c>
      <c r="BY13" s="10">
        <f>I13/F13</f>
        <v/>
      </c>
      <c r="BZ13" s="10">
        <f>H13/F13</f>
        <v/>
      </c>
      <c r="CA13" s="10">
        <f>BU13-SUM(BW13:BZ13)</f>
        <v/>
      </c>
      <c r="CB13" s="10">
        <f>SUM(BW13:CA13)</f>
        <v/>
      </c>
    </row>
    <row r="14">
      <c r="B14" s="14" t="n"/>
      <c r="C14" s="13" t="inlineStr">
        <is>
          <t>Ethanol</t>
        </is>
      </c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1">
        <f>CA14/0.22/14</f>
        <v/>
      </c>
      <c r="O14" s="16" t="n"/>
      <c r="P14" s="16" t="n"/>
      <c r="Q14" s="16" t="n"/>
      <c r="R14" s="16" t="n"/>
      <c r="S14" s="16" t="n"/>
      <c r="T14" s="11" t="n">
        <v>21.9863533</v>
      </c>
      <c r="U14" s="17" t="n"/>
      <c r="V14" s="17" t="n"/>
      <c r="W14" s="16" t="n"/>
      <c r="X14" s="16" t="n"/>
      <c r="Y14" s="16" t="n"/>
      <c r="Z14" s="17" t="n"/>
      <c r="AA14" s="17" t="n"/>
      <c r="AB14" s="17" t="n"/>
      <c r="AC14" s="17" t="n"/>
      <c r="AD14" s="17" t="n"/>
      <c r="AE14" s="17" t="n"/>
      <c r="AF14" s="16" t="n"/>
      <c r="AG14" s="16" t="n"/>
      <c r="AH14" s="16" t="n"/>
      <c r="AI14" s="16" t="n"/>
      <c r="AK14" s="1">
        <f>B14</f>
        <v/>
      </c>
      <c r="AL14" s="1">
        <f>C14</f>
        <v/>
      </c>
      <c r="AM14" s="12">
        <f>SUM(AS14:BA14)+BC14+BD14</f>
        <v/>
      </c>
      <c r="AN14" s="12">
        <f>SUM(AS14:BA14)+BF14+BG14</f>
        <v/>
      </c>
      <c r="AO14" s="5">
        <f>AM14-AN14</f>
        <v/>
      </c>
      <c r="AP14" s="12">
        <f>SUM(AS14:BA14)+BI14+BJ14</f>
        <v/>
      </c>
      <c r="AQ14" s="12">
        <f>SUM(AS14:BA14)+BL14+BM14</f>
        <v/>
      </c>
      <c r="AR14" s="5">
        <f>AP14-AQ14</f>
        <v/>
      </c>
      <c r="AS14" s="5">
        <f>D14/F14*X14</f>
        <v/>
      </c>
      <c r="AT14" s="1">
        <f>#REF!/F14*X14*-1</f>
        <v/>
      </c>
      <c r="AU14" s="1">
        <f>E14/F14*W14</f>
        <v/>
      </c>
      <c r="AV14" s="1">
        <f>1/F14*T14</f>
        <v/>
      </c>
      <c r="AW14" s="1">
        <f>G14/F14*AF14</f>
        <v/>
      </c>
      <c r="AX14" s="1">
        <f>#REF!/F14*AF14*-1</f>
        <v/>
      </c>
      <c r="AY14" s="1">
        <f>J14/F14/(0.9*8760)</f>
        <v/>
      </c>
      <c r="AZ14" s="1">
        <f>K14/F14/(0.9*8760)</f>
        <v/>
      </c>
      <c r="BA14" s="1">
        <f>L14/F14</f>
        <v/>
      </c>
      <c r="BB14" s="1">
        <f>BX14+BY14+BZ14</f>
        <v/>
      </c>
      <c r="BC14" s="1">
        <f>(O14+P14)*-1*H14/F14</f>
        <v/>
      </c>
      <c r="BD14" s="1">
        <f>BB14*O14</f>
        <v/>
      </c>
      <c r="BE14" s="1">
        <f>BX14+BY14</f>
        <v/>
      </c>
      <c r="BF14" s="1">
        <f>P14*H14*-1/F14</f>
        <v/>
      </c>
      <c r="BG14" s="1">
        <f>BE14*O14</f>
        <v/>
      </c>
      <c r="BH14" s="1">
        <f>SUM(BW14:CA14)</f>
        <v/>
      </c>
      <c r="BI14" s="1">
        <f>(O14+P14)*-1*H14/F14</f>
        <v/>
      </c>
      <c r="BJ14" s="1">
        <f>BH14*O14</f>
        <v/>
      </c>
      <c r="BK14" s="1">
        <f>BW14+BX14+BY14+CA14</f>
        <v/>
      </c>
      <c r="BL14" s="1">
        <f>H14/F14*P14*-1</f>
        <v/>
      </c>
      <c r="BM14" s="1">
        <f>O14*BK14</f>
        <v/>
      </c>
      <c r="BO14" s="9" t="n">
        <v>3.14</v>
      </c>
      <c r="BP14" s="10" t="n">
        <v>0.2218110024</v>
      </c>
      <c r="BQ14" s="9" t="n">
        <v>0.18104824</v>
      </c>
      <c r="BS14" s="10">
        <f>1/F14*BP14</f>
        <v/>
      </c>
      <c r="BT14" s="10">
        <f>G14/F14*BQ14</f>
        <v/>
      </c>
      <c r="BU14" s="10">
        <f>BS14+BT14</f>
        <v/>
      </c>
      <c r="BW14" s="10">
        <f>BO14</f>
        <v/>
      </c>
      <c r="BX14" s="10">
        <f>#REF!/F14*BQ14</f>
        <v/>
      </c>
      <c r="BY14" s="10">
        <f>I14/F14</f>
        <v/>
      </c>
      <c r="BZ14" s="10">
        <f>H14/F14</f>
        <v/>
      </c>
      <c r="CA14" s="10">
        <f>BU14-SUM(BW14:BZ14)</f>
        <v/>
      </c>
      <c r="CB14" s="10">
        <f>SUM(BW14:CA14)</f>
        <v/>
      </c>
    </row>
    <row r="15">
      <c r="B15" s="14" t="n"/>
      <c r="C15" s="13" t="inlineStr">
        <is>
          <t>Ethanol</t>
        </is>
      </c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1">
        <f>CA15/0.22/14</f>
        <v/>
      </c>
      <c r="O15" s="16" t="n"/>
      <c r="P15" s="16" t="n"/>
      <c r="Q15" s="16" t="n"/>
      <c r="R15" s="16" t="n"/>
      <c r="S15" s="16" t="n"/>
      <c r="T15" s="11" t="n">
        <v>21.9863533</v>
      </c>
      <c r="U15" s="17" t="n"/>
      <c r="V15" s="17" t="n"/>
      <c r="W15" s="16" t="n"/>
      <c r="X15" s="16" t="n"/>
      <c r="Y15" s="16" t="n"/>
      <c r="Z15" s="17" t="n"/>
      <c r="AA15" s="17" t="n"/>
      <c r="AB15" s="17" t="n"/>
      <c r="AC15" s="17" t="n"/>
      <c r="AD15" s="17" t="n"/>
      <c r="AE15" s="17" t="n"/>
      <c r="AF15" s="16" t="n"/>
      <c r="AG15" s="16" t="n"/>
      <c r="AH15" s="16" t="n"/>
      <c r="AI15" s="16" t="n"/>
      <c r="AK15" s="1">
        <f>B15</f>
        <v/>
      </c>
      <c r="AL15" s="1">
        <f>C15</f>
        <v/>
      </c>
      <c r="AM15" s="12">
        <f>SUM(AS15:BA15)+BC15+BD15</f>
        <v/>
      </c>
      <c r="AN15" s="12">
        <f>SUM(AS15:BA15)+BF15+BG15</f>
        <v/>
      </c>
      <c r="AO15" s="5">
        <f>AM15-AN15</f>
        <v/>
      </c>
      <c r="AP15" s="12">
        <f>SUM(AS15:BA15)+BI15+BJ15</f>
        <v/>
      </c>
      <c r="AQ15" s="12">
        <f>SUM(AS15:BA15)+BL15+BM15</f>
        <v/>
      </c>
      <c r="AR15" s="5">
        <f>AP15-AQ15</f>
        <v/>
      </c>
      <c r="AS15" s="5">
        <f>D15/F15*X15</f>
        <v/>
      </c>
      <c r="AT15" s="1">
        <f>#REF!/F15*X15*-1</f>
        <v/>
      </c>
      <c r="AU15" s="1">
        <f>E15/F15*W15</f>
        <v/>
      </c>
      <c r="AV15" s="1">
        <f>1/F15*T15</f>
        <v/>
      </c>
      <c r="AW15" s="1">
        <f>G15/F15*AF15</f>
        <v/>
      </c>
      <c r="AX15" s="1">
        <f>#REF!/F15*AF15*-1</f>
        <v/>
      </c>
      <c r="AY15" s="1">
        <f>J15/F15/(0.9*8760)</f>
        <v/>
      </c>
      <c r="AZ15" s="1">
        <f>K15/F15/(0.9*8760)</f>
        <v/>
      </c>
      <c r="BA15" s="1">
        <f>L15/F15</f>
        <v/>
      </c>
      <c r="BB15" s="1">
        <f>BX15+BY15+BZ15</f>
        <v/>
      </c>
      <c r="BC15" s="1">
        <f>(O15+P15)*-1*H15/F15</f>
        <v/>
      </c>
      <c r="BD15" s="1">
        <f>BB15*O15</f>
        <v/>
      </c>
      <c r="BE15" s="1">
        <f>BX15+BY15</f>
        <v/>
      </c>
      <c r="BF15" s="1">
        <f>P15*H15*-1/F15</f>
        <v/>
      </c>
      <c r="BG15" s="1">
        <f>BE15*O15</f>
        <v/>
      </c>
      <c r="BH15" s="1">
        <f>SUM(BW15:CA15)</f>
        <v/>
      </c>
      <c r="BI15" s="1">
        <f>(O15+P15)*-1*H15/F15</f>
        <v/>
      </c>
      <c r="BJ15" s="1">
        <f>BH15*O15</f>
        <v/>
      </c>
      <c r="BK15" s="1">
        <f>BW15+BX15+BY15+CA15</f>
        <v/>
      </c>
      <c r="BL15" s="1">
        <f>H15/F15*P15*-1</f>
        <v/>
      </c>
      <c r="BM15" s="1">
        <f>O15*BK15</f>
        <v/>
      </c>
      <c r="BO15" s="9" t="n">
        <v>3.14</v>
      </c>
      <c r="BP15" s="10" t="n">
        <v>0.2218110024</v>
      </c>
      <c r="BQ15" s="9" t="n">
        <v>0.18104824</v>
      </c>
      <c r="BS15" s="10">
        <f>1/F15*BP15</f>
        <v/>
      </c>
      <c r="BT15" s="10">
        <f>G15/F15*BQ15</f>
        <v/>
      </c>
      <c r="BU15" s="10">
        <f>BS15+BT15</f>
        <v/>
      </c>
      <c r="BW15" s="10">
        <f>BO15</f>
        <v/>
      </c>
      <c r="BX15" s="10">
        <f>#REF!/F15*BQ15</f>
        <v/>
      </c>
      <c r="BY15" s="10">
        <f>I15/F15</f>
        <v/>
      </c>
      <c r="BZ15" s="10">
        <f>H15/F15</f>
        <v/>
      </c>
      <c r="CA15" s="10">
        <f>BU15-SUM(BW15:BZ15)</f>
        <v/>
      </c>
      <c r="CB15" s="10">
        <f>SUM(BW15:CA15)</f>
        <v/>
      </c>
    </row>
    <row r="16">
      <c r="B16" s="14" t="n"/>
      <c r="C16" s="13" t="inlineStr">
        <is>
          <t>Ethanol</t>
        </is>
      </c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1">
        <f>CA16/0.22/14</f>
        <v/>
      </c>
      <c r="O16" s="16" t="n"/>
      <c r="P16" s="16" t="n"/>
      <c r="Q16" s="16" t="n"/>
      <c r="R16" s="16" t="n"/>
      <c r="S16" s="16" t="n"/>
      <c r="T16" s="11" t="n">
        <v>21.9863533</v>
      </c>
      <c r="U16" s="17" t="n"/>
      <c r="V16" s="17" t="n"/>
      <c r="W16" s="16" t="n"/>
      <c r="X16" s="16" t="n"/>
      <c r="Y16" s="16" t="n"/>
      <c r="Z16" s="17" t="n"/>
      <c r="AA16" s="17" t="n"/>
      <c r="AB16" s="17" t="n"/>
      <c r="AC16" s="17" t="n"/>
      <c r="AD16" s="17" t="n"/>
      <c r="AE16" s="17" t="n"/>
      <c r="AF16" s="16" t="n"/>
      <c r="AG16" s="16" t="n"/>
      <c r="AH16" s="16" t="n"/>
      <c r="AI16" s="16" t="n"/>
      <c r="AK16" s="1">
        <f>B16</f>
        <v/>
      </c>
      <c r="AL16" s="1">
        <f>C16</f>
        <v/>
      </c>
      <c r="AM16" s="12">
        <f>SUM(AS16:BA16)+BC16+BD16</f>
        <v/>
      </c>
      <c r="AN16" s="12">
        <f>SUM(AS16:BA16)+BF16+BG16</f>
        <v/>
      </c>
      <c r="AO16" s="5">
        <f>AM16-AN16</f>
        <v/>
      </c>
      <c r="AP16" s="12">
        <f>SUM(AS16:BA16)+BI16+BJ16</f>
        <v/>
      </c>
      <c r="AQ16" s="12">
        <f>SUM(AS16:BA16)+BL16+BM16</f>
        <v/>
      </c>
      <c r="AR16" s="5">
        <f>AP16-AQ16</f>
        <v/>
      </c>
      <c r="AS16" s="5">
        <f>D16/F16*X16</f>
        <v/>
      </c>
      <c r="AT16" s="1">
        <f>#REF!/F16*X16*-1</f>
        <v/>
      </c>
      <c r="AU16" s="1">
        <f>E16/F16*W16</f>
        <v/>
      </c>
      <c r="AV16" s="1">
        <f>1/F16*T16</f>
        <v/>
      </c>
      <c r="AW16" s="1">
        <f>G16/F16*AF16</f>
        <v/>
      </c>
      <c r="AX16" s="1">
        <f>#REF!/F16*AF16*-1</f>
        <v/>
      </c>
      <c r="AY16" s="1">
        <f>J16/F16/(0.9*8760)</f>
        <v/>
      </c>
      <c r="AZ16" s="1">
        <f>K16/F16/(0.9*8760)</f>
        <v/>
      </c>
      <c r="BA16" s="1">
        <f>L16/F16</f>
        <v/>
      </c>
      <c r="BB16" s="1">
        <f>BX16+BY16+BZ16</f>
        <v/>
      </c>
      <c r="BC16" s="1">
        <f>(O16+P16)*-1*H16/F16</f>
        <v/>
      </c>
      <c r="BD16" s="1">
        <f>BB16*O16</f>
        <v/>
      </c>
      <c r="BE16" s="1">
        <f>BX16+BY16</f>
        <v/>
      </c>
      <c r="BF16" s="1">
        <f>P16*H16*-1/F16</f>
        <v/>
      </c>
      <c r="BG16" s="1">
        <f>BE16*O16</f>
        <v/>
      </c>
      <c r="BH16" s="1">
        <f>SUM(BW16:CA16)</f>
        <v/>
      </c>
      <c r="BI16" s="1">
        <f>(O16+P16)*-1*H16/F16</f>
        <v/>
      </c>
      <c r="BJ16" s="1">
        <f>BH16*O16</f>
        <v/>
      </c>
      <c r="BK16" s="1">
        <f>BW16+BX16+BY16+CA16</f>
        <v/>
      </c>
      <c r="BL16" s="1">
        <f>H16/F16*P16*-1</f>
        <v/>
      </c>
      <c r="BM16" s="1">
        <f>O16*BK16</f>
        <v/>
      </c>
      <c r="BO16" s="9" t="n">
        <v>3.14</v>
      </c>
      <c r="BP16" s="10" t="n">
        <v>0.2218110024</v>
      </c>
      <c r="BQ16" s="9" t="n">
        <v>0.18104824</v>
      </c>
      <c r="BS16" s="10">
        <f>1/F16*BP16</f>
        <v/>
      </c>
      <c r="BT16" s="10">
        <f>G16/F16*BQ16</f>
        <v/>
      </c>
      <c r="BU16" s="10">
        <f>BS16+BT16</f>
        <v/>
      </c>
      <c r="BW16" s="10">
        <f>BO16</f>
        <v/>
      </c>
      <c r="BX16" s="10">
        <f>#REF!/F16*BQ16</f>
        <v/>
      </c>
      <c r="BY16" s="10">
        <f>I16/F16</f>
        <v/>
      </c>
      <c r="BZ16" s="10">
        <f>H16/F16</f>
        <v/>
      </c>
      <c r="CA16" s="10">
        <f>BU16-SUM(BW16:BZ16)</f>
        <v/>
      </c>
      <c r="CB16" s="10">
        <f>SUM(BW16:CA16)</f>
        <v/>
      </c>
    </row>
    <row r="17">
      <c r="B17" s="14" t="n"/>
      <c r="C17" s="13" t="inlineStr">
        <is>
          <t>Ethanol</t>
        </is>
      </c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1">
        <f>CA17/0.22/14</f>
        <v/>
      </c>
      <c r="O17" s="16" t="n"/>
      <c r="P17" s="16" t="n"/>
      <c r="Q17" s="16" t="n"/>
      <c r="R17" s="16" t="n"/>
      <c r="S17" s="16" t="n"/>
      <c r="T17" s="11" t="n">
        <v>21.9863533</v>
      </c>
      <c r="U17" s="17" t="n"/>
      <c r="V17" s="17" t="n"/>
      <c r="W17" s="16" t="n"/>
      <c r="X17" s="16" t="n"/>
      <c r="Y17" s="16" t="n"/>
      <c r="Z17" s="17" t="n"/>
      <c r="AA17" s="17" t="n"/>
      <c r="AB17" s="17" t="n"/>
      <c r="AC17" s="17" t="n"/>
      <c r="AD17" s="17" t="n"/>
      <c r="AE17" s="17" t="n"/>
      <c r="AF17" s="16" t="n"/>
      <c r="AG17" s="16" t="n"/>
      <c r="AH17" s="16" t="n"/>
      <c r="AI17" s="16" t="n"/>
      <c r="AK17" s="1">
        <f>B17</f>
        <v/>
      </c>
      <c r="AL17" s="1">
        <f>C17</f>
        <v/>
      </c>
      <c r="AM17" s="12">
        <f>SUM(AS17:BA17)+BC17+BD17</f>
        <v/>
      </c>
      <c r="AN17" s="12">
        <f>SUM(AS17:BA17)+BF17+BG17</f>
        <v/>
      </c>
      <c r="AO17" s="5">
        <f>AM17-AN17</f>
        <v/>
      </c>
      <c r="AP17" s="12">
        <f>SUM(AS17:BA17)+BI17+BJ17</f>
        <v/>
      </c>
      <c r="AQ17" s="12">
        <f>SUM(AS17:BA17)+BL17+BM17</f>
        <v/>
      </c>
      <c r="AR17" s="5">
        <f>AP17-AQ17</f>
        <v/>
      </c>
      <c r="AS17" s="5">
        <f>D17/F17*X17</f>
        <v/>
      </c>
      <c r="AT17" s="1">
        <f>#REF!/F17*X17*-1</f>
        <v/>
      </c>
      <c r="AU17" s="1">
        <f>E17/F17*W17</f>
        <v/>
      </c>
      <c r="AV17" s="1">
        <f>1/F17*T17</f>
        <v/>
      </c>
      <c r="AW17" s="1">
        <f>G17/F17*AF17</f>
        <v/>
      </c>
      <c r="AX17" s="1">
        <f>#REF!/F17*AF17*-1</f>
        <v/>
      </c>
      <c r="AY17" s="1">
        <f>J17/F17/(0.9*8760)</f>
        <v/>
      </c>
      <c r="AZ17" s="1">
        <f>K17/F17/(0.9*8760)</f>
        <v/>
      </c>
      <c r="BA17" s="1">
        <f>L17/F17</f>
        <v/>
      </c>
      <c r="BB17" s="1">
        <f>BX17+BY17+BZ17</f>
        <v/>
      </c>
      <c r="BC17" s="1">
        <f>(O17+P17)*-1*H17/F17</f>
        <v/>
      </c>
      <c r="BD17" s="1">
        <f>BB17*O17</f>
        <v/>
      </c>
      <c r="BE17" s="1">
        <f>BX17+BY17</f>
        <v/>
      </c>
      <c r="BF17" s="1">
        <f>P17*H17*-1/F17</f>
        <v/>
      </c>
      <c r="BG17" s="1">
        <f>BE17*O17</f>
        <v/>
      </c>
      <c r="BH17" s="1">
        <f>SUM(BW17:CA17)</f>
        <v/>
      </c>
      <c r="BI17" s="1">
        <f>(O17+P17)*-1*H17/F17</f>
        <v/>
      </c>
      <c r="BJ17" s="1">
        <f>BH17*O17</f>
        <v/>
      </c>
      <c r="BK17" s="1">
        <f>BW17+BX17+BY17+CA17</f>
        <v/>
      </c>
      <c r="BL17" s="1">
        <f>H17/F17*P17*-1</f>
        <v/>
      </c>
      <c r="BM17" s="1">
        <f>O17*BK17</f>
        <v/>
      </c>
      <c r="BO17" s="9" t="n">
        <v>3.14</v>
      </c>
      <c r="BP17" s="10" t="n">
        <v>0.2218110024</v>
      </c>
      <c r="BQ17" s="9" t="n">
        <v>0.18104824</v>
      </c>
      <c r="BS17" s="10">
        <f>1/F17*BP17</f>
        <v/>
      </c>
      <c r="BT17" s="10">
        <f>G17/F17*BQ17</f>
        <v/>
      </c>
      <c r="BU17" s="10">
        <f>BS17+BT17</f>
        <v/>
      </c>
      <c r="BW17" s="10">
        <f>BO17</f>
        <v/>
      </c>
      <c r="BX17" s="10">
        <f>#REF!/F17*BQ17</f>
        <v/>
      </c>
      <c r="BY17" s="10">
        <f>I17/F17</f>
        <v/>
      </c>
      <c r="BZ17" s="10">
        <f>H17/F17</f>
        <v/>
      </c>
      <c r="CA17" s="10">
        <f>BU17-SUM(BW17:BZ17)</f>
        <v/>
      </c>
      <c r="CB17" s="10">
        <f>SUM(BW17:CA17)</f>
        <v/>
      </c>
    </row>
    <row r="18">
      <c r="B18" s="14" t="n"/>
      <c r="C18" s="13" t="inlineStr">
        <is>
          <t>Ethanol</t>
        </is>
      </c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1">
        <f>CA18/0.22/14</f>
        <v/>
      </c>
      <c r="O18" s="16" t="n"/>
      <c r="P18" s="16" t="n"/>
      <c r="Q18" s="16" t="n"/>
      <c r="R18" s="16" t="n"/>
      <c r="S18" s="16" t="n"/>
      <c r="T18" s="11" t="n">
        <v>21.9863533</v>
      </c>
      <c r="U18" s="17" t="n"/>
      <c r="V18" s="17" t="n"/>
      <c r="W18" s="16" t="n"/>
      <c r="X18" s="16" t="n"/>
      <c r="Y18" s="16" t="n"/>
      <c r="Z18" s="17" t="n"/>
      <c r="AA18" s="17" t="n"/>
      <c r="AB18" s="17" t="n"/>
      <c r="AC18" s="17" t="n"/>
      <c r="AD18" s="17" t="n"/>
      <c r="AE18" s="17" t="n"/>
      <c r="AF18" s="16" t="n"/>
      <c r="AG18" s="16" t="n"/>
      <c r="AH18" s="16" t="n"/>
      <c r="AI18" s="16" t="n"/>
      <c r="AK18" s="1">
        <f>B18</f>
        <v/>
      </c>
      <c r="AL18" s="1">
        <f>C18</f>
        <v/>
      </c>
      <c r="AM18" s="12">
        <f>SUM(AS18:BA18)+BC18+BD18</f>
        <v/>
      </c>
      <c r="AN18" s="12">
        <f>SUM(AS18:BA18)+BF18+BG18</f>
        <v/>
      </c>
      <c r="AO18" s="5">
        <f>AM18-AN18</f>
        <v/>
      </c>
      <c r="AP18" s="12">
        <f>SUM(AS18:BA18)+BI18+BJ18</f>
        <v/>
      </c>
      <c r="AQ18" s="12">
        <f>SUM(AS18:BA18)+BL18+BM18</f>
        <v/>
      </c>
      <c r="AR18" s="5">
        <f>AP18-AQ18</f>
        <v/>
      </c>
      <c r="AS18" s="5">
        <f>D18/F18*X18</f>
        <v/>
      </c>
      <c r="AT18" s="1">
        <f>#REF!/F18*X18*-1</f>
        <v/>
      </c>
      <c r="AU18" s="1">
        <f>E18/F18*W18</f>
        <v/>
      </c>
      <c r="AV18" s="1">
        <f>1/F18*T18</f>
        <v/>
      </c>
      <c r="AW18" s="1">
        <f>G18/F18*AF18</f>
        <v/>
      </c>
      <c r="AX18" s="1">
        <f>#REF!/F18*AF18*-1</f>
        <v/>
      </c>
      <c r="AY18" s="1">
        <f>J18/F18/(0.9*8760)</f>
        <v/>
      </c>
      <c r="AZ18" s="1">
        <f>K18/F18/(0.9*8760)</f>
        <v/>
      </c>
      <c r="BA18" s="1">
        <f>L18/F18</f>
        <v/>
      </c>
      <c r="BB18" s="1">
        <f>BX18+BY18+BZ18</f>
        <v/>
      </c>
      <c r="BC18" s="1">
        <f>(O18+P18)*-1*H18/F18</f>
        <v/>
      </c>
      <c r="BD18" s="1">
        <f>BB18*O18</f>
        <v/>
      </c>
      <c r="BE18" s="1">
        <f>BX18+BY18</f>
        <v/>
      </c>
      <c r="BF18" s="1">
        <f>P18*H18*-1/F18</f>
        <v/>
      </c>
      <c r="BG18" s="1">
        <f>BE18*O18</f>
        <v/>
      </c>
      <c r="BH18" s="1">
        <f>SUM(BW18:CA18)</f>
        <v/>
      </c>
      <c r="BI18" s="1">
        <f>(O18+P18)*-1*H18/F18</f>
        <v/>
      </c>
      <c r="BJ18" s="1">
        <f>BH18*O18</f>
        <v/>
      </c>
      <c r="BK18" s="1">
        <f>BW18+BX18+BY18+CA18</f>
        <v/>
      </c>
      <c r="BL18" s="1">
        <f>H18/F18*P18*-1</f>
        <v/>
      </c>
      <c r="BM18" s="1">
        <f>O18*BK18</f>
        <v/>
      </c>
      <c r="BO18" s="9" t="n">
        <v>3.14</v>
      </c>
      <c r="BP18" s="10" t="n">
        <v>0.2218110024</v>
      </c>
      <c r="BQ18" s="9" t="n">
        <v>0.18104824</v>
      </c>
      <c r="BS18" s="10">
        <f>1/F18*BP18</f>
        <v/>
      </c>
      <c r="BT18" s="10">
        <f>G18/F18*BQ18</f>
        <v/>
      </c>
      <c r="BU18" s="10">
        <f>BS18+BT18</f>
        <v/>
      </c>
      <c r="BW18" s="10">
        <f>BO18</f>
        <v/>
      </c>
      <c r="BX18" s="10">
        <f>#REF!/F18*BQ18</f>
        <v/>
      </c>
      <c r="BY18" s="10">
        <f>I18/F18</f>
        <v/>
      </c>
      <c r="BZ18" s="10">
        <f>H18/F18</f>
        <v/>
      </c>
      <c r="CA18" s="10">
        <f>BU18-SUM(BW18:BZ18)</f>
        <v/>
      </c>
      <c r="CB18" s="10">
        <f>SUM(BW18:CA18)</f>
        <v/>
      </c>
    </row>
    <row r="19">
      <c r="B19" s="14" t="n"/>
      <c r="C19" s="13" t="inlineStr">
        <is>
          <t>Ethanol</t>
        </is>
      </c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1">
        <f>CA19/0.22/14</f>
        <v/>
      </c>
      <c r="O19" s="16" t="n"/>
      <c r="P19" s="16" t="n"/>
      <c r="Q19" s="16" t="n"/>
      <c r="R19" s="16" t="n"/>
      <c r="S19" s="16" t="n"/>
      <c r="T19" s="11" t="n">
        <v>21.9863533</v>
      </c>
      <c r="U19" s="17" t="n"/>
      <c r="V19" s="17" t="n"/>
      <c r="W19" s="16" t="n"/>
      <c r="X19" s="16" t="n"/>
      <c r="Y19" s="16" t="n"/>
      <c r="Z19" s="17" t="n"/>
      <c r="AA19" s="17" t="n"/>
      <c r="AB19" s="17" t="n"/>
      <c r="AC19" s="17" t="n"/>
      <c r="AD19" s="17" t="n"/>
      <c r="AE19" s="17" t="n"/>
      <c r="AF19" s="16" t="n"/>
      <c r="AG19" s="16" t="n"/>
      <c r="AH19" s="16" t="n"/>
      <c r="AI19" s="16" t="n"/>
      <c r="AK19" s="1">
        <f>B19</f>
        <v/>
      </c>
      <c r="AL19" s="1">
        <f>C19</f>
        <v/>
      </c>
      <c r="AM19" s="12">
        <f>SUM(AS19:BA19)+BC19+BD19</f>
        <v/>
      </c>
      <c r="AN19" s="12">
        <f>SUM(AS19:BA19)+BF19+BG19</f>
        <v/>
      </c>
      <c r="AO19" s="5">
        <f>AM19-AN19</f>
        <v/>
      </c>
      <c r="AP19" s="12">
        <f>SUM(AS19:BA19)+BI19+BJ19</f>
        <v/>
      </c>
      <c r="AQ19" s="12">
        <f>SUM(AS19:BA19)+BL19+BM19</f>
        <v/>
      </c>
      <c r="AR19" s="5">
        <f>AP19-AQ19</f>
        <v/>
      </c>
      <c r="AS19" s="5">
        <f>D19/F19*X19</f>
        <v/>
      </c>
      <c r="AT19" s="1">
        <f>#REF!/F19*X19*-1</f>
        <v/>
      </c>
      <c r="AU19" s="1">
        <f>E19/F19*W19</f>
        <v/>
      </c>
      <c r="AV19" s="1">
        <f>1/F19*T19</f>
        <v/>
      </c>
      <c r="AW19" s="1">
        <f>G19/F19*AF19</f>
        <v/>
      </c>
      <c r="AX19" s="1">
        <f>#REF!/F19*AF19*-1</f>
        <v/>
      </c>
      <c r="AY19" s="1">
        <f>J19/F19/(0.9*8760)</f>
        <v/>
      </c>
      <c r="AZ19" s="1">
        <f>K19/F19/(0.9*8760)</f>
        <v/>
      </c>
      <c r="BA19" s="1">
        <f>L19/F19</f>
        <v/>
      </c>
      <c r="BB19" s="1">
        <f>BX19+BY19+BZ19</f>
        <v/>
      </c>
      <c r="BC19" s="1">
        <f>(O19+P19)*-1*H19/F19</f>
        <v/>
      </c>
      <c r="BD19" s="1">
        <f>BB19*O19</f>
        <v/>
      </c>
      <c r="BE19" s="1">
        <f>BX19+BY19</f>
        <v/>
      </c>
      <c r="BF19" s="1">
        <f>P19*H19*-1/F19</f>
        <v/>
      </c>
      <c r="BG19" s="1">
        <f>BE19*O19</f>
        <v/>
      </c>
      <c r="BH19" s="1">
        <f>SUM(BW19:CA19)</f>
        <v/>
      </c>
      <c r="BI19" s="1">
        <f>(O19+P19)*-1*H19/F19</f>
        <v/>
      </c>
      <c r="BJ19" s="1">
        <f>BH19*O19</f>
        <v/>
      </c>
      <c r="BK19" s="1">
        <f>BW19+BX19+BY19+CA19</f>
        <v/>
      </c>
      <c r="BL19" s="1">
        <f>H19/F19*P19*-1</f>
        <v/>
      </c>
      <c r="BM19" s="1">
        <f>O19*BK19</f>
        <v/>
      </c>
      <c r="BO19" s="9" t="n">
        <v>3.14</v>
      </c>
      <c r="BP19" s="10" t="n">
        <v>0.2218110024</v>
      </c>
      <c r="BQ19" s="9" t="n">
        <v>0.18104824</v>
      </c>
      <c r="BS19" s="10">
        <f>1/F19*BP19</f>
        <v/>
      </c>
      <c r="BT19" s="10">
        <f>G19/F19*BQ19</f>
        <v/>
      </c>
      <c r="BU19" s="10">
        <f>BS19+BT19</f>
        <v/>
      </c>
      <c r="BW19" s="10">
        <f>BO19</f>
        <v/>
      </c>
      <c r="BX19" s="10">
        <f>#REF!/F19*BQ19</f>
        <v/>
      </c>
      <c r="BY19" s="10">
        <f>I19/F19</f>
        <v/>
      </c>
      <c r="BZ19" s="10">
        <f>H19/F19</f>
        <v/>
      </c>
      <c r="CA19" s="10">
        <f>BU19-SUM(BW19:BZ19)</f>
        <v/>
      </c>
      <c r="CB19" s="10">
        <f>SUM(BW19:CA19)</f>
        <v/>
      </c>
    </row>
    <row r="20">
      <c r="B20" s="14" t="n"/>
      <c r="C20" s="13" t="inlineStr">
        <is>
          <t>Ethanol</t>
        </is>
      </c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1">
        <f>CA20/0.22/14</f>
        <v/>
      </c>
      <c r="O20" s="16" t="n"/>
      <c r="P20" s="16" t="n"/>
      <c r="Q20" s="16" t="n"/>
      <c r="R20" s="16" t="n"/>
      <c r="S20" s="16" t="n"/>
      <c r="T20" s="11" t="n">
        <v>21.9863533</v>
      </c>
      <c r="U20" s="17" t="n"/>
      <c r="V20" s="17" t="n"/>
      <c r="W20" s="16" t="n"/>
      <c r="X20" s="16" t="n"/>
      <c r="Y20" s="16" t="n"/>
      <c r="Z20" s="17" t="n"/>
      <c r="AA20" s="17" t="n"/>
      <c r="AB20" s="17" t="n"/>
      <c r="AC20" s="17" t="n"/>
      <c r="AD20" s="17" t="n"/>
      <c r="AE20" s="17" t="n"/>
      <c r="AF20" s="16" t="n"/>
      <c r="AG20" s="16" t="n"/>
      <c r="AH20" s="16" t="n"/>
      <c r="AI20" s="16" t="n"/>
      <c r="AK20" s="1">
        <f>B20</f>
        <v/>
      </c>
      <c r="AL20" s="1">
        <f>C20</f>
        <v/>
      </c>
      <c r="AM20" s="12">
        <f>SUM(AS20:BA20)+BC20+BD20</f>
        <v/>
      </c>
      <c r="AN20" s="12">
        <f>SUM(AS20:BA20)+BF20+BG20</f>
        <v/>
      </c>
      <c r="AO20" s="5">
        <f>AM20-AN20</f>
        <v/>
      </c>
      <c r="AP20" s="12">
        <f>SUM(AS20:BA20)+BI20+BJ20</f>
        <v/>
      </c>
      <c r="AQ20" s="12">
        <f>SUM(AS20:BA20)+BL20+BM20</f>
        <v/>
      </c>
      <c r="AR20" s="5">
        <f>AP20-AQ20</f>
        <v/>
      </c>
      <c r="AS20" s="5">
        <f>D20/F20*X20</f>
        <v/>
      </c>
      <c r="AT20" s="1">
        <f>#REF!/F20*X20*-1</f>
        <v/>
      </c>
      <c r="AU20" s="1">
        <f>E20/F20*W20</f>
        <v/>
      </c>
      <c r="AV20" s="1">
        <f>1/F20*T20</f>
        <v/>
      </c>
      <c r="AW20" s="1">
        <f>G20/F20*AF20</f>
        <v/>
      </c>
      <c r="AX20" s="1">
        <f>#REF!/F20*AF20*-1</f>
        <v/>
      </c>
      <c r="AY20" s="1">
        <f>J20/F20/(0.9*8760)</f>
        <v/>
      </c>
      <c r="AZ20" s="1">
        <f>K20/F20/(0.9*8760)</f>
        <v/>
      </c>
      <c r="BA20" s="1">
        <f>L20/F20</f>
        <v/>
      </c>
      <c r="BB20" s="1">
        <f>BX20+BY20+BZ20</f>
        <v/>
      </c>
      <c r="BC20" s="1">
        <f>(O20+P20)*-1*H20/F20</f>
        <v/>
      </c>
      <c r="BD20" s="1">
        <f>BB20*O20</f>
        <v/>
      </c>
      <c r="BE20" s="1">
        <f>BX20+BY20</f>
        <v/>
      </c>
      <c r="BF20" s="1">
        <f>P20*H20*-1/F20</f>
        <v/>
      </c>
      <c r="BG20" s="1">
        <f>BE20*O20</f>
        <v/>
      </c>
      <c r="BH20" s="1">
        <f>SUM(BW20:CA20)</f>
        <v/>
      </c>
      <c r="BI20" s="1">
        <f>(O20+P20)*-1*H20/F20</f>
        <v/>
      </c>
      <c r="BJ20" s="1">
        <f>BH20*O20</f>
        <v/>
      </c>
      <c r="BK20" s="1">
        <f>BW20+BX20+BY20+CA20</f>
        <v/>
      </c>
      <c r="BL20" s="1">
        <f>H20/F20*P20*-1</f>
        <v/>
      </c>
      <c r="BM20" s="1">
        <f>O20*BK20</f>
        <v/>
      </c>
      <c r="BO20" s="9" t="n">
        <v>3.14</v>
      </c>
      <c r="BP20" s="10" t="n">
        <v>0.2218110024</v>
      </c>
      <c r="BQ20" s="9" t="n">
        <v>0.18104824</v>
      </c>
      <c r="BS20" s="10">
        <f>1/F20*BP20</f>
        <v/>
      </c>
      <c r="BT20" s="10">
        <f>G20/F20*BQ20</f>
        <v/>
      </c>
      <c r="BU20" s="10">
        <f>BS20+BT20</f>
        <v/>
      </c>
      <c r="BW20" s="10">
        <f>BO20</f>
        <v/>
      </c>
      <c r="BX20" s="10">
        <f>#REF!/F20*BQ20</f>
        <v/>
      </c>
      <c r="BY20" s="10">
        <f>I20/F20</f>
        <v/>
      </c>
      <c r="BZ20" s="10">
        <f>H20/F20</f>
        <v/>
      </c>
      <c r="CA20" s="10">
        <f>BU20-SUM(BW20:BZ20)</f>
        <v/>
      </c>
      <c r="CB20" s="10">
        <f>SUM(BW20:CA20)</f>
        <v/>
      </c>
    </row>
    <row r="21">
      <c r="B21" s="14" t="n"/>
      <c r="C21" s="13" t="inlineStr">
        <is>
          <t>Ethanol</t>
        </is>
      </c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1">
        <f>CA21/0.22/14</f>
        <v/>
      </c>
      <c r="O21" s="16" t="n"/>
      <c r="P21" s="16" t="n"/>
      <c r="Q21" s="16" t="n"/>
      <c r="R21" s="16" t="n"/>
      <c r="S21" s="16" t="n"/>
      <c r="T21" s="11" t="n">
        <v>21.9863533</v>
      </c>
      <c r="U21" s="17" t="n"/>
      <c r="V21" s="17" t="n"/>
      <c r="W21" s="16" t="n"/>
      <c r="X21" s="16" t="n"/>
      <c r="Y21" s="16" t="n"/>
      <c r="Z21" s="17" t="n"/>
      <c r="AA21" s="17" t="n"/>
      <c r="AB21" s="17" t="n"/>
      <c r="AC21" s="17" t="n"/>
      <c r="AD21" s="17" t="n"/>
      <c r="AE21" s="17" t="n"/>
      <c r="AF21" s="16" t="n"/>
      <c r="AG21" s="16" t="n"/>
      <c r="AH21" s="16" t="n"/>
      <c r="AI21" s="16" t="n"/>
      <c r="AK21" s="1">
        <f>B21</f>
        <v/>
      </c>
      <c r="AL21" s="1">
        <f>C21</f>
        <v/>
      </c>
      <c r="AM21" s="12">
        <f>SUM(AS21:BA21)+BC21+BD21</f>
        <v/>
      </c>
      <c r="AN21" s="12">
        <f>SUM(AS21:BA21)+BF21+BG21</f>
        <v/>
      </c>
      <c r="AO21" s="5">
        <f>AM21-AN21</f>
        <v/>
      </c>
      <c r="AP21" s="12">
        <f>SUM(AS21:BA21)+BI21+BJ21</f>
        <v/>
      </c>
      <c r="AQ21" s="12">
        <f>SUM(AS21:BA21)+BL21+BM21</f>
        <v/>
      </c>
      <c r="AR21" s="5">
        <f>AP21-AQ21</f>
        <v/>
      </c>
      <c r="AS21" s="5">
        <f>D21/F21*X21</f>
        <v/>
      </c>
      <c r="AT21" s="1">
        <f>#REF!/F21*X21*-1</f>
        <v/>
      </c>
      <c r="AU21" s="1">
        <f>E21/F21*W21</f>
        <v/>
      </c>
      <c r="AV21" s="1">
        <f>1/F21*T21</f>
        <v/>
      </c>
      <c r="AW21" s="1">
        <f>G21/F21*AF21</f>
        <v/>
      </c>
      <c r="AX21" s="1">
        <f>#REF!/F21*AF21*-1</f>
        <v/>
      </c>
      <c r="AY21" s="1">
        <f>J21/F21/(0.9*8760)</f>
        <v/>
      </c>
      <c r="AZ21" s="1">
        <f>K21/F21/(0.9*8760)</f>
        <v/>
      </c>
      <c r="BA21" s="1">
        <f>L21/F21</f>
        <v/>
      </c>
      <c r="BB21" s="1">
        <f>BX21+BY21+BZ21</f>
        <v/>
      </c>
      <c r="BC21" s="1">
        <f>(O21+P21)*-1*H21/F21</f>
        <v/>
      </c>
      <c r="BD21" s="1">
        <f>BB21*O21</f>
        <v/>
      </c>
      <c r="BE21" s="1">
        <f>BX21+BY21</f>
        <v/>
      </c>
      <c r="BF21" s="1">
        <f>P21*H21*-1/F21</f>
        <v/>
      </c>
      <c r="BG21" s="1">
        <f>BE21*O21</f>
        <v/>
      </c>
      <c r="BH21" s="1">
        <f>SUM(BW21:CA21)</f>
        <v/>
      </c>
      <c r="BI21" s="1">
        <f>(O21+P21)*-1*H21/F21</f>
        <v/>
      </c>
      <c r="BJ21" s="1">
        <f>BH21*O21</f>
        <v/>
      </c>
      <c r="BK21" s="1">
        <f>BW21+BX21+BY21+CA21</f>
        <v/>
      </c>
      <c r="BL21" s="1">
        <f>H21/F21*P21*-1</f>
        <v/>
      </c>
      <c r="BM21" s="1">
        <f>O21*BK21</f>
        <v/>
      </c>
      <c r="BO21" s="9" t="n">
        <v>3.14</v>
      </c>
      <c r="BP21" s="10" t="n">
        <v>0.2218110024</v>
      </c>
      <c r="BQ21" s="9" t="n">
        <v>0.18104824</v>
      </c>
      <c r="BS21" s="10">
        <f>1/F21*BP21</f>
        <v/>
      </c>
      <c r="BT21" s="10">
        <f>G21/F21*BQ21</f>
        <v/>
      </c>
      <c r="BU21" s="10">
        <f>BS21+BT21</f>
        <v/>
      </c>
      <c r="BW21" s="10">
        <f>BO21</f>
        <v/>
      </c>
      <c r="BX21" s="10">
        <f>#REF!/F21*BQ21</f>
        <v/>
      </c>
      <c r="BY21" s="10">
        <f>I21/F21</f>
        <v/>
      </c>
      <c r="BZ21" s="10">
        <f>H21/F21</f>
        <v/>
      </c>
      <c r="CA21" s="10">
        <f>BU21-SUM(BW21:BZ21)</f>
        <v/>
      </c>
      <c r="CB21" s="10">
        <f>SUM(BW21:CA21)</f>
        <v/>
      </c>
    </row>
    <row r="22">
      <c r="B22" s="14" t="n"/>
      <c r="C22" s="13" t="inlineStr">
        <is>
          <t>Ethanol</t>
        </is>
      </c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1">
        <f>CA22/0.22/14</f>
        <v/>
      </c>
      <c r="O22" s="16" t="n"/>
      <c r="P22" s="16" t="n"/>
      <c r="Q22" s="16" t="n"/>
      <c r="R22" s="16" t="n"/>
      <c r="S22" s="16" t="n"/>
      <c r="T22" s="11" t="n">
        <v>21.9863533</v>
      </c>
      <c r="U22" s="17" t="n"/>
      <c r="V22" s="17" t="n"/>
      <c r="W22" s="16" t="n"/>
      <c r="X22" s="16" t="n"/>
      <c r="Y22" s="16" t="n"/>
      <c r="Z22" s="17" t="n"/>
      <c r="AA22" s="17" t="n"/>
      <c r="AB22" s="17" t="n"/>
      <c r="AC22" s="17" t="n"/>
      <c r="AD22" s="17" t="n"/>
      <c r="AE22" s="17" t="n"/>
      <c r="AF22" s="16" t="n"/>
      <c r="AG22" s="16" t="n"/>
      <c r="AH22" s="16" t="n"/>
      <c r="AI22" s="16" t="n"/>
      <c r="AK22" s="1">
        <f>B22</f>
        <v/>
      </c>
      <c r="AL22" s="1">
        <f>C22</f>
        <v/>
      </c>
      <c r="AM22" s="12">
        <f>SUM(AS22:BA22)+BC22+BD22</f>
        <v/>
      </c>
      <c r="AN22" s="12">
        <f>SUM(AS22:BA22)+BF22+BG22</f>
        <v/>
      </c>
      <c r="AO22" s="5">
        <f>AM22-AN22</f>
        <v/>
      </c>
      <c r="AP22" s="12">
        <f>SUM(AS22:BA22)+BI22+BJ22</f>
        <v/>
      </c>
      <c r="AQ22" s="12">
        <f>SUM(AS22:BA22)+BL22+BM22</f>
        <v/>
      </c>
      <c r="AR22" s="5">
        <f>AP22-AQ22</f>
        <v/>
      </c>
      <c r="AS22" s="5">
        <f>D22/F22*X22</f>
        <v/>
      </c>
      <c r="AT22" s="1">
        <f>#REF!/F22*X22*-1</f>
        <v/>
      </c>
      <c r="AU22" s="1">
        <f>E22/F22*W22</f>
        <v/>
      </c>
      <c r="AV22" s="1">
        <f>1/F22*T22</f>
        <v/>
      </c>
      <c r="AW22" s="1">
        <f>G22/F22*AF22</f>
        <v/>
      </c>
      <c r="AX22" s="1">
        <f>#REF!/F22*AF22*-1</f>
        <v/>
      </c>
      <c r="AY22" s="1">
        <f>J22/F22/(0.9*8760)</f>
        <v/>
      </c>
      <c r="AZ22" s="1">
        <f>K22/F22/(0.9*8760)</f>
        <v/>
      </c>
      <c r="BA22" s="1">
        <f>L22/F22</f>
        <v/>
      </c>
      <c r="BB22" s="1">
        <f>BX22+BY22+BZ22</f>
        <v/>
      </c>
      <c r="BC22" s="1">
        <f>(O22+P22)*-1*H22/F22</f>
        <v/>
      </c>
      <c r="BD22" s="1">
        <f>BB22*O22</f>
        <v/>
      </c>
      <c r="BE22" s="1">
        <f>BX22+BY22</f>
        <v/>
      </c>
      <c r="BF22" s="1">
        <f>P22*H22*-1/F22</f>
        <v/>
      </c>
      <c r="BG22" s="1">
        <f>BE22*O22</f>
        <v/>
      </c>
      <c r="BH22" s="1">
        <f>SUM(BW22:CA22)</f>
        <v/>
      </c>
      <c r="BI22" s="1">
        <f>(O22+P22)*-1*H22/F22</f>
        <v/>
      </c>
      <c r="BJ22" s="1">
        <f>BH22*O22</f>
        <v/>
      </c>
      <c r="BK22" s="1">
        <f>BW22+BX22+BY22+CA22</f>
        <v/>
      </c>
      <c r="BL22" s="1">
        <f>H22/F22*P22*-1</f>
        <v/>
      </c>
      <c r="BM22" s="1">
        <f>O22*BK22</f>
        <v/>
      </c>
      <c r="BO22" s="9" t="n">
        <v>3.14</v>
      </c>
      <c r="BP22" s="10" t="n">
        <v>0.2218110024</v>
      </c>
      <c r="BQ22" s="9" t="n">
        <v>0.18104824</v>
      </c>
      <c r="BS22" s="10">
        <f>1/F22*BP22</f>
        <v/>
      </c>
      <c r="BT22" s="10">
        <f>G22/F22*BQ22</f>
        <v/>
      </c>
      <c r="BU22" s="10">
        <f>BS22+BT22</f>
        <v/>
      </c>
      <c r="BW22" s="10">
        <f>BO22</f>
        <v/>
      </c>
      <c r="BX22" s="10">
        <f>#REF!/F22*BQ22</f>
        <v/>
      </c>
      <c r="BY22" s="10">
        <f>I22/F22</f>
        <v/>
      </c>
      <c r="BZ22" s="10">
        <f>H22/F22</f>
        <v/>
      </c>
      <c r="CA22" s="10">
        <f>BU22-SUM(BW22:BZ22)</f>
        <v/>
      </c>
      <c r="CB22" s="10">
        <f>SUM(BW22:CA22)</f>
        <v/>
      </c>
    </row>
    <row r="23">
      <c r="B23" s="14" t="n"/>
      <c r="C23" s="13" t="inlineStr">
        <is>
          <t>Ethanol</t>
        </is>
      </c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1">
        <f>CA23/0.22/14</f>
        <v/>
      </c>
      <c r="O23" s="16" t="n"/>
      <c r="P23" s="16" t="n"/>
      <c r="Q23" s="16" t="n"/>
      <c r="R23" s="16" t="n"/>
      <c r="S23" s="16" t="n"/>
      <c r="T23" s="11" t="n">
        <v>21.9863533</v>
      </c>
      <c r="U23" s="17" t="n"/>
      <c r="V23" s="17" t="n"/>
      <c r="W23" s="16" t="n"/>
      <c r="X23" s="16" t="n"/>
      <c r="Y23" s="16" t="n"/>
      <c r="Z23" s="17" t="n"/>
      <c r="AA23" s="17" t="n"/>
      <c r="AB23" s="17" t="n"/>
      <c r="AC23" s="17" t="n"/>
      <c r="AD23" s="17" t="n"/>
      <c r="AE23" s="17" t="n"/>
      <c r="AF23" s="16" t="n"/>
      <c r="AG23" s="16" t="n"/>
      <c r="AH23" s="16" t="n"/>
      <c r="AI23" s="16" t="n"/>
      <c r="AK23" s="1">
        <f>B23</f>
        <v/>
      </c>
      <c r="AL23" s="1">
        <f>C23</f>
        <v/>
      </c>
      <c r="AM23" s="12">
        <f>SUM(AS23:BA23)+BC23+BD23</f>
        <v/>
      </c>
      <c r="AN23" s="12">
        <f>SUM(AS23:BA23)+BF23+BG23</f>
        <v/>
      </c>
      <c r="AO23" s="5">
        <f>AM23-AN23</f>
        <v/>
      </c>
      <c r="AP23" s="12">
        <f>SUM(AS23:BA23)+BI23+BJ23</f>
        <v/>
      </c>
      <c r="AQ23" s="12">
        <f>SUM(AS23:BA23)+BL23+BM23</f>
        <v/>
      </c>
      <c r="AR23" s="5">
        <f>AP23-AQ23</f>
        <v/>
      </c>
      <c r="AS23" s="5">
        <f>D23/F23*X23</f>
        <v/>
      </c>
      <c r="AT23" s="1">
        <f>#REF!/F23*X23*-1</f>
        <v/>
      </c>
      <c r="AU23" s="1">
        <f>E23/F23*W23</f>
        <v/>
      </c>
      <c r="AV23" s="1">
        <f>1/F23*T23</f>
        <v/>
      </c>
      <c r="AW23" s="1">
        <f>G23/F23*AF23</f>
        <v/>
      </c>
      <c r="AX23" s="1">
        <f>#REF!/F23*AF23*-1</f>
        <v/>
      </c>
      <c r="AY23" s="1">
        <f>J23/F23/(0.9*8760)</f>
        <v/>
      </c>
      <c r="AZ23" s="1">
        <f>K23/F23/(0.9*8760)</f>
        <v/>
      </c>
      <c r="BA23" s="1">
        <f>L23/F23</f>
        <v/>
      </c>
      <c r="BB23" s="1">
        <f>BX23+BY23+BZ23</f>
        <v/>
      </c>
      <c r="BC23" s="1">
        <f>(O23+P23)*-1*H23/F23</f>
        <v/>
      </c>
      <c r="BD23" s="1">
        <f>BB23*O23</f>
        <v/>
      </c>
      <c r="BE23" s="1">
        <f>BX23+BY23</f>
        <v/>
      </c>
      <c r="BF23" s="1">
        <f>P23*H23*-1/F23</f>
        <v/>
      </c>
      <c r="BG23" s="1">
        <f>BE23*O23</f>
        <v/>
      </c>
      <c r="BH23" s="1">
        <f>SUM(BW23:CA23)</f>
        <v/>
      </c>
      <c r="BI23" s="1">
        <f>(O23+P23)*-1*H23/F23</f>
        <v/>
      </c>
      <c r="BJ23" s="1">
        <f>BH23*O23</f>
        <v/>
      </c>
      <c r="BK23" s="1">
        <f>BW23+BX23+BY23+CA23</f>
        <v/>
      </c>
      <c r="BL23" s="1">
        <f>H23/F23*P23*-1</f>
        <v/>
      </c>
      <c r="BM23" s="1">
        <f>O23*BK23</f>
        <v/>
      </c>
      <c r="BO23" s="9" t="n">
        <v>3.14</v>
      </c>
      <c r="BP23" s="10" t="n">
        <v>0.2218110024</v>
      </c>
      <c r="BQ23" s="9" t="n">
        <v>0.18104824</v>
      </c>
      <c r="BS23" s="10">
        <f>1/F23*BP23</f>
        <v/>
      </c>
      <c r="BT23" s="10">
        <f>G23/F23*BQ23</f>
        <v/>
      </c>
      <c r="BU23" s="10">
        <f>BS23+BT23</f>
        <v/>
      </c>
      <c r="BW23" s="10">
        <f>BO23</f>
        <v/>
      </c>
      <c r="BX23" s="10">
        <f>#REF!/F23*BQ23</f>
        <v/>
      </c>
      <c r="BY23" s="10">
        <f>I23/F23</f>
        <v/>
      </c>
      <c r="BZ23" s="10">
        <f>H23/F23</f>
        <v/>
      </c>
      <c r="CA23" s="10">
        <f>BU23-SUM(BW23:BZ23)</f>
        <v/>
      </c>
      <c r="CB23" s="10">
        <f>SUM(BW23:CA23)</f>
        <v/>
      </c>
    </row>
    <row r="24">
      <c r="B24" s="14" t="n"/>
      <c r="C24" s="13" t="inlineStr">
        <is>
          <t>Ethanol</t>
        </is>
      </c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1">
        <f>CA24/0.22/14</f>
        <v/>
      </c>
      <c r="O24" s="16" t="n"/>
      <c r="P24" s="16" t="n"/>
      <c r="Q24" s="16" t="n"/>
      <c r="R24" s="16" t="n"/>
      <c r="S24" s="16" t="n"/>
      <c r="T24" s="11" t="n">
        <v>21.9863533</v>
      </c>
      <c r="U24" s="17" t="n"/>
      <c r="V24" s="17" t="n"/>
      <c r="W24" s="16" t="n"/>
      <c r="X24" s="16" t="n"/>
      <c r="Y24" s="16" t="n"/>
      <c r="Z24" s="17" t="n"/>
      <c r="AA24" s="17" t="n"/>
      <c r="AB24" s="17" t="n"/>
      <c r="AC24" s="17" t="n"/>
      <c r="AD24" s="17" t="n"/>
      <c r="AE24" s="17" t="n"/>
      <c r="AF24" s="16" t="n"/>
      <c r="AG24" s="16" t="n"/>
      <c r="AH24" s="16" t="n"/>
      <c r="AI24" s="16" t="n"/>
      <c r="AK24" s="1">
        <f>B24</f>
        <v/>
      </c>
      <c r="AL24" s="1">
        <f>C24</f>
        <v/>
      </c>
      <c r="AM24" s="12">
        <f>SUM(AS24:BA24)+BC24+BD24</f>
        <v/>
      </c>
      <c r="AN24" s="12">
        <f>SUM(AS24:BA24)+BF24+BG24</f>
        <v/>
      </c>
      <c r="AO24" s="5">
        <f>AM24-AN24</f>
        <v/>
      </c>
      <c r="AP24" s="12">
        <f>SUM(AS24:BA24)+BI24+BJ24</f>
        <v/>
      </c>
      <c r="AQ24" s="12">
        <f>SUM(AS24:BA24)+BL24+BM24</f>
        <v/>
      </c>
      <c r="AR24" s="5">
        <f>AP24-AQ24</f>
        <v/>
      </c>
      <c r="AS24" s="5">
        <f>D24/F24*X24</f>
        <v/>
      </c>
      <c r="AT24" s="1">
        <f>#REF!/F24*X24*-1</f>
        <v/>
      </c>
      <c r="AU24" s="1">
        <f>E24/F24*W24</f>
        <v/>
      </c>
      <c r="AV24" s="1">
        <f>1/F24*T24</f>
        <v/>
      </c>
      <c r="AW24" s="1">
        <f>G24/F24*AF24</f>
        <v/>
      </c>
      <c r="AX24" s="1">
        <f>#REF!/F24*AF24*-1</f>
        <v/>
      </c>
      <c r="AY24" s="1">
        <f>J24/F24/(0.9*8760)</f>
        <v/>
      </c>
      <c r="AZ24" s="1">
        <f>K24/F24/(0.9*8760)</f>
        <v/>
      </c>
      <c r="BA24" s="1">
        <f>L24/F24</f>
        <v/>
      </c>
      <c r="BB24" s="1">
        <f>BX24+BY24+BZ24</f>
        <v/>
      </c>
      <c r="BC24" s="1">
        <f>(O24+P24)*-1*H24/F24</f>
        <v/>
      </c>
      <c r="BD24" s="1">
        <f>BB24*O24</f>
        <v/>
      </c>
      <c r="BE24" s="1">
        <f>BX24+BY24</f>
        <v/>
      </c>
      <c r="BF24" s="1">
        <f>P24*H24*-1/F24</f>
        <v/>
      </c>
      <c r="BG24" s="1">
        <f>BE24*O24</f>
        <v/>
      </c>
      <c r="BH24" s="1">
        <f>SUM(BW24:CA24)</f>
        <v/>
      </c>
      <c r="BI24" s="1">
        <f>(O24+P24)*-1*H24/F24</f>
        <v/>
      </c>
      <c r="BJ24" s="1">
        <f>BH24*O24</f>
        <v/>
      </c>
      <c r="BK24" s="1">
        <f>BW24+BX24+BY24+CA24</f>
        <v/>
      </c>
      <c r="BL24" s="1">
        <f>H24/F24*P24*-1</f>
        <v/>
      </c>
      <c r="BM24" s="1">
        <f>O24*BK24</f>
        <v/>
      </c>
      <c r="BO24" s="9" t="n">
        <v>3.14</v>
      </c>
      <c r="BP24" s="10" t="n">
        <v>0.2218110024</v>
      </c>
      <c r="BQ24" s="9" t="n">
        <v>0.18104824</v>
      </c>
      <c r="BS24" s="10">
        <f>1/F24*BP24</f>
        <v/>
      </c>
      <c r="BT24" s="10">
        <f>G24/F24*BQ24</f>
        <v/>
      </c>
      <c r="BU24" s="10">
        <f>BS24+BT24</f>
        <v/>
      </c>
      <c r="BW24" s="10">
        <f>BO24</f>
        <v/>
      </c>
      <c r="BX24" s="10">
        <f>#REF!/F24*BQ24</f>
        <v/>
      </c>
      <c r="BY24" s="10">
        <f>I24/F24</f>
        <v/>
      </c>
      <c r="BZ24" s="10">
        <f>H24/F24</f>
        <v/>
      </c>
      <c r="CA24" s="10">
        <f>BU24-SUM(BW24:BZ24)</f>
        <v/>
      </c>
      <c r="CB24" s="10">
        <f>SUM(BW24:CA24)</f>
        <v/>
      </c>
    </row>
    <row r="25">
      <c r="B25" s="14" t="n"/>
      <c r="C25" s="13" t="inlineStr">
        <is>
          <t>Ethanol</t>
        </is>
      </c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1">
        <f>CA25/0.22/14</f>
        <v/>
      </c>
      <c r="O25" s="16" t="n"/>
      <c r="P25" s="16" t="n"/>
      <c r="Q25" s="16" t="n"/>
      <c r="R25" s="16" t="n"/>
      <c r="S25" s="16" t="n"/>
      <c r="T25" s="11" t="n">
        <v>21.9863533</v>
      </c>
      <c r="U25" s="17" t="n"/>
      <c r="V25" s="17" t="n"/>
      <c r="W25" s="16" t="n"/>
      <c r="X25" s="16" t="n"/>
      <c r="Y25" s="16" t="n"/>
      <c r="Z25" s="17" t="n"/>
      <c r="AA25" s="17" t="n"/>
      <c r="AB25" s="17" t="n"/>
      <c r="AC25" s="17" t="n"/>
      <c r="AD25" s="17" t="n"/>
      <c r="AE25" s="17" t="n"/>
      <c r="AF25" s="16" t="n"/>
      <c r="AG25" s="16" t="n"/>
      <c r="AH25" s="16" t="n"/>
      <c r="AI25" s="16" t="n"/>
      <c r="AK25" s="1">
        <f>B25</f>
        <v/>
      </c>
      <c r="AL25" s="1">
        <f>C25</f>
        <v/>
      </c>
      <c r="AM25" s="12">
        <f>SUM(AS25:BA25)+BC25+BD25</f>
        <v/>
      </c>
      <c r="AN25" s="12">
        <f>SUM(AS25:BA25)+BF25+BG25</f>
        <v/>
      </c>
      <c r="AO25" s="5">
        <f>AM25-AN25</f>
        <v/>
      </c>
      <c r="AP25" s="12">
        <f>SUM(AS25:BA25)+BI25+BJ25</f>
        <v/>
      </c>
      <c r="AQ25" s="12">
        <f>SUM(AS25:BA25)+BL25+BM25</f>
        <v/>
      </c>
      <c r="AR25" s="5">
        <f>AP25-AQ25</f>
        <v/>
      </c>
      <c r="AS25" s="5">
        <f>D25/F25*X25</f>
        <v/>
      </c>
      <c r="AT25" s="1">
        <f>#REF!/F25*X25*-1</f>
        <v/>
      </c>
      <c r="AU25" s="1">
        <f>E25/F25*W25</f>
        <v/>
      </c>
      <c r="AV25" s="1">
        <f>1/F25*T25</f>
        <v/>
      </c>
      <c r="AW25" s="1">
        <f>G25/F25*AF25</f>
        <v/>
      </c>
      <c r="AX25" s="1">
        <f>#REF!/F25*AF25*-1</f>
        <v/>
      </c>
      <c r="AY25" s="1">
        <f>J25/F25/(0.9*8760)</f>
        <v/>
      </c>
      <c r="AZ25" s="1">
        <f>K25/F25/(0.9*8760)</f>
        <v/>
      </c>
      <c r="BA25" s="1">
        <f>L25/F25</f>
        <v/>
      </c>
      <c r="BB25" s="1">
        <f>BX25+BY25+BZ25</f>
        <v/>
      </c>
      <c r="BC25" s="1">
        <f>(O25+P25)*-1*H25/F25</f>
        <v/>
      </c>
      <c r="BD25" s="1">
        <f>BB25*O25</f>
        <v/>
      </c>
      <c r="BE25" s="1">
        <f>BX25+BY25</f>
        <v/>
      </c>
      <c r="BF25" s="1">
        <f>P25*H25*-1/F25</f>
        <v/>
      </c>
      <c r="BG25" s="1">
        <f>BE25*O25</f>
        <v/>
      </c>
      <c r="BH25" s="1">
        <f>SUM(BW25:CA25)</f>
        <v/>
      </c>
      <c r="BI25" s="1">
        <f>(O25+P25)*-1*H25/F25</f>
        <v/>
      </c>
      <c r="BJ25" s="1">
        <f>BH25*O25</f>
        <v/>
      </c>
      <c r="BK25" s="1">
        <f>BW25+BX25+BY25+CA25</f>
        <v/>
      </c>
      <c r="BL25" s="1">
        <f>H25/F25*P25*-1</f>
        <v/>
      </c>
      <c r="BM25" s="1">
        <f>O25*BK25</f>
        <v/>
      </c>
      <c r="BO25" s="9" t="n">
        <v>3.14</v>
      </c>
      <c r="BP25" s="10" t="n">
        <v>0.2218110024</v>
      </c>
      <c r="BQ25" s="9" t="n">
        <v>0.18104824</v>
      </c>
      <c r="BS25" s="10">
        <f>1/F25*BP25</f>
        <v/>
      </c>
      <c r="BT25" s="10">
        <f>G25/F25*BQ25</f>
        <v/>
      </c>
      <c r="BU25" s="10">
        <f>BS25+BT25</f>
        <v/>
      </c>
      <c r="BW25" s="10">
        <f>BO25</f>
        <v/>
      </c>
      <c r="BX25" s="10">
        <f>#REF!/F25*BQ25</f>
        <v/>
      </c>
      <c r="BY25" s="10">
        <f>I25/F25</f>
        <v/>
      </c>
      <c r="BZ25" s="10">
        <f>H25/F25</f>
        <v/>
      </c>
      <c r="CA25" s="10">
        <f>BU25-SUM(BW25:BZ25)</f>
        <v/>
      </c>
      <c r="CB25" s="10">
        <f>SUM(BW25:CA25)</f>
        <v/>
      </c>
    </row>
    <row r="26">
      <c r="B26" s="14" t="n"/>
      <c r="C26" s="13" t="inlineStr">
        <is>
          <t>Ethanol</t>
        </is>
      </c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1">
        <f>CA26/0.22/14</f>
        <v/>
      </c>
      <c r="O26" s="16" t="n"/>
      <c r="P26" s="16" t="n"/>
      <c r="Q26" s="16" t="n"/>
      <c r="R26" s="16" t="n"/>
      <c r="S26" s="16" t="n"/>
      <c r="T26" s="11" t="n">
        <v>21.9863533</v>
      </c>
      <c r="U26" s="17" t="n"/>
      <c r="V26" s="17" t="n"/>
      <c r="W26" s="16" t="n"/>
      <c r="X26" s="16" t="n"/>
      <c r="Y26" s="16" t="n"/>
      <c r="Z26" s="17" t="n"/>
      <c r="AA26" s="17" t="n"/>
      <c r="AB26" s="17" t="n"/>
      <c r="AC26" s="17" t="n"/>
      <c r="AD26" s="17" t="n"/>
      <c r="AE26" s="17" t="n"/>
      <c r="AF26" s="16" t="n"/>
      <c r="AG26" s="16" t="n"/>
      <c r="AH26" s="16" t="n"/>
      <c r="AI26" s="16" t="n"/>
      <c r="AK26" s="1">
        <f>B26</f>
        <v/>
      </c>
      <c r="AL26" s="1">
        <f>C26</f>
        <v/>
      </c>
      <c r="AM26" s="12">
        <f>SUM(AS26:BA26)+BC26+BD26</f>
        <v/>
      </c>
      <c r="AN26" s="12">
        <f>SUM(AS26:BA26)+BF26+BG26</f>
        <v/>
      </c>
      <c r="AO26" s="5">
        <f>AM26-AN26</f>
        <v/>
      </c>
      <c r="AP26" s="12">
        <f>SUM(AS26:BA26)+BI26+BJ26</f>
        <v/>
      </c>
      <c r="AQ26" s="12">
        <f>SUM(AS26:BA26)+BL26+BM26</f>
        <v/>
      </c>
      <c r="AR26" s="5">
        <f>AP26-AQ26</f>
        <v/>
      </c>
      <c r="AS26" s="5">
        <f>D26/F26*X26</f>
        <v/>
      </c>
      <c r="AT26" s="1">
        <f>#REF!/F26*X26*-1</f>
        <v/>
      </c>
      <c r="AU26" s="1">
        <f>E26/F26*W26</f>
        <v/>
      </c>
      <c r="AV26" s="1">
        <f>1/F26*T26</f>
        <v/>
      </c>
      <c r="AW26" s="1">
        <f>G26/F26*AF26</f>
        <v/>
      </c>
      <c r="AX26" s="1">
        <f>#REF!/F26*AF26*-1</f>
        <v/>
      </c>
      <c r="AY26" s="1">
        <f>J26/F26/(0.9*8760)</f>
        <v/>
      </c>
      <c r="AZ26" s="1">
        <f>K26/F26/(0.9*8760)</f>
        <v/>
      </c>
      <c r="BA26" s="1">
        <f>L26/F26</f>
        <v/>
      </c>
      <c r="BB26" s="1">
        <f>BX26+BY26+BZ26</f>
        <v/>
      </c>
      <c r="BC26" s="1">
        <f>(O26+P26)*-1*H26/F26</f>
        <v/>
      </c>
      <c r="BD26" s="1">
        <f>BB26*O26</f>
        <v/>
      </c>
      <c r="BE26" s="1">
        <f>BX26+BY26</f>
        <v/>
      </c>
      <c r="BF26" s="1">
        <f>P26*H26*-1/F26</f>
        <v/>
      </c>
      <c r="BG26" s="1">
        <f>BE26*O26</f>
        <v/>
      </c>
      <c r="BH26" s="1">
        <f>SUM(BW26:CA26)</f>
        <v/>
      </c>
      <c r="BI26" s="1">
        <f>(O26+P26)*-1*H26/F26</f>
        <v/>
      </c>
      <c r="BJ26" s="1">
        <f>BH26*O26</f>
        <v/>
      </c>
      <c r="BK26" s="1">
        <f>BW26+BX26+BY26+CA26</f>
        <v/>
      </c>
      <c r="BL26" s="1">
        <f>H26/F26*P26*-1</f>
        <v/>
      </c>
      <c r="BM26" s="1">
        <f>O26*BK26</f>
        <v/>
      </c>
      <c r="BO26" s="9" t="n">
        <v>3.14</v>
      </c>
      <c r="BP26" s="10" t="n">
        <v>0.2218110024</v>
      </c>
      <c r="BQ26" s="9" t="n">
        <v>0.18104824</v>
      </c>
      <c r="BS26" s="10">
        <f>1/F26*BP26</f>
        <v/>
      </c>
      <c r="BT26" s="10">
        <f>G26/F26*BQ26</f>
        <v/>
      </c>
      <c r="BU26" s="10">
        <f>BS26+BT26</f>
        <v/>
      </c>
      <c r="BW26" s="10">
        <f>BO26</f>
        <v/>
      </c>
      <c r="BX26" s="10">
        <f>#REF!/F26*BQ26</f>
        <v/>
      </c>
      <c r="BY26" s="10">
        <f>I26/F26</f>
        <v/>
      </c>
      <c r="BZ26" s="10">
        <f>H26/F26</f>
        <v/>
      </c>
      <c r="CA26" s="10">
        <f>BU26-SUM(BW26:BZ26)</f>
        <v/>
      </c>
      <c r="CB26" s="10">
        <f>SUM(BW26:CA26)</f>
        <v/>
      </c>
    </row>
    <row r="27">
      <c r="B27" s="14" t="n"/>
      <c r="C27" s="13" t="inlineStr">
        <is>
          <t>Ethanol</t>
        </is>
      </c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1">
        <f>CA27/0.22/14</f>
        <v/>
      </c>
      <c r="O27" s="16" t="n"/>
      <c r="P27" s="16" t="n"/>
      <c r="Q27" s="16" t="n"/>
      <c r="R27" s="16" t="n"/>
      <c r="S27" s="16" t="n"/>
      <c r="T27" s="11" t="n">
        <v>21.9863533</v>
      </c>
      <c r="U27" s="17" t="n"/>
      <c r="V27" s="17" t="n"/>
      <c r="W27" s="16" t="n"/>
      <c r="X27" s="16" t="n"/>
      <c r="Y27" s="16" t="n"/>
      <c r="Z27" s="17" t="n"/>
      <c r="AA27" s="17" t="n"/>
      <c r="AB27" s="17" t="n"/>
      <c r="AC27" s="17" t="n"/>
      <c r="AD27" s="17" t="n"/>
      <c r="AE27" s="17" t="n"/>
      <c r="AF27" s="16" t="n"/>
      <c r="AG27" s="16" t="n"/>
      <c r="AH27" s="16" t="n"/>
      <c r="AI27" s="16" t="n"/>
      <c r="AK27" s="1">
        <f>B27</f>
        <v/>
      </c>
      <c r="AL27" s="1">
        <f>C27</f>
        <v/>
      </c>
      <c r="AM27" s="12">
        <f>SUM(AS27:BA27)+BC27+BD27</f>
        <v/>
      </c>
      <c r="AN27" s="12">
        <f>SUM(AS27:BA27)+BF27+BG27</f>
        <v/>
      </c>
      <c r="AO27" s="5">
        <f>AM27-AN27</f>
        <v/>
      </c>
      <c r="AP27" s="12">
        <f>SUM(AS27:BA27)+BI27+BJ27</f>
        <v/>
      </c>
      <c r="AQ27" s="12">
        <f>SUM(AS27:BA27)+BL27+BM27</f>
        <v/>
      </c>
      <c r="AR27" s="5">
        <f>AP27-AQ27</f>
        <v/>
      </c>
      <c r="AS27" s="5">
        <f>D27/F27*X27</f>
        <v/>
      </c>
      <c r="AT27" s="1">
        <f>#REF!/F27*X27*-1</f>
        <v/>
      </c>
      <c r="AU27" s="1">
        <f>E27/F27*W27</f>
        <v/>
      </c>
      <c r="AV27" s="1">
        <f>1/F27*T27</f>
        <v/>
      </c>
      <c r="AW27" s="1">
        <f>G27/F27*AF27</f>
        <v/>
      </c>
      <c r="AX27" s="1">
        <f>#REF!/F27*AF27*-1</f>
        <v/>
      </c>
      <c r="AY27" s="1">
        <f>J27/F27/(0.9*8760)</f>
        <v/>
      </c>
      <c r="AZ27" s="1">
        <f>K27/F27/(0.9*8760)</f>
        <v/>
      </c>
      <c r="BA27" s="1">
        <f>L27/F27</f>
        <v/>
      </c>
      <c r="BB27" s="1">
        <f>BX27+BY27+BZ27</f>
        <v/>
      </c>
      <c r="BC27" s="1">
        <f>(O27+P27)*-1*H27/F27</f>
        <v/>
      </c>
      <c r="BD27" s="1">
        <f>BB27*O27</f>
        <v/>
      </c>
      <c r="BE27" s="1">
        <f>BX27+BY27</f>
        <v/>
      </c>
      <c r="BF27" s="1">
        <f>P27*H27*-1/F27</f>
        <v/>
      </c>
      <c r="BG27" s="1">
        <f>BE27*O27</f>
        <v/>
      </c>
      <c r="BH27" s="1">
        <f>SUM(BW27:CA27)</f>
        <v/>
      </c>
      <c r="BI27" s="1">
        <f>(O27+P27)*-1*H27/F27</f>
        <v/>
      </c>
      <c r="BJ27" s="1">
        <f>BH27*O27</f>
        <v/>
      </c>
      <c r="BK27" s="1">
        <f>BW27+BX27+BY27+CA27</f>
        <v/>
      </c>
      <c r="BL27" s="1">
        <f>H27/F27*P27*-1</f>
        <v/>
      </c>
      <c r="BM27" s="1">
        <f>O27*BK27</f>
        <v/>
      </c>
      <c r="BO27" s="9" t="n">
        <v>3.14</v>
      </c>
      <c r="BP27" s="10" t="n">
        <v>0.2218110024</v>
      </c>
      <c r="BQ27" s="9" t="n">
        <v>0.18104824</v>
      </c>
      <c r="BS27" s="10">
        <f>1/F27*BP27</f>
        <v/>
      </c>
      <c r="BT27" s="10">
        <f>G27/F27*BQ27</f>
        <v/>
      </c>
      <c r="BU27" s="10">
        <f>BS27+BT27</f>
        <v/>
      </c>
      <c r="BW27" s="10">
        <f>BO27</f>
        <v/>
      </c>
      <c r="BX27" s="10">
        <f>#REF!/F27*BQ27</f>
        <v/>
      </c>
      <c r="BY27" s="10">
        <f>I27/F27</f>
        <v/>
      </c>
      <c r="BZ27" s="10">
        <f>H27/F27</f>
        <v/>
      </c>
      <c r="CA27" s="10">
        <f>BU27-SUM(BW27:BZ27)</f>
        <v/>
      </c>
      <c r="CB27" s="10">
        <f>SUM(BW27:CA27)</f>
        <v/>
      </c>
    </row>
    <row r="28">
      <c r="B28" s="14" t="n"/>
      <c r="C28" s="13" t="inlineStr">
        <is>
          <t>Ethanol</t>
        </is>
      </c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1">
        <f>CA28/0.22/14</f>
        <v/>
      </c>
      <c r="O28" s="16" t="n"/>
      <c r="P28" s="16" t="n"/>
      <c r="Q28" s="16" t="n"/>
      <c r="R28" s="16" t="n"/>
      <c r="S28" s="16" t="n"/>
      <c r="T28" s="11" t="n">
        <v>21.9863533</v>
      </c>
      <c r="U28" s="17" t="n"/>
      <c r="V28" s="17" t="n"/>
      <c r="W28" s="16" t="n"/>
      <c r="X28" s="16" t="n"/>
      <c r="Y28" s="16" t="n"/>
      <c r="Z28" s="17" t="n"/>
      <c r="AA28" s="17" t="n"/>
      <c r="AB28" s="17" t="n"/>
      <c r="AC28" s="17" t="n"/>
      <c r="AD28" s="17" t="n"/>
      <c r="AE28" s="17" t="n"/>
      <c r="AF28" s="16" t="n"/>
      <c r="AG28" s="16" t="n"/>
      <c r="AH28" s="16" t="n"/>
      <c r="AI28" s="16" t="n"/>
      <c r="AK28" s="1">
        <f>B28</f>
        <v/>
      </c>
      <c r="AL28" s="1">
        <f>C28</f>
        <v/>
      </c>
      <c r="AM28" s="12">
        <f>SUM(AS28:BA28)+BC28+BD28</f>
        <v/>
      </c>
      <c r="AN28" s="12">
        <f>SUM(AS28:BA28)+BF28+BG28</f>
        <v/>
      </c>
      <c r="AO28" s="5">
        <f>AM28-AN28</f>
        <v/>
      </c>
      <c r="AP28" s="12">
        <f>SUM(AS28:BA28)+BI28+BJ28</f>
        <v/>
      </c>
      <c r="AQ28" s="12">
        <f>SUM(AS28:BA28)+BL28+BM28</f>
        <v/>
      </c>
      <c r="AR28" s="5">
        <f>AP28-AQ28</f>
        <v/>
      </c>
      <c r="AS28" s="5">
        <f>D28/F28*X28</f>
        <v/>
      </c>
      <c r="AT28" s="1">
        <f>#REF!/F28*X28*-1</f>
        <v/>
      </c>
      <c r="AU28" s="1">
        <f>E28/F28*W28</f>
        <v/>
      </c>
      <c r="AV28" s="1">
        <f>1/F28*T28</f>
        <v/>
      </c>
      <c r="AW28" s="1">
        <f>G28/F28*AF28</f>
        <v/>
      </c>
      <c r="AX28" s="1">
        <f>#REF!/F28*AF28*-1</f>
        <v/>
      </c>
      <c r="AY28" s="1">
        <f>J28/F28/(0.9*8760)</f>
        <v/>
      </c>
      <c r="AZ28" s="1">
        <f>K28/F28/(0.9*8760)</f>
        <v/>
      </c>
      <c r="BA28" s="1">
        <f>L28/F28</f>
        <v/>
      </c>
      <c r="BB28" s="1">
        <f>BX28+BY28+BZ28</f>
        <v/>
      </c>
      <c r="BC28" s="1">
        <f>(O28+P28)*-1*H28/F28</f>
        <v/>
      </c>
      <c r="BD28" s="1">
        <f>BB28*O28</f>
        <v/>
      </c>
      <c r="BE28" s="1">
        <f>BX28+BY28</f>
        <v/>
      </c>
      <c r="BF28" s="1">
        <f>P28*H28*-1/F28</f>
        <v/>
      </c>
      <c r="BG28" s="1">
        <f>BE28*O28</f>
        <v/>
      </c>
      <c r="BH28" s="1">
        <f>SUM(BW28:CA28)</f>
        <v/>
      </c>
      <c r="BI28" s="1">
        <f>(O28+P28)*-1*H28/F28</f>
        <v/>
      </c>
      <c r="BJ28" s="1">
        <f>BH28*O28</f>
        <v/>
      </c>
      <c r="BK28" s="1">
        <f>BW28+BX28+BY28+CA28</f>
        <v/>
      </c>
      <c r="BL28" s="1">
        <f>H28/F28*P28*-1</f>
        <v/>
      </c>
      <c r="BM28" s="1">
        <f>O28*BK28</f>
        <v/>
      </c>
      <c r="BO28" s="9" t="n">
        <v>3.14</v>
      </c>
      <c r="BP28" s="10" t="n">
        <v>0.2218110024</v>
      </c>
      <c r="BQ28" s="9" t="n">
        <v>0.18104824</v>
      </c>
      <c r="BS28" s="10">
        <f>1/F28*BP28</f>
        <v/>
      </c>
      <c r="BT28" s="10">
        <f>G28/F28*BQ28</f>
        <v/>
      </c>
      <c r="BU28" s="10">
        <f>BS28+BT28</f>
        <v/>
      </c>
      <c r="BW28" s="10">
        <f>BO28</f>
        <v/>
      </c>
      <c r="BX28" s="10">
        <f>#REF!/F28*BQ28</f>
        <v/>
      </c>
      <c r="BY28" s="10">
        <f>I28/F28</f>
        <v/>
      </c>
      <c r="BZ28" s="10">
        <f>H28/F28</f>
        <v/>
      </c>
      <c r="CA28" s="10">
        <f>BU28-SUM(BW28:BZ28)</f>
        <v/>
      </c>
      <c r="CB28" s="10">
        <f>SUM(BW28:CA28)</f>
        <v/>
      </c>
    </row>
    <row r="29">
      <c r="B29" s="14" t="n"/>
      <c r="C29" s="13" t="inlineStr">
        <is>
          <t>Ethanol</t>
        </is>
      </c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1">
        <f>CA29/0.22/14</f>
        <v/>
      </c>
      <c r="O29" s="16" t="n"/>
      <c r="P29" s="16" t="n"/>
      <c r="Q29" s="16" t="n"/>
      <c r="R29" s="16" t="n"/>
      <c r="S29" s="16" t="n"/>
      <c r="T29" s="11" t="n">
        <v>21.9863533</v>
      </c>
      <c r="U29" s="17" t="n"/>
      <c r="V29" s="17" t="n"/>
      <c r="W29" s="16" t="n"/>
      <c r="X29" s="16" t="n"/>
      <c r="Y29" s="16" t="n"/>
      <c r="Z29" s="17" t="n"/>
      <c r="AA29" s="17" t="n"/>
      <c r="AB29" s="17" t="n"/>
      <c r="AC29" s="17" t="n"/>
      <c r="AD29" s="17" t="n"/>
      <c r="AE29" s="17" t="n"/>
      <c r="AF29" s="16" t="n"/>
      <c r="AG29" s="16" t="n"/>
      <c r="AH29" s="16" t="n"/>
      <c r="AI29" s="16" t="n"/>
      <c r="AK29" s="1">
        <f>B29</f>
        <v/>
      </c>
      <c r="AL29" s="1">
        <f>C29</f>
        <v/>
      </c>
      <c r="AM29" s="12">
        <f>SUM(AS29:BA29)+BC29+BD29</f>
        <v/>
      </c>
      <c r="AN29" s="12">
        <f>SUM(AS29:BA29)+BF29+BG29</f>
        <v/>
      </c>
      <c r="AO29" s="5">
        <f>AM29-AN29</f>
        <v/>
      </c>
      <c r="AP29" s="12">
        <f>SUM(AS29:BA29)+BI29+BJ29</f>
        <v/>
      </c>
      <c r="AQ29" s="12">
        <f>SUM(AS29:BA29)+BL29+BM29</f>
        <v/>
      </c>
      <c r="AR29" s="5">
        <f>AP29-AQ29</f>
        <v/>
      </c>
      <c r="AS29" s="5">
        <f>D29/F29*X29</f>
        <v/>
      </c>
      <c r="AT29" s="1">
        <f>#REF!/F29*X29*-1</f>
        <v/>
      </c>
      <c r="AU29" s="1">
        <f>E29/F29*W29</f>
        <v/>
      </c>
      <c r="AV29" s="1">
        <f>1/F29*T29</f>
        <v/>
      </c>
      <c r="AW29" s="1">
        <f>G29/F29*AF29</f>
        <v/>
      </c>
      <c r="AX29" s="1">
        <f>#REF!/F29*AF29*-1</f>
        <v/>
      </c>
      <c r="AY29" s="1">
        <f>J29/F29/(0.9*8760)</f>
        <v/>
      </c>
      <c r="AZ29" s="1">
        <f>K29/F29/(0.9*8760)</f>
        <v/>
      </c>
      <c r="BA29" s="1">
        <f>L29/F29</f>
        <v/>
      </c>
      <c r="BB29" s="1">
        <f>BX29+BY29+BZ29</f>
        <v/>
      </c>
      <c r="BC29" s="1">
        <f>(O29+P29)*-1*H29/F29</f>
        <v/>
      </c>
      <c r="BD29" s="1">
        <f>BB29*O29</f>
        <v/>
      </c>
      <c r="BE29" s="1">
        <f>BX29+BY29</f>
        <v/>
      </c>
      <c r="BF29" s="1">
        <f>P29*H29*-1/F29</f>
        <v/>
      </c>
      <c r="BG29" s="1">
        <f>BE29*O29</f>
        <v/>
      </c>
      <c r="BH29" s="1">
        <f>SUM(BW29:CA29)</f>
        <v/>
      </c>
      <c r="BI29" s="1">
        <f>(O29+P29)*-1*H29/F29</f>
        <v/>
      </c>
      <c r="BJ29" s="1">
        <f>BH29*O29</f>
        <v/>
      </c>
      <c r="BK29" s="1">
        <f>BW29+BX29+BY29+CA29</f>
        <v/>
      </c>
      <c r="BL29" s="1">
        <f>H29/F29*P29*-1</f>
        <v/>
      </c>
      <c r="BM29" s="1">
        <f>O29*BK29</f>
        <v/>
      </c>
      <c r="BO29" s="9" t="n">
        <v>3.14</v>
      </c>
      <c r="BP29" s="10" t="n">
        <v>0.2218110024</v>
      </c>
      <c r="BQ29" s="9" t="n">
        <v>0.18104824</v>
      </c>
      <c r="BS29" s="10">
        <f>1/F29*BP29</f>
        <v/>
      </c>
      <c r="BT29" s="10">
        <f>G29/F29*BQ29</f>
        <v/>
      </c>
      <c r="BU29" s="10">
        <f>BS29+BT29</f>
        <v/>
      </c>
      <c r="BW29" s="10">
        <f>BO29</f>
        <v/>
      </c>
      <c r="BX29" s="10">
        <f>#REF!/F29*BQ29</f>
        <v/>
      </c>
      <c r="BY29" s="10">
        <f>I29/F29</f>
        <v/>
      </c>
      <c r="BZ29" s="10">
        <f>H29/F29</f>
        <v/>
      </c>
      <c r="CA29" s="10">
        <f>BU29-SUM(BW29:BZ29)</f>
        <v/>
      </c>
      <c r="CB29" s="10">
        <f>SUM(BW29:CA29)</f>
        <v/>
      </c>
    </row>
    <row r="30">
      <c r="B30" s="14" t="n"/>
      <c r="C30" s="13" t="inlineStr">
        <is>
          <t>Ethanol</t>
        </is>
      </c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1">
        <f>CA30/0.22/14</f>
        <v/>
      </c>
      <c r="O30" s="16" t="n"/>
      <c r="P30" s="16" t="n"/>
      <c r="Q30" s="16" t="n"/>
      <c r="R30" s="16" t="n"/>
      <c r="S30" s="16" t="n"/>
      <c r="T30" s="11" t="n">
        <v>21.9863533</v>
      </c>
      <c r="U30" s="17" t="n"/>
      <c r="V30" s="17" t="n"/>
      <c r="W30" s="16" t="n"/>
      <c r="X30" s="16" t="n"/>
      <c r="Y30" s="16" t="n"/>
      <c r="Z30" s="17" t="n"/>
      <c r="AA30" s="17" t="n"/>
      <c r="AB30" s="17" t="n"/>
      <c r="AC30" s="17" t="n"/>
      <c r="AD30" s="17" t="n"/>
      <c r="AE30" s="17" t="n"/>
      <c r="AF30" s="16" t="n"/>
      <c r="AG30" s="16" t="n"/>
      <c r="AH30" s="16" t="n"/>
      <c r="AI30" s="16" t="n"/>
      <c r="AK30" s="1">
        <f>B30</f>
        <v/>
      </c>
      <c r="AL30" s="1">
        <f>C30</f>
        <v/>
      </c>
      <c r="AM30" s="12">
        <f>SUM(AS30:BA30)+BC30+BD30</f>
        <v/>
      </c>
      <c r="AN30" s="12">
        <f>SUM(AS30:BA30)+BF30+BG30</f>
        <v/>
      </c>
      <c r="AO30" s="5">
        <f>AM30-AN30</f>
        <v/>
      </c>
      <c r="AP30" s="12">
        <f>SUM(AS30:BA30)+BI30+BJ30</f>
        <v/>
      </c>
      <c r="AQ30" s="12">
        <f>SUM(AS30:BA30)+BL30+BM30</f>
        <v/>
      </c>
      <c r="AR30" s="5">
        <f>AP30-AQ30</f>
        <v/>
      </c>
      <c r="AS30" s="5">
        <f>D30/F30*X30</f>
        <v/>
      </c>
      <c r="AT30" s="1">
        <f>#REF!/F30*X30*-1</f>
        <v/>
      </c>
      <c r="AU30" s="1">
        <f>E30/F30*W30</f>
        <v/>
      </c>
      <c r="AV30" s="1">
        <f>1/F30*T30</f>
        <v/>
      </c>
      <c r="AW30" s="1">
        <f>G30/F30*AF30</f>
        <v/>
      </c>
      <c r="AX30" s="1">
        <f>#REF!/F30*AF30*-1</f>
        <v/>
      </c>
      <c r="AY30" s="1">
        <f>J30/F30/(0.9*8760)</f>
        <v/>
      </c>
      <c r="AZ30" s="1">
        <f>K30/F30/(0.9*8760)</f>
        <v/>
      </c>
      <c r="BA30" s="1">
        <f>L30/F30</f>
        <v/>
      </c>
      <c r="BB30" s="1">
        <f>BX30+BY30+BZ30</f>
        <v/>
      </c>
      <c r="BC30" s="1">
        <f>(O30+P30)*-1*H30/F30</f>
        <v/>
      </c>
      <c r="BD30" s="1">
        <f>BB30*O30</f>
        <v/>
      </c>
      <c r="BE30" s="1">
        <f>BX30+BY30</f>
        <v/>
      </c>
      <c r="BF30" s="1">
        <f>P30*H30*-1/F30</f>
        <v/>
      </c>
      <c r="BG30" s="1">
        <f>BE30*O30</f>
        <v/>
      </c>
      <c r="BH30" s="1">
        <f>SUM(BW30:CA30)</f>
        <v/>
      </c>
      <c r="BI30" s="1">
        <f>(O30+P30)*-1*H30/F30</f>
        <v/>
      </c>
      <c r="BJ30" s="1">
        <f>BH30*O30</f>
        <v/>
      </c>
      <c r="BK30" s="1">
        <f>BW30+BX30+BY30+CA30</f>
        <v/>
      </c>
      <c r="BL30" s="1">
        <f>H30/F30*P30*-1</f>
        <v/>
      </c>
      <c r="BM30" s="1">
        <f>O30*BK30</f>
        <v/>
      </c>
      <c r="BO30" s="9" t="n">
        <v>3.14</v>
      </c>
      <c r="BP30" s="10" t="n">
        <v>0.2218110024</v>
      </c>
      <c r="BQ30" s="9" t="n">
        <v>0.18104824</v>
      </c>
      <c r="BS30" s="10">
        <f>1/F30*BP30</f>
        <v/>
      </c>
      <c r="BT30" s="10">
        <f>G30/F30*BQ30</f>
        <v/>
      </c>
      <c r="BU30" s="10">
        <f>BS30+BT30</f>
        <v/>
      </c>
      <c r="BW30" s="10">
        <f>BO30</f>
        <v/>
      </c>
      <c r="BX30" s="10">
        <f>#REF!/F30*BQ30</f>
        <v/>
      </c>
      <c r="BY30" s="10">
        <f>I30/F30</f>
        <v/>
      </c>
      <c r="BZ30" s="10">
        <f>H30/F30</f>
        <v/>
      </c>
      <c r="CA30" s="10">
        <f>BU30-SUM(BW30:BZ30)</f>
        <v/>
      </c>
      <c r="CB30" s="10">
        <f>SUM(BW30:CA30)</f>
        <v/>
      </c>
    </row>
    <row r="31">
      <c r="B31" s="14" t="n"/>
      <c r="C31" s="13" t="inlineStr">
        <is>
          <t>Ethanol</t>
        </is>
      </c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1">
        <f>CA31/0.22/14</f>
        <v/>
      </c>
      <c r="O31" s="16" t="n"/>
      <c r="P31" s="16" t="n"/>
      <c r="Q31" s="16" t="n"/>
      <c r="R31" s="16" t="n"/>
      <c r="S31" s="16" t="n"/>
      <c r="T31" s="11" t="n">
        <v>21.9863533</v>
      </c>
      <c r="U31" s="17" t="n"/>
      <c r="V31" s="17" t="n"/>
      <c r="W31" s="16" t="n"/>
      <c r="X31" s="16" t="n"/>
      <c r="Y31" s="16" t="n"/>
      <c r="Z31" s="17" t="n"/>
      <c r="AA31" s="17" t="n"/>
      <c r="AB31" s="17" t="n"/>
      <c r="AC31" s="17" t="n"/>
      <c r="AD31" s="17" t="n"/>
      <c r="AE31" s="17" t="n"/>
      <c r="AF31" s="16" t="n"/>
      <c r="AG31" s="16" t="n"/>
      <c r="AH31" s="16" t="n"/>
      <c r="AI31" s="16" t="n"/>
      <c r="AK31" s="1">
        <f>B31</f>
        <v/>
      </c>
      <c r="AL31" s="1">
        <f>C31</f>
        <v/>
      </c>
      <c r="AM31" s="12">
        <f>SUM(AS31:BA31)+BC31+BD31</f>
        <v/>
      </c>
      <c r="AN31" s="12">
        <f>SUM(AS31:BA31)+BF31+BG31</f>
        <v/>
      </c>
      <c r="AO31" s="5">
        <f>AM31-AN31</f>
        <v/>
      </c>
      <c r="AP31" s="12">
        <f>SUM(AS31:BA31)+BI31+BJ31</f>
        <v/>
      </c>
      <c r="AQ31" s="12">
        <f>SUM(AS31:BA31)+BL31+BM31</f>
        <v/>
      </c>
      <c r="AR31" s="5">
        <f>AP31-AQ31</f>
        <v/>
      </c>
      <c r="AS31" s="5">
        <f>D31/F31*X31</f>
        <v/>
      </c>
      <c r="AT31" s="1">
        <f>#REF!/F31*X31*-1</f>
        <v/>
      </c>
      <c r="AU31" s="1">
        <f>E31/F31*W31</f>
        <v/>
      </c>
      <c r="AV31" s="1">
        <f>1/F31*T31</f>
        <v/>
      </c>
      <c r="AW31" s="1">
        <f>G31/F31*AF31</f>
        <v/>
      </c>
      <c r="AX31" s="1">
        <f>#REF!/F31*AF31*-1</f>
        <v/>
      </c>
      <c r="AY31" s="1">
        <f>J31/F31/(0.9*8760)</f>
        <v/>
      </c>
      <c r="AZ31" s="1">
        <f>K31/F31/(0.9*8760)</f>
        <v/>
      </c>
      <c r="BA31" s="1">
        <f>L31/F31</f>
        <v/>
      </c>
      <c r="BB31" s="1">
        <f>BX31+BY31+BZ31</f>
        <v/>
      </c>
      <c r="BC31" s="1">
        <f>(O31+P31)*-1*H31/F31</f>
        <v/>
      </c>
      <c r="BD31" s="1">
        <f>BB31*O31</f>
        <v/>
      </c>
      <c r="BE31" s="1">
        <f>BX31+BY31</f>
        <v/>
      </c>
      <c r="BF31" s="1">
        <f>P31*H31*-1/F31</f>
        <v/>
      </c>
      <c r="BG31" s="1">
        <f>BE31*O31</f>
        <v/>
      </c>
      <c r="BH31" s="1">
        <f>SUM(BW31:CA31)</f>
        <v/>
      </c>
      <c r="BI31" s="1">
        <f>(O31+P31)*-1*H31/F31</f>
        <v/>
      </c>
      <c r="BJ31" s="1">
        <f>BH31*O31</f>
        <v/>
      </c>
      <c r="BK31" s="1">
        <f>BW31+BX31+BY31+CA31</f>
        <v/>
      </c>
      <c r="BL31" s="1">
        <f>H31/F31*P31*-1</f>
        <v/>
      </c>
      <c r="BM31" s="1">
        <f>O31*BK31</f>
        <v/>
      </c>
      <c r="BO31" s="9" t="n">
        <v>3.14</v>
      </c>
      <c r="BP31" s="10" t="n">
        <v>0.2218110024</v>
      </c>
      <c r="BQ31" s="9" t="n">
        <v>0.18104824</v>
      </c>
      <c r="BS31" s="10">
        <f>1/F31*BP31</f>
        <v/>
      </c>
      <c r="BT31" s="10">
        <f>G31/F31*BQ31</f>
        <v/>
      </c>
      <c r="BU31" s="10">
        <f>BS31+BT31</f>
        <v/>
      </c>
      <c r="BW31" s="10">
        <f>BO31</f>
        <v/>
      </c>
      <c r="BX31" s="10">
        <f>#REF!/F31*BQ31</f>
        <v/>
      </c>
      <c r="BY31" s="10">
        <f>I31/F31</f>
        <v/>
      </c>
      <c r="BZ31" s="10">
        <f>H31/F31</f>
        <v/>
      </c>
      <c r="CA31" s="10">
        <f>BU31-SUM(BW31:BZ31)</f>
        <v/>
      </c>
      <c r="CB31" s="10">
        <f>SUM(BW31:CA31)</f>
        <v/>
      </c>
    </row>
    <row r="32">
      <c r="B32" s="14" t="n"/>
      <c r="C32" s="13" t="inlineStr">
        <is>
          <t>Ethanol</t>
        </is>
      </c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1">
        <f>CA32/0.22/14</f>
        <v/>
      </c>
      <c r="O32" s="16" t="n"/>
      <c r="P32" s="16" t="n"/>
      <c r="Q32" s="16" t="n"/>
      <c r="R32" s="16" t="n"/>
      <c r="S32" s="16" t="n"/>
      <c r="T32" s="11" t="n">
        <v>21.9863533</v>
      </c>
      <c r="U32" s="17" t="n"/>
      <c r="V32" s="17" t="n"/>
      <c r="W32" s="16" t="n"/>
      <c r="X32" s="16" t="n"/>
      <c r="Y32" s="16" t="n"/>
      <c r="Z32" s="17" t="n"/>
      <c r="AA32" s="17" t="n"/>
      <c r="AB32" s="17" t="n"/>
      <c r="AC32" s="17" t="n"/>
      <c r="AD32" s="17" t="n"/>
      <c r="AE32" s="17" t="n"/>
      <c r="AF32" s="16" t="n"/>
      <c r="AG32" s="16" t="n"/>
      <c r="AH32" s="16" t="n"/>
      <c r="AI32" s="16" t="n"/>
      <c r="AK32" s="1">
        <f>B32</f>
        <v/>
      </c>
      <c r="AL32" s="1">
        <f>C32</f>
        <v/>
      </c>
      <c r="AM32" s="12">
        <f>SUM(AS32:BA32)+BC32+BD32</f>
        <v/>
      </c>
      <c r="AN32" s="12">
        <f>SUM(AS32:BA32)+BF32+BG32</f>
        <v/>
      </c>
      <c r="AO32" s="5">
        <f>AM32-AN32</f>
        <v/>
      </c>
      <c r="AP32" s="12">
        <f>SUM(AS32:BA32)+BI32+BJ32</f>
        <v/>
      </c>
      <c r="AQ32" s="12">
        <f>SUM(AS32:BA32)+BL32+BM32</f>
        <v/>
      </c>
      <c r="AR32" s="5">
        <f>AP32-AQ32</f>
        <v/>
      </c>
      <c r="AS32" s="5">
        <f>D32/F32*X32</f>
        <v/>
      </c>
      <c r="AT32" s="1">
        <f>#REF!/F32*X32*-1</f>
        <v/>
      </c>
      <c r="AU32" s="1">
        <f>E32/F32*W32</f>
        <v/>
      </c>
      <c r="AV32" s="1">
        <f>1/F32*T32</f>
        <v/>
      </c>
      <c r="AW32" s="1">
        <f>G32/F32*AF32</f>
        <v/>
      </c>
      <c r="AX32" s="1">
        <f>#REF!/F32*AF32*-1</f>
        <v/>
      </c>
      <c r="AY32" s="1">
        <f>J32/F32/(0.9*8760)</f>
        <v/>
      </c>
      <c r="AZ32" s="1">
        <f>K32/F32/(0.9*8760)</f>
        <v/>
      </c>
      <c r="BA32" s="1">
        <f>L32/F32</f>
        <v/>
      </c>
      <c r="BB32" s="1">
        <f>BX32+BY32+BZ32</f>
        <v/>
      </c>
      <c r="BC32" s="1">
        <f>(O32+P32)*-1*H32/F32</f>
        <v/>
      </c>
      <c r="BD32" s="1">
        <f>BB32*O32</f>
        <v/>
      </c>
      <c r="BE32" s="1">
        <f>BX32+BY32</f>
        <v/>
      </c>
      <c r="BF32" s="1">
        <f>P32*H32*-1/F32</f>
        <v/>
      </c>
      <c r="BG32" s="1">
        <f>BE32*O32</f>
        <v/>
      </c>
      <c r="BH32" s="1">
        <f>SUM(BW32:CA32)</f>
        <v/>
      </c>
      <c r="BI32" s="1">
        <f>(O32+P32)*-1*H32/F32</f>
        <v/>
      </c>
      <c r="BJ32" s="1">
        <f>BH32*O32</f>
        <v/>
      </c>
      <c r="BK32" s="1">
        <f>BW32+BX32+BY32+CA32</f>
        <v/>
      </c>
      <c r="BL32" s="1">
        <f>H32/F32*P32*-1</f>
        <v/>
      </c>
      <c r="BM32" s="1">
        <f>O32*BK32</f>
        <v/>
      </c>
      <c r="BO32" s="9" t="n">
        <v>3.14</v>
      </c>
      <c r="BP32" s="10" t="n">
        <v>0.2218110024</v>
      </c>
      <c r="BQ32" s="9" t="n">
        <v>0.18104824</v>
      </c>
      <c r="BS32" s="10">
        <f>1/F32*BP32</f>
        <v/>
      </c>
      <c r="BT32" s="10">
        <f>G32/F32*BQ32</f>
        <v/>
      </c>
      <c r="BU32" s="10">
        <f>BS32+BT32</f>
        <v/>
      </c>
      <c r="BW32" s="10">
        <f>BO32</f>
        <v/>
      </c>
      <c r="BX32" s="10">
        <f>#REF!/F32*BQ32</f>
        <v/>
      </c>
      <c r="BY32" s="10">
        <f>I32/F32</f>
        <v/>
      </c>
      <c r="BZ32" s="10">
        <f>H32/F32</f>
        <v/>
      </c>
      <c r="CA32" s="10">
        <f>BU32-SUM(BW32:BZ32)</f>
        <v/>
      </c>
      <c r="CB32" s="10">
        <f>SUM(BW32:CA32)</f>
        <v/>
      </c>
    </row>
    <row r="33">
      <c r="B33" s="14" t="n"/>
      <c r="C33" s="13" t="inlineStr">
        <is>
          <t>Ethanol</t>
        </is>
      </c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1">
        <f>CA33/0.22/14</f>
        <v/>
      </c>
      <c r="O33" s="16" t="n"/>
      <c r="P33" s="16" t="n"/>
      <c r="Q33" s="16" t="n"/>
      <c r="R33" s="16" t="n"/>
      <c r="S33" s="16" t="n"/>
      <c r="T33" s="11" t="n">
        <v>21.9863533</v>
      </c>
      <c r="U33" s="17" t="n"/>
      <c r="V33" s="17" t="n"/>
      <c r="W33" s="16" t="n"/>
      <c r="X33" s="16" t="n"/>
      <c r="Y33" s="16" t="n"/>
      <c r="Z33" s="17" t="n"/>
      <c r="AA33" s="17" t="n"/>
      <c r="AB33" s="17" t="n"/>
      <c r="AC33" s="17" t="n"/>
      <c r="AD33" s="17" t="n"/>
      <c r="AE33" s="17" t="n"/>
      <c r="AF33" s="16" t="n"/>
      <c r="AG33" s="16" t="n"/>
      <c r="AH33" s="16" t="n"/>
      <c r="AI33" s="16" t="n"/>
      <c r="AK33" s="1">
        <f>B33</f>
        <v/>
      </c>
      <c r="AL33" s="1">
        <f>C33</f>
        <v/>
      </c>
      <c r="AM33" s="12">
        <f>SUM(AS33:BA33)+BC33+BD33</f>
        <v/>
      </c>
      <c r="AN33" s="12">
        <f>SUM(AS33:BA33)+BF33+BG33</f>
        <v/>
      </c>
      <c r="AO33" s="5">
        <f>AM33-AN33</f>
        <v/>
      </c>
      <c r="AP33" s="12">
        <f>SUM(AS33:BA33)+BI33+BJ33</f>
        <v/>
      </c>
      <c r="AQ33" s="12">
        <f>SUM(AS33:BA33)+BL33+BM33</f>
        <v/>
      </c>
      <c r="AR33" s="5">
        <f>AP33-AQ33</f>
        <v/>
      </c>
      <c r="AS33" s="5">
        <f>D33/F33*X33</f>
        <v/>
      </c>
      <c r="AT33" s="1">
        <f>#REF!/F33*X33*-1</f>
        <v/>
      </c>
      <c r="AU33" s="1">
        <f>E33/F33*W33</f>
        <v/>
      </c>
      <c r="AV33" s="1">
        <f>1/F33*T33</f>
        <v/>
      </c>
      <c r="AW33" s="1">
        <f>G33/F33*AF33</f>
        <v/>
      </c>
      <c r="AX33" s="1">
        <f>#REF!/F33*AF33*-1</f>
        <v/>
      </c>
      <c r="AY33" s="1">
        <f>J33/F33/(0.9*8760)</f>
        <v/>
      </c>
      <c r="AZ33" s="1">
        <f>K33/F33/(0.9*8760)</f>
        <v/>
      </c>
      <c r="BA33" s="1">
        <f>L33/F33</f>
        <v/>
      </c>
      <c r="BB33" s="1">
        <f>BX33+BY33+BZ33</f>
        <v/>
      </c>
      <c r="BC33" s="1">
        <f>(O33+P33)*-1*H33/F33</f>
        <v/>
      </c>
      <c r="BD33" s="1">
        <f>BB33*O33</f>
        <v/>
      </c>
      <c r="BE33" s="1">
        <f>BX33+BY33</f>
        <v/>
      </c>
      <c r="BF33" s="1">
        <f>P33*H33*-1/F33</f>
        <v/>
      </c>
      <c r="BG33" s="1">
        <f>BE33*O33</f>
        <v/>
      </c>
      <c r="BH33" s="1">
        <f>SUM(BW33:CA33)</f>
        <v/>
      </c>
      <c r="BI33" s="1">
        <f>(O33+P33)*-1*H33/F33</f>
        <v/>
      </c>
      <c r="BJ33" s="1">
        <f>BH33*O33</f>
        <v/>
      </c>
      <c r="BK33" s="1">
        <f>BW33+BX33+BY33+CA33</f>
        <v/>
      </c>
      <c r="BL33" s="1">
        <f>H33/F33*P33*-1</f>
        <v/>
      </c>
      <c r="BM33" s="1">
        <f>O33*BK33</f>
        <v/>
      </c>
      <c r="BO33" s="9" t="n">
        <v>3.14</v>
      </c>
      <c r="BP33" s="10" t="n">
        <v>0.2218110024</v>
      </c>
      <c r="BQ33" s="9" t="n">
        <v>0.18104824</v>
      </c>
      <c r="BS33" s="10">
        <f>1/F33*BP33</f>
        <v/>
      </c>
      <c r="BT33" s="10">
        <f>G33/F33*BQ33</f>
        <v/>
      </c>
      <c r="BU33" s="10">
        <f>BS33+BT33</f>
        <v/>
      </c>
      <c r="BW33" s="10">
        <f>BO33</f>
        <v/>
      </c>
      <c r="BX33" s="10">
        <f>#REF!/F33*BQ33</f>
        <v/>
      </c>
      <c r="BY33" s="10">
        <f>I33/F33</f>
        <v/>
      </c>
      <c r="BZ33" s="10">
        <f>H33/F33</f>
        <v/>
      </c>
      <c r="CA33" s="10">
        <f>BU33-SUM(BW33:BZ33)</f>
        <v/>
      </c>
      <c r="CB33" s="10">
        <f>SUM(BW33:CA33)</f>
        <v/>
      </c>
    </row>
    <row r="34">
      <c r="B34" s="14" t="n"/>
      <c r="C34" s="13" t="inlineStr">
        <is>
          <t>Ethanol</t>
        </is>
      </c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1">
        <f>CA34/0.22/14</f>
        <v/>
      </c>
      <c r="O34" s="16" t="n"/>
      <c r="P34" s="16" t="n"/>
      <c r="Q34" s="16" t="n"/>
      <c r="R34" s="16" t="n"/>
      <c r="S34" s="16" t="n"/>
      <c r="T34" s="11" t="n">
        <v>21.9863533</v>
      </c>
      <c r="U34" s="17" t="n"/>
      <c r="V34" s="17" t="n"/>
      <c r="W34" s="16" t="n"/>
      <c r="X34" s="16" t="n"/>
      <c r="Y34" s="16" t="n"/>
      <c r="Z34" s="17" t="n"/>
      <c r="AA34" s="17" t="n"/>
      <c r="AB34" s="17" t="n"/>
      <c r="AC34" s="17" t="n"/>
      <c r="AD34" s="17" t="n"/>
      <c r="AE34" s="17" t="n"/>
      <c r="AF34" s="16" t="n"/>
      <c r="AG34" s="16" t="n"/>
      <c r="AH34" s="16" t="n"/>
      <c r="AI34" s="16" t="n"/>
      <c r="AK34" s="1">
        <f>B34</f>
        <v/>
      </c>
      <c r="AL34" s="1">
        <f>C34</f>
        <v/>
      </c>
      <c r="AM34" s="12">
        <f>SUM(AS34:BA34)+BC34+BD34</f>
        <v/>
      </c>
      <c r="AN34" s="12">
        <f>SUM(AS34:BA34)+BF34+BG34</f>
        <v/>
      </c>
      <c r="AO34" s="5">
        <f>AM34-AN34</f>
        <v/>
      </c>
      <c r="AP34" s="12">
        <f>SUM(AS34:BA34)+BI34+BJ34</f>
        <v/>
      </c>
      <c r="AQ34" s="12">
        <f>SUM(AS34:BA34)+BL34+BM34</f>
        <v/>
      </c>
      <c r="AR34" s="5">
        <f>AP34-AQ34</f>
        <v/>
      </c>
      <c r="AS34" s="5">
        <f>D34/F34*X34</f>
        <v/>
      </c>
      <c r="AT34" s="1">
        <f>#REF!/F34*X34*-1</f>
        <v/>
      </c>
      <c r="AU34" s="1">
        <f>E34/F34*W34</f>
        <v/>
      </c>
      <c r="AV34" s="1">
        <f>1/F34*T34</f>
        <v/>
      </c>
      <c r="AW34" s="1">
        <f>G34/F34*AF34</f>
        <v/>
      </c>
      <c r="AX34" s="1">
        <f>#REF!/F34*AF34*-1</f>
        <v/>
      </c>
      <c r="AY34" s="1">
        <f>J34/F34/(0.9*8760)</f>
        <v/>
      </c>
      <c r="AZ34" s="1">
        <f>K34/F34/(0.9*8760)</f>
        <v/>
      </c>
      <c r="BA34" s="1">
        <f>L34/F34</f>
        <v/>
      </c>
      <c r="BB34" s="1">
        <f>BX34+BY34+BZ34</f>
        <v/>
      </c>
      <c r="BC34" s="1">
        <f>(O34+P34)*-1*H34/F34</f>
        <v/>
      </c>
      <c r="BD34" s="1">
        <f>BB34*O34</f>
        <v/>
      </c>
      <c r="BE34" s="1">
        <f>BX34+BY34</f>
        <v/>
      </c>
      <c r="BF34" s="1">
        <f>P34*H34*-1/F34</f>
        <v/>
      </c>
      <c r="BG34" s="1">
        <f>BE34*O34</f>
        <v/>
      </c>
      <c r="BH34" s="1">
        <f>SUM(BW34:CA34)</f>
        <v/>
      </c>
      <c r="BI34" s="1">
        <f>(O34+P34)*-1*H34/F34</f>
        <v/>
      </c>
      <c r="BJ34" s="1">
        <f>BH34*O34</f>
        <v/>
      </c>
      <c r="BK34" s="1">
        <f>BW34+BX34+BY34+CA34</f>
        <v/>
      </c>
      <c r="BL34" s="1">
        <f>H34/F34*P34*-1</f>
        <v/>
      </c>
      <c r="BM34" s="1">
        <f>O34*BK34</f>
        <v/>
      </c>
      <c r="BO34" s="9" t="n">
        <v>3.14</v>
      </c>
      <c r="BP34" s="10" t="n">
        <v>0.2218110024</v>
      </c>
      <c r="BQ34" s="9" t="n">
        <v>0.18104824</v>
      </c>
      <c r="BS34" s="10">
        <f>1/F34*BP34</f>
        <v/>
      </c>
      <c r="BT34" s="10">
        <f>G34/F34*BQ34</f>
        <v/>
      </c>
      <c r="BU34" s="10">
        <f>BS34+BT34</f>
        <v/>
      </c>
      <c r="BW34" s="10">
        <f>BO34</f>
        <v/>
      </c>
      <c r="BX34" s="10">
        <f>#REF!/F34*BQ34</f>
        <v/>
      </c>
      <c r="BY34" s="10">
        <f>I34/F34</f>
        <v/>
      </c>
      <c r="BZ34" s="10">
        <f>H34/F34</f>
        <v/>
      </c>
      <c r="CA34" s="10">
        <f>BU34-SUM(BW34:BZ34)</f>
        <v/>
      </c>
      <c r="CB34" s="10">
        <f>SUM(BW34:CA34)</f>
        <v/>
      </c>
    </row>
    <row r="35">
      <c r="B35" s="14" t="n"/>
      <c r="C35" s="13" t="inlineStr">
        <is>
          <t>Ethanol</t>
        </is>
      </c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1">
        <f>CA35/0.22/14</f>
        <v/>
      </c>
      <c r="O35" s="16" t="n"/>
      <c r="P35" s="16" t="n"/>
      <c r="Q35" s="16" t="n"/>
      <c r="R35" s="16" t="n"/>
      <c r="S35" s="16" t="n"/>
      <c r="T35" s="11" t="n">
        <v>21.9863533</v>
      </c>
      <c r="U35" s="17" t="n"/>
      <c r="V35" s="17" t="n"/>
      <c r="W35" s="16" t="n"/>
      <c r="X35" s="16" t="n"/>
      <c r="Y35" s="16" t="n"/>
      <c r="Z35" s="17" t="n"/>
      <c r="AA35" s="17" t="n"/>
      <c r="AB35" s="17" t="n"/>
      <c r="AC35" s="17" t="n"/>
      <c r="AD35" s="17" t="n"/>
      <c r="AE35" s="17" t="n"/>
      <c r="AF35" s="16" t="n"/>
      <c r="AG35" s="16" t="n"/>
      <c r="AH35" s="16" t="n"/>
      <c r="AI35" s="16" t="n"/>
      <c r="AK35" s="1">
        <f>B35</f>
        <v/>
      </c>
      <c r="AL35" s="1">
        <f>C35</f>
        <v/>
      </c>
      <c r="AM35" s="12">
        <f>SUM(AS35:BA35)+BC35+BD35</f>
        <v/>
      </c>
      <c r="AN35" s="12">
        <f>SUM(AS35:BA35)+BF35+BG35</f>
        <v/>
      </c>
      <c r="AO35" s="5">
        <f>AM35-AN35</f>
        <v/>
      </c>
      <c r="AP35" s="12">
        <f>SUM(AS35:BA35)+BI35+BJ35</f>
        <v/>
      </c>
      <c r="AQ35" s="12">
        <f>SUM(AS35:BA35)+BL35+BM35</f>
        <v/>
      </c>
      <c r="AR35" s="5">
        <f>AP35-AQ35</f>
        <v/>
      </c>
      <c r="AS35" s="5">
        <f>D35/F35*X35</f>
        <v/>
      </c>
      <c r="AT35" s="1">
        <f>#REF!/F35*X35*-1</f>
        <v/>
      </c>
      <c r="AU35" s="1">
        <f>E35/F35*W35</f>
        <v/>
      </c>
      <c r="AV35" s="1">
        <f>1/F35*T35</f>
        <v/>
      </c>
      <c r="AW35" s="1">
        <f>G35/F35*AF35</f>
        <v/>
      </c>
      <c r="AX35" s="1">
        <f>#REF!/F35*AF35*-1</f>
        <v/>
      </c>
      <c r="AY35" s="1">
        <f>J35/F35/(0.9*8760)</f>
        <v/>
      </c>
      <c r="AZ35" s="1">
        <f>K35/F35/(0.9*8760)</f>
        <v/>
      </c>
      <c r="BA35" s="1">
        <f>L35/F35</f>
        <v/>
      </c>
      <c r="BB35" s="1">
        <f>BX35+BY35+BZ35</f>
        <v/>
      </c>
      <c r="BC35" s="1">
        <f>(O35+P35)*-1*H35/F35</f>
        <v/>
      </c>
      <c r="BD35" s="1">
        <f>BB35*O35</f>
        <v/>
      </c>
      <c r="BE35" s="1">
        <f>BX35+BY35</f>
        <v/>
      </c>
      <c r="BF35" s="1">
        <f>P35*H35*-1/F35</f>
        <v/>
      </c>
      <c r="BG35" s="1">
        <f>BE35*O35</f>
        <v/>
      </c>
      <c r="BH35" s="1">
        <f>SUM(BW35:CA35)</f>
        <v/>
      </c>
      <c r="BI35" s="1">
        <f>(O35+P35)*-1*H35/F35</f>
        <v/>
      </c>
      <c r="BJ35" s="1">
        <f>BH35*O35</f>
        <v/>
      </c>
      <c r="BK35" s="1">
        <f>BW35+BX35+BY35+CA35</f>
        <v/>
      </c>
      <c r="BL35" s="1">
        <f>H35/F35*P35*-1</f>
        <v/>
      </c>
      <c r="BM35" s="1">
        <f>O35*BK35</f>
        <v/>
      </c>
      <c r="BO35" s="9" t="n">
        <v>3.14</v>
      </c>
      <c r="BP35" s="10" t="n">
        <v>0.2218110024</v>
      </c>
      <c r="BQ35" s="9" t="n">
        <v>0.18104824</v>
      </c>
      <c r="BS35" s="10">
        <f>1/F35*BP35</f>
        <v/>
      </c>
      <c r="BT35" s="10">
        <f>G35/F35*BQ35</f>
        <v/>
      </c>
      <c r="BU35" s="10">
        <f>BS35+BT35</f>
        <v/>
      </c>
      <c r="BW35" s="10">
        <f>BO35</f>
        <v/>
      </c>
      <c r="BX35" s="10">
        <f>#REF!/F35*BQ35</f>
        <v/>
      </c>
      <c r="BY35" s="10">
        <f>I35/F35</f>
        <v/>
      </c>
      <c r="BZ35" s="10">
        <f>H35/F35</f>
        <v/>
      </c>
      <c r="CA35" s="10">
        <f>BU35-SUM(BW35:BZ35)</f>
        <v/>
      </c>
      <c r="CB35" s="10">
        <f>SUM(BW35:CA35)</f>
        <v/>
      </c>
    </row>
    <row r="36">
      <c r="B36" s="14" t="n"/>
      <c r="C36" s="13" t="inlineStr">
        <is>
          <t>Ethanol</t>
        </is>
      </c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1">
        <f>CA36/0.22/14</f>
        <v/>
      </c>
      <c r="O36" s="16" t="n"/>
      <c r="P36" s="16" t="n"/>
      <c r="Q36" s="16" t="n"/>
      <c r="R36" s="16" t="n"/>
      <c r="S36" s="16" t="n"/>
      <c r="T36" s="11" t="n">
        <v>21.9863533</v>
      </c>
      <c r="U36" s="17" t="n"/>
      <c r="V36" s="17" t="n"/>
      <c r="W36" s="16" t="n"/>
      <c r="X36" s="16" t="n"/>
      <c r="Y36" s="16" t="n"/>
      <c r="Z36" s="17" t="n"/>
      <c r="AA36" s="17" t="n"/>
      <c r="AB36" s="17" t="n"/>
      <c r="AC36" s="17" t="n"/>
      <c r="AD36" s="17" t="n"/>
      <c r="AE36" s="17" t="n"/>
      <c r="AF36" s="16" t="n"/>
      <c r="AG36" s="16" t="n"/>
      <c r="AH36" s="16" t="n"/>
      <c r="AI36" s="16" t="n"/>
      <c r="AK36" s="1">
        <f>B36</f>
        <v/>
      </c>
      <c r="AL36" s="1">
        <f>C36</f>
        <v/>
      </c>
      <c r="AM36" s="12">
        <f>SUM(AS36:BA36)+BC36+BD36</f>
        <v/>
      </c>
      <c r="AN36" s="12">
        <f>SUM(AS36:BA36)+BF36+BG36</f>
        <v/>
      </c>
      <c r="AO36" s="5">
        <f>AM36-AN36</f>
        <v/>
      </c>
      <c r="AP36" s="12">
        <f>SUM(AS36:BA36)+BI36+BJ36</f>
        <v/>
      </c>
      <c r="AQ36" s="12">
        <f>SUM(AS36:BA36)+BL36+BM36</f>
        <v/>
      </c>
      <c r="AR36" s="5">
        <f>AP36-AQ36</f>
        <v/>
      </c>
      <c r="AS36" s="5">
        <f>D36/F36*X36</f>
        <v/>
      </c>
      <c r="AT36" s="1">
        <f>#REF!/F36*X36*-1</f>
        <v/>
      </c>
      <c r="AU36" s="1">
        <f>E36/F36*W36</f>
        <v/>
      </c>
      <c r="AV36" s="1">
        <f>1/F36*T36</f>
        <v/>
      </c>
      <c r="AW36" s="1">
        <f>G36/F36*AF36</f>
        <v/>
      </c>
      <c r="AX36" s="1">
        <f>#REF!/F36*AF36*-1</f>
        <v/>
      </c>
      <c r="AY36" s="1">
        <f>J36/F36/(0.9*8760)</f>
        <v/>
      </c>
      <c r="AZ36" s="1">
        <f>K36/F36/(0.9*8760)</f>
        <v/>
      </c>
      <c r="BA36" s="1">
        <f>L36/F36</f>
        <v/>
      </c>
      <c r="BB36" s="1">
        <f>BX36+BY36+BZ36</f>
        <v/>
      </c>
      <c r="BC36" s="1">
        <f>(O36+P36)*-1*H36/F36</f>
        <v/>
      </c>
      <c r="BD36" s="1">
        <f>BB36*O36</f>
        <v/>
      </c>
      <c r="BE36" s="1">
        <f>BX36+BY36</f>
        <v/>
      </c>
      <c r="BF36" s="1">
        <f>P36*H36*-1/F36</f>
        <v/>
      </c>
      <c r="BG36" s="1">
        <f>BE36*O36</f>
        <v/>
      </c>
      <c r="BH36" s="1">
        <f>SUM(BW36:CA36)</f>
        <v/>
      </c>
      <c r="BI36" s="1">
        <f>(O36+P36)*-1*H36/F36</f>
        <v/>
      </c>
      <c r="BJ36" s="1">
        <f>BH36*O36</f>
        <v/>
      </c>
      <c r="BK36" s="1">
        <f>BW36+BX36+BY36+CA36</f>
        <v/>
      </c>
      <c r="BL36" s="1">
        <f>H36/F36*P36*-1</f>
        <v/>
      </c>
      <c r="BM36" s="1">
        <f>O36*BK36</f>
        <v/>
      </c>
      <c r="BO36" s="9" t="n">
        <v>3.14</v>
      </c>
      <c r="BP36" s="10" t="n">
        <v>0.2218110024</v>
      </c>
      <c r="BQ36" s="9" t="n">
        <v>0.18104824</v>
      </c>
      <c r="BS36" s="10">
        <f>1/F36*BP36</f>
        <v/>
      </c>
      <c r="BT36" s="10">
        <f>G36/F36*BQ36</f>
        <v/>
      </c>
      <c r="BU36" s="10">
        <f>BS36+BT36</f>
        <v/>
      </c>
      <c r="BW36" s="10">
        <f>BO36</f>
        <v/>
      </c>
      <c r="BX36" s="10">
        <f>#REF!/F36*BQ36</f>
        <v/>
      </c>
      <c r="BY36" s="10">
        <f>I36/F36</f>
        <v/>
      </c>
      <c r="BZ36" s="10">
        <f>H36/F36</f>
        <v/>
      </c>
      <c r="CA36" s="10">
        <f>BU36-SUM(BW36:BZ36)</f>
        <v/>
      </c>
      <c r="CB36" s="10">
        <f>SUM(BW36:CA36)</f>
        <v/>
      </c>
    </row>
    <row r="37">
      <c r="B37" s="14" t="n"/>
      <c r="C37" s="13" t="inlineStr">
        <is>
          <t>Ethanol</t>
        </is>
      </c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1">
        <f>CA37/0.22/14</f>
        <v/>
      </c>
      <c r="O37" s="16" t="n"/>
      <c r="P37" s="16" t="n"/>
      <c r="Q37" s="16" t="n"/>
      <c r="R37" s="16" t="n"/>
      <c r="S37" s="16" t="n"/>
      <c r="T37" s="11" t="n">
        <v>21.9863533</v>
      </c>
      <c r="U37" s="17" t="n"/>
      <c r="V37" s="17" t="n"/>
      <c r="W37" s="16" t="n"/>
      <c r="X37" s="16" t="n"/>
      <c r="Y37" s="16" t="n"/>
      <c r="Z37" s="17" t="n"/>
      <c r="AA37" s="17" t="n"/>
      <c r="AB37" s="17" t="n"/>
      <c r="AC37" s="17" t="n"/>
      <c r="AD37" s="17" t="n"/>
      <c r="AE37" s="17" t="n"/>
      <c r="AF37" s="16" t="n"/>
      <c r="AG37" s="16" t="n"/>
      <c r="AH37" s="16" t="n"/>
      <c r="AI37" s="16" t="n"/>
      <c r="AK37" s="1">
        <f>B37</f>
        <v/>
      </c>
      <c r="AL37" s="1">
        <f>C37</f>
        <v/>
      </c>
      <c r="AM37" s="12">
        <f>SUM(AS37:BA37)+BC37+BD37</f>
        <v/>
      </c>
      <c r="AN37" s="12">
        <f>SUM(AS37:BA37)+BF37+BG37</f>
        <v/>
      </c>
      <c r="AO37" s="5">
        <f>AM37-AN37</f>
        <v/>
      </c>
      <c r="AP37" s="12">
        <f>SUM(AS37:BA37)+BI37+BJ37</f>
        <v/>
      </c>
      <c r="AQ37" s="12">
        <f>SUM(AS37:BA37)+BL37+BM37</f>
        <v/>
      </c>
      <c r="AR37" s="5">
        <f>AP37-AQ37</f>
        <v/>
      </c>
      <c r="AS37" s="5">
        <f>D37/F37*X37</f>
        <v/>
      </c>
      <c r="AT37" s="1">
        <f>#REF!/F37*X37*-1</f>
        <v/>
      </c>
      <c r="AU37" s="1">
        <f>E37/F37*W37</f>
        <v/>
      </c>
      <c r="AV37" s="1">
        <f>1/F37*T37</f>
        <v/>
      </c>
      <c r="AW37" s="1">
        <f>G37/F37*AF37</f>
        <v/>
      </c>
      <c r="AX37" s="1">
        <f>#REF!/F37*AF37*-1</f>
        <v/>
      </c>
      <c r="AY37" s="1">
        <f>J37/F37/(0.9*8760)</f>
        <v/>
      </c>
      <c r="AZ37" s="1">
        <f>K37/F37/(0.9*8760)</f>
        <v/>
      </c>
      <c r="BA37" s="1">
        <f>L37/F37</f>
        <v/>
      </c>
      <c r="BB37" s="1">
        <f>BX37+BY37+BZ37</f>
        <v/>
      </c>
      <c r="BC37" s="1">
        <f>(O37+P37)*-1*H37/F37</f>
        <v/>
      </c>
      <c r="BD37" s="1">
        <f>BB37*O37</f>
        <v/>
      </c>
      <c r="BE37" s="1">
        <f>BX37+BY37</f>
        <v/>
      </c>
      <c r="BF37" s="1">
        <f>P37*H37*-1/F37</f>
        <v/>
      </c>
      <c r="BG37" s="1">
        <f>BE37*O37</f>
        <v/>
      </c>
      <c r="BH37" s="1">
        <f>SUM(BW37:CA37)</f>
        <v/>
      </c>
      <c r="BI37" s="1">
        <f>(O37+P37)*-1*H37/F37</f>
        <v/>
      </c>
      <c r="BJ37" s="1">
        <f>BH37*O37</f>
        <v/>
      </c>
      <c r="BK37" s="1">
        <f>BW37+BX37+BY37+CA37</f>
        <v/>
      </c>
      <c r="BL37" s="1">
        <f>H37/F37*P37*-1</f>
        <v/>
      </c>
      <c r="BM37" s="1">
        <f>O37*BK37</f>
        <v/>
      </c>
      <c r="BO37" s="9" t="n">
        <v>3.14</v>
      </c>
      <c r="BP37" s="10" t="n">
        <v>0.2218110024</v>
      </c>
      <c r="BQ37" s="9" t="n">
        <v>0.18104824</v>
      </c>
      <c r="BS37" s="10">
        <f>1/F37*BP37</f>
        <v/>
      </c>
      <c r="BT37" s="10">
        <f>G37/F37*BQ37</f>
        <v/>
      </c>
      <c r="BU37" s="10">
        <f>BS37+BT37</f>
        <v/>
      </c>
      <c r="BW37" s="10">
        <f>BO37</f>
        <v/>
      </c>
      <c r="BX37" s="10">
        <f>#REF!/F37*BQ37</f>
        <v/>
      </c>
      <c r="BY37" s="10">
        <f>I37/F37</f>
        <v/>
      </c>
      <c r="BZ37" s="10">
        <f>H37/F37</f>
        <v/>
      </c>
      <c r="CA37" s="10">
        <f>BU37-SUM(BW37:BZ37)</f>
        <v/>
      </c>
      <c r="CB37" s="10">
        <f>SUM(BW37:CA37)</f>
        <v/>
      </c>
    </row>
    <row r="38">
      <c r="B38" s="14" t="n"/>
      <c r="C38" s="13" t="inlineStr">
        <is>
          <t>Ethanol</t>
        </is>
      </c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1">
        <f>CA38/0.22/14</f>
        <v/>
      </c>
      <c r="O38" s="16" t="n"/>
      <c r="P38" s="16" t="n"/>
      <c r="Q38" s="16" t="n"/>
      <c r="R38" s="16" t="n"/>
      <c r="S38" s="16" t="n"/>
      <c r="T38" s="11" t="n">
        <v>21.9863533</v>
      </c>
      <c r="U38" s="17" t="n"/>
      <c r="V38" s="17" t="n"/>
      <c r="W38" s="16" t="n"/>
      <c r="X38" s="16" t="n"/>
      <c r="Y38" s="16" t="n"/>
      <c r="Z38" s="17" t="n"/>
      <c r="AA38" s="17" t="n"/>
      <c r="AB38" s="17" t="n"/>
      <c r="AC38" s="17" t="n"/>
      <c r="AD38" s="17" t="n"/>
      <c r="AE38" s="17" t="n"/>
      <c r="AF38" s="16" t="n"/>
      <c r="AG38" s="16" t="n"/>
      <c r="AH38" s="16" t="n"/>
      <c r="AI38" s="16" t="n"/>
      <c r="AK38" s="1">
        <f>B38</f>
        <v/>
      </c>
      <c r="AL38" s="1">
        <f>C38</f>
        <v/>
      </c>
      <c r="AM38" s="12">
        <f>SUM(AS38:BA38)+BC38+BD38</f>
        <v/>
      </c>
      <c r="AN38" s="12">
        <f>SUM(AS38:BA38)+BF38+BG38</f>
        <v/>
      </c>
      <c r="AO38" s="5">
        <f>AM38-AN38</f>
        <v/>
      </c>
      <c r="AP38" s="12">
        <f>SUM(AS38:BA38)+BI38+BJ38</f>
        <v/>
      </c>
      <c r="AQ38" s="12">
        <f>SUM(AS38:BA38)+BL38+BM38</f>
        <v/>
      </c>
      <c r="AR38" s="5">
        <f>AP38-AQ38</f>
        <v/>
      </c>
      <c r="AS38" s="5">
        <f>D38/F38*X38</f>
        <v/>
      </c>
      <c r="AT38" s="1">
        <f>#REF!/F38*X38*-1</f>
        <v/>
      </c>
      <c r="AU38" s="1">
        <f>E38/F38*W38</f>
        <v/>
      </c>
      <c r="AV38" s="1">
        <f>1/F38*T38</f>
        <v/>
      </c>
      <c r="AW38" s="1">
        <f>G38/F38*AF38</f>
        <v/>
      </c>
      <c r="AX38" s="1">
        <f>#REF!/F38*AF38*-1</f>
        <v/>
      </c>
      <c r="AY38" s="1">
        <f>J38/F38/(0.9*8760)</f>
        <v/>
      </c>
      <c r="AZ38" s="1">
        <f>K38/F38/(0.9*8760)</f>
        <v/>
      </c>
      <c r="BA38" s="1">
        <f>L38/F38</f>
        <v/>
      </c>
      <c r="BB38" s="1">
        <f>BX38+BY38+BZ38</f>
        <v/>
      </c>
      <c r="BC38" s="1">
        <f>(O38+P38)*-1*H38/F38</f>
        <v/>
      </c>
      <c r="BD38" s="1">
        <f>BB38*O38</f>
        <v/>
      </c>
      <c r="BE38" s="1">
        <f>BX38+BY38</f>
        <v/>
      </c>
      <c r="BF38" s="1">
        <f>P38*H38*-1/F38</f>
        <v/>
      </c>
      <c r="BG38" s="1">
        <f>BE38*O38</f>
        <v/>
      </c>
      <c r="BH38" s="1">
        <f>SUM(BW38:CA38)</f>
        <v/>
      </c>
      <c r="BI38" s="1">
        <f>(O38+P38)*-1*H38/F38</f>
        <v/>
      </c>
      <c r="BJ38" s="1">
        <f>BH38*O38</f>
        <v/>
      </c>
      <c r="BK38" s="1">
        <f>BW38+BX38+BY38+CA38</f>
        <v/>
      </c>
      <c r="BL38" s="1">
        <f>H38/F38*P38*-1</f>
        <v/>
      </c>
      <c r="BM38" s="1">
        <f>O38*BK38</f>
        <v/>
      </c>
      <c r="BO38" s="9" t="n">
        <v>3.14</v>
      </c>
      <c r="BP38" s="10" t="n">
        <v>0.2218110024</v>
      </c>
      <c r="BQ38" s="9" t="n">
        <v>0.18104824</v>
      </c>
      <c r="BS38" s="10">
        <f>1/F38*BP38</f>
        <v/>
      </c>
      <c r="BT38" s="10">
        <f>G38/F38*BQ38</f>
        <v/>
      </c>
      <c r="BU38" s="10">
        <f>BS38+BT38</f>
        <v/>
      </c>
      <c r="BW38" s="10">
        <f>BO38</f>
        <v/>
      </c>
      <c r="BX38" s="10">
        <f>#REF!/F38*BQ38</f>
        <v/>
      </c>
      <c r="BY38" s="10">
        <f>I38/F38</f>
        <v/>
      </c>
      <c r="BZ38" s="10">
        <f>H38/F38</f>
        <v/>
      </c>
      <c r="CA38" s="10">
        <f>BU38-SUM(BW38:BZ38)</f>
        <v/>
      </c>
      <c r="CB38" s="10">
        <f>SUM(BW38:CA38)</f>
        <v/>
      </c>
    </row>
    <row r="39">
      <c r="B39" s="14" t="n"/>
      <c r="C39" s="13" t="inlineStr">
        <is>
          <t>Ethanol</t>
        </is>
      </c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1">
        <f>CA39/0.22/14</f>
        <v/>
      </c>
      <c r="O39" s="16" t="n"/>
      <c r="P39" s="16" t="n"/>
      <c r="Q39" s="16" t="n"/>
      <c r="R39" s="16" t="n"/>
      <c r="S39" s="16" t="n"/>
      <c r="T39" s="11" t="n">
        <v>21.9863533</v>
      </c>
      <c r="U39" s="17" t="n"/>
      <c r="V39" s="17" t="n"/>
      <c r="W39" s="16" t="n"/>
      <c r="X39" s="16" t="n"/>
      <c r="Y39" s="16" t="n"/>
      <c r="Z39" s="17" t="n"/>
      <c r="AA39" s="17" t="n"/>
      <c r="AB39" s="17" t="n"/>
      <c r="AC39" s="17" t="n"/>
      <c r="AD39" s="17" t="n"/>
      <c r="AE39" s="17" t="n"/>
      <c r="AF39" s="16" t="n"/>
      <c r="AG39" s="16" t="n"/>
      <c r="AH39" s="16" t="n"/>
      <c r="AI39" s="16" t="n"/>
      <c r="AK39" s="1">
        <f>B39</f>
        <v/>
      </c>
      <c r="AL39" s="1">
        <f>C39</f>
        <v/>
      </c>
      <c r="AM39" s="12">
        <f>SUM(AS39:BA39)+BC39+BD39</f>
        <v/>
      </c>
      <c r="AN39" s="12">
        <f>SUM(AS39:BA39)+BF39+BG39</f>
        <v/>
      </c>
      <c r="AO39" s="5">
        <f>AM39-AN39</f>
        <v/>
      </c>
      <c r="AP39" s="12">
        <f>SUM(AS39:BA39)+BI39+BJ39</f>
        <v/>
      </c>
      <c r="AQ39" s="12">
        <f>SUM(AS39:BA39)+BL39+BM39</f>
        <v/>
      </c>
      <c r="AR39" s="5">
        <f>AP39-AQ39</f>
        <v/>
      </c>
      <c r="AS39" s="5">
        <f>D39/F39*X39</f>
        <v/>
      </c>
      <c r="AT39" s="1">
        <f>#REF!/F39*X39*-1</f>
        <v/>
      </c>
      <c r="AU39" s="1">
        <f>E39/F39*W39</f>
        <v/>
      </c>
      <c r="AV39" s="1">
        <f>1/F39*T39</f>
        <v/>
      </c>
      <c r="AW39" s="1">
        <f>G39/F39*AF39</f>
        <v/>
      </c>
      <c r="AX39" s="1">
        <f>#REF!/F39*AF39*-1</f>
        <v/>
      </c>
      <c r="AY39" s="1">
        <f>J39/F39/(0.9*8760)</f>
        <v/>
      </c>
      <c r="AZ39" s="1">
        <f>K39/F39/(0.9*8760)</f>
        <v/>
      </c>
      <c r="BA39" s="1">
        <f>L39/F39</f>
        <v/>
      </c>
      <c r="BB39" s="1">
        <f>BX39+BY39+BZ39</f>
        <v/>
      </c>
      <c r="BC39" s="1">
        <f>(O39+P39)*-1*H39/F39</f>
        <v/>
      </c>
      <c r="BD39" s="1">
        <f>BB39*O39</f>
        <v/>
      </c>
      <c r="BE39" s="1">
        <f>BX39+BY39</f>
        <v/>
      </c>
      <c r="BF39" s="1">
        <f>P39*H39*-1/F39</f>
        <v/>
      </c>
      <c r="BG39" s="1">
        <f>BE39*O39</f>
        <v/>
      </c>
      <c r="BH39" s="1">
        <f>SUM(BW39:CA39)</f>
        <v/>
      </c>
      <c r="BI39" s="1">
        <f>(O39+P39)*-1*H39/F39</f>
        <v/>
      </c>
      <c r="BJ39" s="1">
        <f>BH39*O39</f>
        <v/>
      </c>
      <c r="BK39" s="1">
        <f>BW39+BX39+BY39+CA39</f>
        <v/>
      </c>
      <c r="BL39" s="1">
        <f>H39/F39*P39*-1</f>
        <v/>
      </c>
      <c r="BM39" s="1">
        <f>O39*BK39</f>
        <v/>
      </c>
      <c r="BO39" s="9" t="n">
        <v>3.14</v>
      </c>
      <c r="BP39" s="10" t="n">
        <v>0.2218110024</v>
      </c>
      <c r="BQ39" s="9" t="n">
        <v>0.18104824</v>
      </c>
      <c r="BS39" s="10">
        <f>1/F39*BP39</f>
        <v/>
      </c>
      <c r="BT39" s="10">
        <f>G39/F39*BQ39</f>
        <v/>
      </c>
      <c r="BU39" s="10">
        <f>BS39+BT39</f>
        <v/>
      </c>
      <c r="BW39" s="10">
        <f>BO39</f>
        <v/>
      </c>
      <c r="BX39" s="10">
        <f>#REF!/F39*BQ39</f>
        <v/>
      </c>
      <c r="BY39" s="10">
        <f>I39/F39</f>
        <v/>
      </c>
      <c r="BZ39" s="10">
        <f>H39/F39</f>
        <v/>
      </c>
      <c r="CA39" s="10">
        <f>BU39-SUM(BW39:BZ39)</f>
        <v/>
      </c>
      <c r="CB39" s="10">
        <f>SUM(BW39:CA39)</f>
        <v/>
      </c>
    </row>
    <row r="40">
      <c r="B40" s="14" t="n"/>
      <c r="C40" s="13" t="inlineStr">
        <is>
          <t>Ethanol</t>
        </is>
      </c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1">
        <f>CA40/0.22/14</f>
        <v/>
      </c>
      <c r="O40" s="16" t="n"/>
      <c r="P40" s="16" t="n"/>
      <c r="Q40" s="16" t="n"/>
      <c r="R40" s="16" t="n"/>
      <c r="S40" s="16" t="n"/>
      <c r="T40" s="11" t="n">
        <v>21.9863533</v>
      </c>
      <c r="U40" s="17" t="n"/>
      <c r="V40" s="17" t="n"/>
      <c r="W40" s="16" t="n"/>
      <c r="X40" s="16" t="n"/>
      <c r="Y40" s="16" t="n"/>
      <c r="Z40" s="17" t="n"/>
      <c r="AA40" s="17" t="n"/>
      <c r="AB40" s="17" t="n"/>
      <c r="AC40" s="17" t="n"/>
      <c r="AD40" s="17" t="n"/>
      <c r="AE40" s="17" t="n"/>
      <c r="AF40" s="16" t="n"/>
      <c r="AG40" s="16" t="n"/>
      <c r="AH40" s="16" t="n"/>
      <c r="AI40" s="16" t="n"/>
      <c r="AK40" s="1">
        <f>B40</f>
        <v/>
      </c>
      <c r="AL40" s="1">
        <f>C40</f>
        <v/>
      </c>
      <c r="AM40" s="12">
        <f>SUM(AS40:BA40)+BC40+BD40</f>
        <v/>
      </c>
      <c r="AN40" s="12">
        <f>SUM(AS40:BA40)+BF40+BG40</f>
        <v/>
      </c>
      <c r="AO40" s="5">
        <f>AM40-AN40</f>
        <v/>
      </c>
      <c r="AP40" s="12">
        <f>SUM(AS40:BA40)+BI40+BJ40</f>
        <v/>
      </c>
      <c r="AQ40" s="12">
        <f>SUM(AS40:BA40)+BL40+BM40</f>
        <v/>
      </c>
      <c r="AR40" s="5">
        <f>AP40-AQ40</f>
        <v/>
      </c>
      <c r="AS40" s="5">
        <f>D40/F40*X40</f>
        <v/>
      </c>
      <c r="AT40" s="1">
        <f>#REF!/F40*X40*-1</f>
        <v/>
      </c>
      <c r="AU40" s="1">
        <f>E40/F40*W40</f>
        <v/>
      </c>
      <c r="AV40" s="1">
        <f>1/F40*T40</f>
        <v/>
      </c>
      <c r="AW40" s="1">
        <f>G40/F40*AF40</f>
        <v/>
      </c>
      <c r="AX40" s="1">
        <f>#REF!/F40*AF40*-1</f>
        <v/>
      </c>
      <c r="AY40" s="1">
        <f>J40/F40/(0.9*8760)</f>
        <v/>
      </c>
      <c r="AZ40" s="1">
        <f>K40/F40/(0.9*8760)</f>
        <v/>
      </c>
      <c r="BA40" s="1">
        <f>L40/F40</f>
        <v/>
      </c>
      <c r="BB40" s="1">
        <f>BX40+BY40+BZ40</f>
        <v/>
      </c>
      <c r="BC40" s="1">
        <f>(O40+P40)*-1*H40/F40</f>
        <v/>
      </c>
      <c r="BD40" s="1">
        <f>BB40*O40</f>
        <v/>
      </c>
      <c r="BE40" s="1">
        <f>BX40+BY40</f>
        <v/>
      </c>
      <c r="BF40" s="1">
        <f>P40*H40*-1/F40</f>
        <v/>
      </c>
      <c r="BG40" s="1">
        <f>BE40*O40</f>
        <v/>
      </c>
      <c r="BH40" s="1">
        <f>SUM(BW40:CA40)</f>
        <v/>
      </c>
      <c r="BI40" s="1">
        <f>(O40+P40)*-1*H40/F40</f>
        <v/>
      </c>
      <c r="BJ40" s="1">
        <f>BH40*O40</f>
        <v/>
      </c>
      <c r="BK40" s="1">
        <f>BW40+BX40+BY40+CA40</f>
        <v/>
      </c>
      <c r="BL40" s="1">
        <f>H40/F40*P40*-1</f>
        <v/>
      </c>
      <c r="BM40" s="1">
        <f>O40*BK40</f>
        <v/>
      </c>
      <c r="BO40" s="9" t="n">
        <v>3.14</v>
      </c>
      <c r="BP40" s="10" t="n">
        <v>0.2218110024</v>
      </c>
      <c r="BQ40" s="9" t="n">
        <v>0.18104824</v>
      </c>
      <c r="BS40" s="10">
        <f>1/F40*BP40</f>
        <v/>
      </c>
      <c r="BT40" s="10">
        <f>G40/F40*BQ40</f>
        <v/>
      </c>
      <c r="BU40" s="10">
        <f>BS40+BT40</f>
        <v/>
      </c>
      <c r="BW40" s="10">
        <f>BO40</f>
        <v/>
      </c>
      <c r="BX40" s="10">
        <f>#REF!/F40*BQ40</f>
        <v/>
      </c>
      <c r="BY40" s="10">
        <f>I40/F40</f>
        <v/>
      </c>
      <c r="BZ40" s="10">
        <f>H40/F40</f>
        <v/>
      </c>
      <c r="CA40" s="10">
        <f>BU40-SUM(BW40:BZ40)</f>
        <v/>
      </c>
      <c r="CB40" s="10">
        <f>SUM(BW40:CA40)</f>
        <v/>
      </c>
    </row>
    <row r="41">
      <c r="B41" s="14" t="n"/>
      <c r="C41" s="13" t="inlineStr">
        <is>
          <t>Ethanol</t>
        </is>
      </c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1">
        <f>CA41/0.22/14</f>
        <v/>
      </c>
      <c r="O41" s="16" t="n"/>
      <c r="P41" s="16" t="n"/>
      <c r="Q41" s="16" t="n"/>
      <c r="R41" s="16" t="n"/>
      <c r="S41" s="16" t="n"/>
      <c r="T41" s="11" t="n">
        <v>21.9863533</v>
      </c>
      <c r="U41" s="17" t="n"/>
      <c r="V41" s="17" t="n"/>
      <c r="W41" s="16" t="n"/>
      <c r="X41" s="16" t="n"/>
      <c r="Y41" s="16" t="n"/>
      <c r="Z41" s="17" t="n"/>
      <c r="AA41" s="17" t="n"/>
      <c r="AB41" s="17" t="n"/>
      <c r="AC41" s="17" t="n"/>
      <c r="AD41" s="17" t="n"/>
      <c r="AE41" s="17" t="n"/>
      <c r="AF41" s="16" t="n"/>
      <c r="AG41" s="16" t="n"/>
      <c r="AH41" s="16" t="n"/>
      <c r="AI41" s="16" t="n"/>
      <c r="AK41" s="1">
        <f>B41</f>
        <v/>
      </c>
      <c r="AL41" s="1">
        <f>C41</f>
        <v/>
      </c>
      <c r="AM41" s="12">
        <f>SUM(AS41:BA41)+BC41+BD41</f>
        <v/>
      </c>
      <c r="AN41" s="12">
        <f>SUM(AS41:BA41)+BF41+BG41</f>
        <v/>
      </c>
      <c r="AO41" s="5">
        <f>AM41-AN41</f>
        <v/>
      </c>
      <c r="AP41" s="12">
        <f>SUM(AS41:BA41)+BI41+BJ41</f>
        <v/>
      </c>
      <c r="AQ41" s="12">
        <f>SUM(AS41:BA41)+BL41+BM41</f>
        <v/>
      </c>
      <c r="AR41" s="5">
        <f>AP41-AQ41</f>
        <v/>
      </c>
      <c r="AS41" s="5">
        <f>D41/F41*X41</f>
        <v/>
      </c>
      <c r="AT41" s="1">
        <f>#REF!/F41*X41*-1</f>
        <v/>
      </c>
      <c r="AU41" s="1">
        <f>E41/F41*W41</f>
        <v/>
      </c>
      <c r="AV41" s="1">
        <f>1/F41*T41</f>
        <v/>
      </c>
      <c r="AW41" s="1">
        <f>G41/F41*AF41</f>
        <v/>
      </c>
      <c r="AX41" s="1">
        <f>#REF!/F41*AF41*-1</f>
        <v/>
      </c>
      <c r="AY41" s="1">
        <f>J41/F41/(0.9*8760)</f>
        <v/>
      </c>
      <c r="AZ41" s="1">
        <f>K41/F41/(0.9*8760)</f>
        <v/>
      </c>
      <c r="BA41" s="1">
        <f>L41/F41</f>
        <v/>
      </c>
      <c r="BB41" s="1">
        <f>BX41+BY41+BZ41</f>
        <v/>
      </c>
      <c r="BC41" s="1">
        <f>(O41+P41)*-1*H41/F41</f>
        <v/>
      </c>
      <c r="BD41" s="1">
        <f>BB41*O41</f>
        <v/>
      </c>
      <c r="BE41" s="1">
        <f>BX41+BY41</f>
        <v/>
      </c>
      <c r="BF41" s="1">
        <f>P41*H41*-1/F41</f>
        <v/>
      </c>
      <c r="BG41" s="1">
        <f>BE41*O41</f>
        <v/>
      </c>
      <c r="BH41" s="1">
        <f>SUM(BW41:CA41)</f>
        <v/>
      </c>
      <c r="BI41" s="1">
        <f>(O41+P41)*-1*H41/F41</f>
        <v/>
      </c>
      <c r="BJ41" s="1">
        <f>BH41*O41</f>
        <v/>
      </c>
      <c r="BK41" s="1">
        <f>BW41+BX41+BY41+CA41</f>
        <v/>
      </c>
      <c r="BL41" s="1">
        <f>H41/F41*P41*-1</f>
        <v/>
      </c>
      <c r="BM41" s="1">
        <f>O41*BK41</f>
        <v/>
      </c>
      <c r="BO41" s="9" t="n">
        <v>3.14</v>
      </c>
      <c r="BP41" s="10" t="n">
        <v>0.2218110024</v>
      </c>
      <c r="BQ41" s="9" t="n">
        <v>0.18104824</v>
      </c>
      <c r="BS41" s="10">
        <f>1/F41*BP41</f>
        <v/>
      </c>
      <c r="BT41" s="10">
        <f>G41/F41*BQ41</f>
        <v/>
      </c>
      <c r="BU41" s="10">
        <f>BS41+BT41</f>
        <v/>
      </c>
      <c r="BW41" s="10">
        <f>BO41</f>
        <v/>
      </c>
      <c r="BX41" s="10">
        <f>#REF!/F41*BQ41</f>
        <v/>
      </c>
      <c r="BY41" s="10">
        <f>I41/F41</f>
        <v/>
      </c>
      <c r="BZ41" s="10">
        <f>H41/F41</f>
        <v/>
      </c>
      <c r="CA41" s="10">
        <f>BU41-SUM(BW41:BZ41)</f>
        <v/>
      </c>
      <c r="CB41" s="10">
        <f>SUM(BW41:CA41)</f>
        <v/>
      </c>
    </row>
    <row r="42">
      <c r="B42" s="14" t="n"/>
      <c r="C42" s="13" t="inlineStr">
        <is>
          <t>Ethanol</t>
        </is>
      </c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1">
        <f>CA42/0.22/14</f>
        <v/>
      </c>
      <c r="O42" s="16" t="n"/>
      <c r="P42" s="16" t="n"/>
      <c r="Q42" s="16" t="n"/>
      <c r="R42" s="16" t="n"/>
      <c r="S42" s="16" t="n"/>
      <c r="T42" s="11" t="n">
        <v>21.9863533</v>
      </c>
      <c r="U42" s="17" t="n"/>
      <c r="V42" s="17" t="n"/>
      <c r="W42" s="16" t="n"/>
      <c r="X42" s="16" t="n"/>
      <c r="Y42" s="16" t="n"/>
      <c r="Z42" s="17" t="n"/>
      <c r="AA42" s="17" t="n"/>
      <c r="AB42" s="17" t="n"/>
      <c r="AC42" s="17" t="n"/>
      <c r="AD42" s="17" t="n"/>
      <c r="AE42" s="17" t="n"/>
      <c r="AF42" s="16" t="n"/>
      <c r="AG42" s="16" t="n"/>
      <c r="AH42" s="16" t="n"/>
      <c r="AI42" s="16" t="n"/>
      <c r="AK42" s="1">
        <f>B42</f>
        <v/>
      </c>
      <c r="AL42" s="1">
        <f>C42</f>
        <v/>
      </c>
      <c r="AM42" s="12">
        <f>SUM(AS42:BA42)+BC42+BD42</f>
        <v/>
      </c>
      <c r="AN42" s="12">
        <f>SUM(AS42:BA42)+BF42+BG42</f>
        <v/>
      </c>
      <c r="AO42" s="5">
        <f>AM42-AN42</f>
        <v/>
      </c>
      <c r="AP42" s="12">
        <f>SUM(AS42:BA42)+BI42+BJ42</f>
        <v/>
      </c>
      <c r="AQ42" s="12">
        <f>SUM(AS42:BA42)+BL42+BM42</f>
        <v/>
      </c>
      <c r="AR42" s="5">
        <f>AP42-AQ42</f>
        <v/>
      </c>
      <c r="AS42" s="5">
        <f>D42/F42*X42</f>
        <v/>
      </c>
      <c r="AT42" s="1">
        <f>#REF!/F42*X42*-1</f>
        <v/>
      </c>
      <c r="AU42" s="1">
        <f>E42/F42*W42</f>
        <v/>
      </c>
      <c r="AV42" s="1">
        <f>1/F42*T42</f>
        <v/>
      </c>
      <c r="AW42" s="1">
        <f>G42/F42*AF42</f>
        <v/>
      </c>
      <c r="AX42" s="1">
        <f>#REF!/F42*AF42*-1</f>
        <v/>
      </c>
      <c r="AY42" s="1">
        <f>J42/F42/(0.9*8760)</f>
        <v/>
      </c>
      <c r="AZ42" s="1">
        <f>K42/F42/(0.9*8760)</f>
        <v/>
      </c>
      <c r="BA42" s="1">
        <f>L42/F42</f>
        <v/>
      </c>
      <c r="BB42" s="1">
        <f>BX42+BY42+BZ42</f>
        <v/>
      </c>
      <c r="BC42" s="1">
        <f>(O42+P42)*-1*H42/F42</f>
        <v/>
      </c>
      <c r="BD42" s="1">
        <f>BB42*O42</f>
        <v/>
      </c>
      <c r="BE42" s="1">
        <f>BX42+BY42</f>
        <v/>
      </c>
      <c r="BF42" s="1">
        <f>P42*H42*-1/F42</f>
        <v/>
      </c>
      <c r="BG42" s="1">
        <f>BE42*O42</f>
        <v/>
      </c>
      <c r="BH42" s="1">
        <f>SUM(BW42:CA42)</f>
        <v/>
      </c>
      <c r="BI42" s="1">
        <f>(O42+P42)*-1*H42/F42</f>
        <v/>
      </c>
      <c r="BJ42" s="1">
        <f>BH42*O42</f>
        <v/>
      </c>
      <c r="BK42" s="1">
        <f>BW42+BX42+BY42+CA42</f>
        <v/>
      </c>
      <c r="BL42" s="1">
        <f>H42/F42*P42*-1</f>
        <v/>
      </c>
      <c r="BM42" s="1">
        <f>O42*BK42</f>
        <v/>
      </c>
      <c r="BO42" s="9" t="n">
        <v>3.14</v>
      </c>
      <c r="BP42" s="10" t="n">
        <v>0.2218110024</v>
      </c>
      <c r="BQ42" s="9" t="n">
        <v>0.18104824</v>
      </c>
      <c r="BS42" s="10">
        <f>1/F42*BP42</f>
        <v/>
      </c>
      <c r="BT42" s="10">
        <f>G42/F42*BQ42</f>
        <v/>
      </c>
      <c r="BU42" s="10">
        <f>BS42+BT42</f>
        <v/>
      </c>
      <c r="BW42" s="10">
        <f>BO42</f>
        <v/>
      </c>
      <c r="BX42" s="10">
        <f>#REF!/F42*BQ42</f>
        <v/>
      </c>
      <c r="BY42" s="10">
        <f>I42/F42</f>
        <v/>
      </c>
      <c r="BZ42" s="10">
        <f>H42/F42</f>
        <v/>
      </c>
      <c r="CA42" s="10">
        <f>BU42-SUM(BW42:BZ42)</f>
        <v/>
      </c>
      <c r="CB42" s="10">
        <f>SUM(BW42:CA42)</f>
        <v/>
      </c>
    </row>
    <row r="43">
      <c r="B43" s="14" t="n"/>
      <c r="C43" s="13" t="inlineStr">
        <is>
          <t>Ethanol</t>
        </is>
      </c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1">
        <f>CA43/0.22/14</f>
        <v/>
      </c>
      <c r="O43" s="16" t="n"/>
      <c r="P43" s="16" t="n"/>
      <c r="Q43" s="16" t="n"/>
      <c r="R43" s="16" t="n"/>
      <c r="S43" s="16" t="n"/>
      <c r="T43" s="11" t="n">
        <v>21.9863533</v>
      </c>
      <c r="U43" s="17" t="n"/>
      <c r="V43" s="17" t="n"/>
      <c r="W43" s="16" t="n"/>
      <c r="X43" s="16" t="n"/>
      <c r="Y43" s="16" t="n"/>
      <c r="Z43" s="17" t="n"/>
      <c r="AA43" s="17" t="n"/>
      <c r="AB43" s="17" t="n"/>
      <c r="AC43" s="17" t="n"/>
      <c r="AD43" s="17" t="n"/>
      <c r="AE43" s="17" t="n"/>
      <c r="AF43" s="16" t="n"/>
      <c r="AG43" s="16" t="n"/>
      <c r="AH43" s="16" t="n"/>
      <c r="AI43" s="16" t="n"/>
      <c r="AK43" s="1">
        <f>B43</f>
        <v/>
      </c>
      <c r="AL43" s="1">
        <f>C43</f>
        <v/>
      </c>
      <c r="AM43" s="12">
        <f>SUM(AS43:BA43)+BC43+BD43</f>
        <v/>
      </c>
      <c r="AN43" s="12">
        <f>SUM(AS43:BA43)+BF43+BG43</f>
        <v/>
      </c>
      <c r="AO43" s="5">
        <f>AM43-AN43</f>
        <v/>
      </c>
      <c r="AP43" s="12">
        <f>SUM(AS43:BA43)+BI43+BJ43</f>
        <v/>
      </c>
      <c r="AQ43" s="12">
        <f>SUM(AS43:BA43)+BL43+BM43</f>
        <v/>
      </c>
      <c r="AR43" s="5">
        <f>AP43-AQ43</f>
        <v/>
      </c>
      <c r="AS43" s="5">
        <f>D43/F43*X43</f>
        <v/>
      </c>
      <c r="AT43" s="1">
        <f>#REF!/F43*X43*-1</f>
        <v/>
      </c>
      <c r="AU43" s="1">
        <f>E43/F43*W43</f>
        <v/>
      </c>
      <c r="AV43" s="1">
        <f>1/F43*T43</f>
        <v/>
      </c>
      <c r="AW43" s="1">
        <f>G43/F43*AF43</f>
        <v/>
      </c>
      <c r="AX43" s="1">
        <f>#REF!/F43*AF43*-1</f>
        <v/>
      </c>
      <c r="AY43" s="1">
        <f>J43/F43/(0.9*8760)</f>
        <v/>
      </c>
      <c r="AZ43" s="1">
        <f>K43/F43/(0.9*8760)</f>
        <v/>
      </c>
      <c r="BA43" s="1">
        <f>L43/F43</f>
        <v/>
      </c>
      <c r="BB43" s="1">
        <f>BX43+BY43+BZ43</f>
        <v/>
      </c>
      <c r="BC43" s="1">
        <f>(O43+P43)*-1*H43/F43</f>
        <v/>
      </c>
      <c r="BD43" s="1">
        <f>BB43*O43</f>
        <v/>
      </c>
      <c r="BE43" s="1">
        <f>BX43+BY43</f>
        <v/>
      </c>
      <c r="BF43" s="1">
        <f>P43*H43*-1/F43</f>
        <v/>
      </c>
      <c r="BG43" s="1">
        <f>BE43*O43</f>
        <v/>
      </c>
      <c r="BH43" s="1">
        <f>SUM(BW43:CA43)</f>
        <v/>
      </c>
      <c r="BI43" s="1">
        <f>(O43+P43)*-1*H43/F43</f>
        <v/>
      </c>
      <c r="BJ43" s="1">
        <f>BH43*O43</f>
        <v/>
      </c>
      <c r="BK43" s="1">
        <f>BW43+BX43+BY43+CA43</f>
        <v/>
      </c>
      <c r="BL43" s="1">
        <f>H43/F43*P43*-1</f>
        <v/>
      </c>
      <c r="BM43" s="1">
        <f>O43*BK43</f>
        <v/>
      </c>
      <c r="BO43" s="9" t="n">
        <v>3.14</v>
      </c>
      <c r="BP43" s="10" t="n">
        <v>0.2218110024</v>
      </c>
      <c r="BQ43" s="9" t="n">
        <v>0.18104824</v>
      </c>
      <c r="BS43" s="10">
        <f>1/F43*BP43</f>
        <v/>
      </c>
      <c r="BT43" s="10">
        <f>G43/F43*BQ43</f>
        <v/>
      </c>
      <c r="BU43" s="10">
        <f>BS43+BT43</f>
        <v/>
      </c>
      <c r="BW43" s="10">
        <f>BO43</f>
        <v/>
      </c>
      <c r="BX43" s="10">
        <f>#REF!/F43*BQ43</f>
        <v/>
      </c>
      <c r="BY43" s="10">
        <f>I43/F43</f>
        <v/>
      </c>
      <c r="BZ43" s="10">
        <f>H43/F43</f>
        <v/>
      </c>
      <c r="CA43" s="10">
        <f>BU43-SUM(BW43:BZ43)</f>
        <v/>
      </c>
      <c r="CB43" s="10">
        <f>SUM(BW43:CA43)</f>
        <v/>
      </c>
    </row>
    <row r="44">
      <c r="B44" s="14" t="n"/>
      <c r="C44" s="13" t="inlineStr">
        <is>
          <t>Ethanol</t>
        </is>
      </c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1">
        <f>CA44/0.22/14</f>
        <v/>
      </c>
      <c r="O44" s="16" t="n"/>
      <c r="P44" s="16" t="n"/>
      <c r="Q44" s="16" t="n"/>
      <c r="R44" s="16" t="n"/>
      <c r="S44" s="16" t="n"/>
      <c r="T44" s="11" t="n">
        <v>21.9863533</v>
      </c>
      <c r="U44" s="17" t="n"/>
      <c r="V44" s="17" t="n"/>
      <c r="W44" s="16" t="n"/>
      <c r="X44" s="16" t="n"/>
      <c r="Y44" s="16" t="n"/>
      <c r="Z44" s="17" t="n"/>
      <c r="AA44" s="17" t="n"/>
      <c r="AB44" s="17" t="n"/>
      <c r="AC44" s="17" t="n"/>
      <c r="AD44" s="17" t="n"/>
      <c r="AE44" s="17" t="n"/>
      <c r="AF44" s="16" t="n"/>
      <c r="AG44" s="16" t="n"/>
      <c r="AH44" s="16" t="n"/>
      <c r="AI44" s="16" t="n"/>
      <c r="AK44" s="1">
        <f>B44</f>
        <v/>
      </c>
      <c r="AL44" s="1">
        <f>C44</f>
        <v/>
      </c>
      <c r="AM44" s="12">
        <f>SUM(AS44:BA44)+BC44+BD44</f>
        <v/>
      </c>
      <c r="AN44" s="12">
        <f>SUM(AS44:BA44)+BF44+BG44</f>
        <v/>
      </c>
      <c r="AO44" s="5">
        <f>AM44-AN44</f>
        <v/>
      </c>
      <c r="AP44" s="12">
        <f>SUM(AS44:BA44)+BI44+BJ44</f>
        <v/>
      </c>
      <c r="AQ44" s="12">
        <f>SUM(AS44:BA44)+BL44+BM44</f>
        <v/>
      </c>
      <c r="AR44" s="5">
        <f>AP44-AQ44</f>
        <v/>
      </c>
      <c r="AS44" s="5">
        <f>D44/F44*X44</f>
        <v/>
      </c>
      <c r="AT44" s="1">
        <f>#REF!/F44*X44*-1</f>
        <v/>
      </c>
      <c r="AU44" s="1">
        <f>E44/F44*W44</f>
        <v/>
      </c>
      <c r="AV44" s="1">
        <f>1/F44*T44</f>
        <v/>
      </c>
      <c r="AW44" s="1">
        <f>G44/F44*AF44</f>
        <v/>
      </c>
      <c r="AX44" s="1">
        <f>#REF!/F44*AF44*-1</f>
        <v/>
      </c>
      <c r="AY44" s="1">
        <f>J44/F44/(0.9*8760)</f>
        <v/>
      </c>
      <c r="AZ44" s="1">
        <f>K44/F44/(0.9*8760)</f>
        <v/>
      </c>
      <c r="BA44" s="1">
        <f>L44/F44</f>
        <v/>
      </c>
      <c r="BB44" s="1">
        <f>BX44+BY44+BZ44</f>
        <v/>
      </c>
      <c r="BC44" s="1">
        <f>(O44+P44)*-1*H44/F44</f>
        <v/>
      </c>
      <c r="BD44" s="1">
        <f>BB44*O44</f>
        <v/>
      </c>
      <c r="BE44" s="1">
        <f>BX44+BY44</f>
        <v/>
      </c>
      <c r="BF44" s="1">
        <f>P44*H44*-1/F44</f>
        <v/>
      </c>
      <c r="BG44" s="1">
        <f>BE44*O44</f>
        <v/>
      </c>
      <c r="BH44" s="1">
        <f>SUM(BW44:CA44)</f>
        <v/>
      </c>
      <c r="BI44" s="1">
        <f>(O44+P44)*-1*H44/F44</f>
        <v/>
      </c>
      <c r="BJ44" s="1">
        <f>BH44*O44</f>
        <v/>
      </c>
      <c r="BK44" s="1">
        <f>BW44+BX44+BY44+CA44</f>
        <v/>
      </c>
      <c r="BL44" s="1">
        <f>H44/F44*P44*-1</f>
        <v/>
      </c>
      <c r="BM44" s="1">
        <f>O44*BK44</f>
        <v/>
      </c>
      <c r="BO44" s="9" t="n">
        <v>3.14</v>
      </c>
      <c r="BP44" s="10" t="n">
        <v>0.2218110024</v>
      </c>
      <c r="BQ44" s="9" t="n">
        <v>0.18104824</v>
      </c>
      <c r="BS44" s="10">
        <f>1/F44*BP44</f>
        <v/>
      </c>
      <c r="BT44" s="10">
        <f>G44/F44*BQ44</f>
        <v/>
      </c>
      <c r="BU44" s="10">
        <f>BS44+BT44</f>
        <v/>
      </c>
      <c r="BW44" s="10">
        <f>BO44</f>
        <v/>
      </c>
      <c r="BX44" s="10">
        <f>#REF!/F44*BQ44</f>
        <v/>
      </c>
      <c r="BY44" s="10">
        <f>I44/F44</f>
        <v/>
      </c>
      <c r="BZ44" s="10">
        <f>H44/F44</f>
        <v/>
      </c>
      <c r="CA44" s="10">
        <f>BU44-SUM(BW44:BZ44)</f>
        <v/>
      </c>
      <c r="CB44" s="10">
        <f>SUM(BW44:CA44)</f>
        <v/>
      </c>
    </row>
    <row r="45">
      <c r="B45" s="14" t="n"/>
      <c r="C45" s="13" t="inlineStr">
        <is>
          <t>Ethanol</t>
        </is>
      </c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1">
        <f>CA45/0.22/14</f>
        <v/>
      </c>
      <c r="O45" s="16" t="n"/>
      <c r="P45" s="16" t="n"/>
      <c r="Q45" s="16" t="n"/>
      <c r="R45" s="16" t="n"/>
      <c r="S45" s="16" t="n"/>
      <c r="T45" s="11" t="n">
        <v>21.9863533</v>
      </c>
      <c r="U45" s="17" t="n"/>
      <c r="V45" s="17" t="n"/>
      <c r="W45" s="16" t="n"/>
      <c r="X45" s="16" t="n"/>
      <c r="Y45" s="16" t="n"/>
      <c r="Z45" s="17" t="n"/>
      <c r="AA45" s="17" t="n"/>
      <c r="AB45" s="17" t="n"/>
      <c r="AC45" s="17" t="n"/>
      <c r="AD45" s="17" t="n"/>
      <c r="AE45" s="17" t="n"/>
      <c r="AF45" s="16" t="n"/>
      <c r="AG45" s="16" t="n"/>
      <c r="AH45" s="16" t="n"/>
      <c r="AI45" s="16" t="n"/>
      <c r="AK45" s="1">
        <f>B45</f>
        <v/>
      </c>
      <c r="AL45" s="1">
        <f>C45</f>
        <v/>
      </c>
      <c r="AM45" s="12">
        <f>SUM(AS45:BA45)+BC45+BD45</f>
        <v/>
      </c>
      <c r="AN45" s="12">
        <f>SUM(AS45:BA45)+BF45+BG45</f>
        <v/>
      </c>
      <c r="AO45" s="5">
        <f>AM45-AN45</f>
        <v/>
      </c>
      <c r="AP45" s="12">
        <f>SUM(AS45:BA45)+BI45+BJ45</f>
        <v/>
      </c>
      <c r="AQ45" s="12">
        <f>SUM(AS45:BA45)+BL45+BM45</f>
        <v/>
      </c>
      <c r="AR45" s="5">
        <f>AP45-AQ45</f>
        <v/>
      </c>
      <c r="AS45" s="5">
        <f>D45/F45*X45</f>
        <v/>
      </c>
      <c r="AT45" s="1">
        <f>#REF!/F45*X45*-1</f>
        <v/>
      </c>
      <c r="AU45" s="1">
        <f>E45/F45*W45</f>
        <v/>
      </c>
      <c r="AV45" s="1">
        <f>1/F45*T45</f>
        <v/>
      </c>
      <c r="AW45" s="1">
        <f>G45/F45*AF45</f>
        <v/>
      </c>
      <c r="AX45" s="1">
        <f>#REF!/F45*AF45*-1</f>
        <v/>
      </c>
      <c r="AY45" s="1">
        <f>J45/F45/(0.9*8760)</f>
        <v/>
      </c>
      <c r="AZ45" s="1">
        <f>K45/F45/(0.9*8760)</f>
        <v/>
      </c>
      <c r="BA45" s="1">
        <f>L45/F45</f>
        <v/>
      </c>
      <c r="BB45" s="1">
        <f>BX45+BY45+BZ45</f>
        <v/>
      </c>
      <c r="BC45" s="1">
        <f>(O45+P45)*-1*H45/F45</f>
        <v/>
      </c>
      <c r="BD45" s="1">
        <f>BB45*O45</f>
        <v/>
      </c>
      <c r="BE45" s="1">
        <f>BX45+BY45</f>
        <v/>
      </c>
      <c r="BF45" s="1">
        <f>P45*H45*-1/F45</f>
        <v/>
      </c>
      <c r="BG45" s="1">
        <f>BE45*O45</f>
        <v/>
      </c>
      <c r="BH45" s="1">
        <f>SUM(BW45:CA45)</f>
        <v/>
      </c>
      <c r="BI45" s="1">
        <f>(O45+P45)*-1*H45/F45</f>
        <v/>
      </c>
      <c r="BJ45" s="1">
        <f>BH45*O45</f>
        <v/>
      </c>
      <c r="BK45" s="1">
        <f>BW45+BX45+BY45+CA45</f>
        <v/>
      </c>
      <c r="BL45" s="1">
        <f>H45/F45*P45*-1</f>
        <v/>
      </c>
      <c r="BM45" s="1">
        <f>O45*BK45</f>
        <v/>
      </c>
      <c r="BO45" s="9" t="n">
        <v>3.14</v>
      </c>
      <c r="BP45" s="10" t="n">
        <v>0.2218110024</v>
      </c>
      <c r="BQ45" s="9" t="n">
        <v>0.18104824</v>
      </c>
      <c r="BS45" s="10">
        <f>1/F45*BP45</f>
        <v/>
      </c>
      <c r="BT45" s="10">
        <f>G45/F45*BQ45</f>
        <v/>
      </c>
      <c r="BU45" s="10">
        <f>BS45+BT45</f>
        <v/>
      </c>
      <c r="BW45" s="10">
        <f>BO45</f>
        <v/>
      </c>
      <c r="BX45" s="10">
        <f>#REF!/F45*BQ45</f>
        <v/>
      </c>
      <c r="BY45" s="10">
        <f>I45/F45</f>
        <v/>
      </c>
      <c r="BZ45" s="10">
        <f>H45/F45</f>
        <v/>
      </c>
      <c r="CA45" s="10">
        <f>BU45-SUM(BW45:BZ45)</f>
        <v/>
      </c>
      <c r="CB45" s="10">
        <f>SUM(BW45:CA45)</f>
        <v/>
      </c>
    </row>
    <row r="46">
      <c r="B46" s="14" t="n"/>
      <c r="C46" s="13" t="inlineStr">
        <is>
          <t>Ethanol</t>
        </is>
      </c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1">
        <f>CA46/0.22/14</f>
        <v/>
      </c>
      <c r="O46" s="16" t="n"/>
      <c r="P46" s="16" t="n"/>
      <c r="Q46" s="16" t="n"/>
      <c r="R46" s="16" t="n"/>
      <c r="S46" s="16" t="n"/>
      <c r="T46" s="11" t="n">
        <v>21.9863533</v>
      </c>
      <c r="U46" s="17" t="n"/>
      <c r="V46" s="17" t="n"/>
      <c r="W46" s="16" t="n"/>
      <c r="X46" s="16" t="n"/>
      <c r="Y46" s="16" t="n"/>
      <c r="Z46" s="17" t="n"/>
      <c r="AA46" s="17" t="n"/>
      <c r="AB46" s="17" t="n"/>
      <c r="AC46" s="17" t="n"/>
      <c r="AD46" s="17" t="n"/>
      <c r="AE46" s="17" t="n"/>
      <c r="AF46" s="16" t="n"/>
      <c r="AG46" s="16" t="n"/>
      <c r="AH46" s="16" t="n"/>
      <c r="AI46" s="16" t="n"/>
      <c r="AK46" s="1">
        <f>B46</f>
        <v/>
      </c>
      <c r="AL46" s="1">
        <f>C46</f>
        <v/>
      </c>
      <c r="AM46" s="12">
        <f>SUM(AS46:BA46)+BC46+BD46</f>
        <v/>
      </c>
      <c r="AN46" s="12">
        <f>SUM(AS46:BA46)+BF46+BG46</f>
        <v/>
      </c>
      <c r="AO46" s="5">
        <f>AM46-AN46</f>
        <v/>
      </c>
      <c r="AP46" s="12">
        <f>SUM(AS46:BA46)+BI46+BJ46</f>
        <v/>
      </c>
      <c r="AQ46" s="12">
        <f>SUM(AS46:BA46)+BL46+BM46</f>
        <v/>
      </c>
      <c r="AR46" s="5">
        <f>AP46-AQ46</f>
        <v/>
      </c>
      <c r="AS46" s="5">
        <f>D46/F46*X46</f>
        <v/>
      </c>
      <c r="AT46" s="1">
        <f>#REF!/F46*X46*-1</f>
        <v/>
      </c>
      <c r="AU46" s="1">
        <f>E46/F46*W46</f>
        <v/>
      </c>
      <c r="AV46" s="1">
        <f>1/F46*T46</f>
        <v/>
      </c>
      <c r="AW46" s="1">
        <f>G46/F46*AF46</f>
        <v/>
      </c>
      <c r="AX46" s="1">
        <f>#REF!/F46*AF46*-1</f>
        <v/>
      </c>
      <c r="AY46" s="1">
        <f>J46/F46/(0.9*8760)</f>
        <v/>
      </c>
      <c r="AZ46" s="1">
        <f>K46/F46/(0.9*8760)</f>
        <v/>
      </c>
      <c r="BA46" s="1">
        <f>L46/F46</f>
        <v/>
      </c>
      <c r="BB46" s="1">
        <f>BX46+BY46+BZ46</f>
        <v/>
      </c>
      <c r="BC46" s="1">
        <f>(O46+P46)*-1*H46/F46</f>
        <v/>
      </c>
      <c r="BD46" s="1">
        <f>BB46*O46</f>
        <v/>
      </c>
      <c r="BE46" s="1">
        <f>BX46+BY46</f>
        <v/>
      </c>
      <c r="BF46" s="1">
        <f>P46*H46*-1/F46</f>
        <v/>
      </c>
      <c r="BG46" s="1">
        <f>BE46*O46</f>
        <v/>
      </c>
      <c r="BH46" s="1">
        <f>SUM(BW46:CA46)</f>
        <v/>
      </c>
      <c r="BI46" s="1">
        <f>(O46+P46)*-1*H46/F46</f>
        <v/>
      </c>
      <c r="BJ46" s="1">
        <f>BH46*O46</f>
        <v/>
      </c>
      <c r="BK46" s="1">
        <f>BW46+BX46+BY46+CA46</f>
        <v/>
      </c>
      <c r="BL46" s="1">
        <f>H46/F46*P46*-1</f>
        <v/>
      </c>
      <c r="BM46" s="1">
        <f>O46*BK46</f>
        <v/>
      </c>
      <c r="BO46" s="9" t="n">
        <v>3.14</v>
      </c>
      <c r="BP46" s="10" t="n">
        <v>0.2218110024</v>
      </c>
      <c r="BQ46" s="9" t="n">
        <v>0.18104824</v>
      </c>
      <c r="BS46" s="10">
        <f>1/F46*BP46</f>
        <v/>
      </c>
      <c r="BT46" s="10">
        <f>G46/F46*BQ46</f>
        <v/>
      </c>
      <c r="BU46" s="10">
        <f>BS46+BT46</f>
        <v/>
      </c>
      <c r="BW46" s="10">
        <f>BO46</f>
        <v/>
      </c>
      <c r="BX46" s="10">
        <f>#REF!/F46*BQ46</f>
        <v/>
      </c>
      <c r="BY46" s="10">
        <f>I46/F46</f>
        <v/>
      </c>
      <c r="BZ46" s="10">
        <f>H46/F46</f>
        <v/>
      </c>
      <c r="CA46" s="10">
        <f>BU46-SUM(BW46:BZ46)</f>
        <v/>
      </c>
      <c r="CB46" s="10">
        <f>SUM(BW46:CA46)</f>
        <v/>
      </c>
    </row>
    <row r="47">
      <c r="B47" s="14" t="n"/>
      <c r="C47" s="13" t="inlineStr">
        <is>
          <t>Ethanol</t>
        </is>
      </c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1">
        <f>CA47/0.22/14</f>
        <v/>
      </c>
      <c r="O47" s="16" t="n"/>
      <c r="P47" s="16" t="n"/>
      <c r="Q47" s="16" t="n"/>
      <c r="R47" s="16" t="n"/>
      <c r="S47" s="16" t="n"/>
      <c r="T47" s="11" t="n">
        <v>21.9863533</v>
      </c>
      <c r="U47" s="17" t="n"/>
      <c r="V47" s="17" t="n"/>
      <c r="W47" s="16" t="n"/>
      <c r="X47" s="16" t="n"/>
      <c r="Y47" s="16" t="n"/>
      <c r="Z47" s="17" t="n"/>
      <c r="AA47" s="17" t="n"/>
      <c r="AB47" s="17" t="n"/>
      <c r="AC47" s="17" t="n"/>
      <c r="AD47" s="17" t="n"/>
      <c r="AE47" s="17" t="n"/>
      <c r="AF47" s="16" t="n"/>
      <c r="AG47" s="16" t="n"/>
      <c r="AH47" s="16" t="n"/>
      <c r="AI47" s="16" t="n"/>
      <c r="AK47" s="1">
        <f>B47</f>
        <v/>
      </c>
      <c r="AL47" s="1">
        <f>C47</f>
        <v/>
      </c>
      <c r="AM47" s="12">
        <f>SUM(AS47:BA47)+BC47+BD47</f>
        <v/>
      </c>
      <c r="AN47" s="12">
        <f>SUM(AS47:BA47)+BF47+BG47</f>
        <v/>
      </c>
      <c r="AO47" s="5">
        <f>AM47-AN47</f>
        <v/>
      </c>
      <c r="AP47" s="12">
        <f>SUM(AS47:BA47)+BI47+BJ47</f>
        <v/>
      </c>
      <c r="AQ47" s="12">
        <f>SUM(AS47:BA47)+BL47+BM47</f>
        <v/>
      </c>
      <c r="AR47" s="5">
        <f>AP47-AQ47</f>
        <v/>
      </c>
      <c r="AS47" s="5">
        <f>D47/F47*X47</f>
        <v/>
      </c>
      <c r="AT47" s="1">
        <f>#REF!/F47*X47*-1</f>
        <v/>
      </c>
      <c r="AU47" s="1">
        <f>E47/F47*W47</f>
        <v/>
      </c>
      <c r="AV47" s="1">
        <f>1/F47*T47</f>
        <v/>
      </c>
      <c r="AW47" s="1">
        <f>G47/F47*AF47</f>
        <v/>
      </c>
      <c r="AX47" s="1">
        <f>#REF!/F47*AF47*-1</f>
        <v/>
      </c>
      <c r="AY47" s="1">
        <f>J47/F47/(0.9*8760)</f>
        <v/>
      </c>
      <c r="AZ47" s="1">
        <f>K47/F47/(0.9*8760)</f>
        <v/>
      </c>
      <c r="BA47" s="1">
        <f>L47/F47</f>
        <v/>
      </c>
      <c r="BB47" s="1">
        <f>BX47+BY47+BZ47</f>
        <v/>
      </c>
      <c r="BC47" s="1">
        <f>(O47+P47)*-1*H47/F47</f>
        <v/>
      </c>
      <c r="BD47" s="1">
        <f>BB47*O47</f>
        <v/>
      </c>
      <c r="BE47" s="1">
        <f>BX47+BY47</f>
        <v/>
      </c>
      <c r="BF47" s="1">
        <f>P47*H47*-1/F47</f>
        <v/>
      </c>
      <c r="BG47" s="1">
        <f>BE47*O47</f>
        <v/>
      </c>
      <c r="BH47" s="1">
        <f>SUM(BW47:CA47)</f>
        <v/>
      </c>
      <c r="BI47" s="1">
        <f>(O47+P47)*-1*H47/F47</f>
        <v/>
      </c>
      <c r="BJ47" s="1">
        <f>BH47*O47</f>
        <v/>
      </c>
      <c r="BK47" s="1">
        <f>BW47+BX47+BY47+CA47</f>
        <v/>
      </c>
      <c r="BL47" s="1">
        <f>H47/F47*P47*-1</f>
        <v/>
      </c>
      <c r="BM47" s="1">
        <f>O47*BK47</f>
        <v/>
      </c>
      <c r="BO47" s="9" t="n">
        <v>3.14</v>
      </c>
      <c r="BP47" s="10" t="n">
        <v>0.2218110024</v>
      </c>
      <c r="BQ47" s="9" t="n">
        <v>0.18104824</v>
      </c>
      <c r="BS47" s="10">
        <f>1/F47*BP47</f>
        <v/>
      </c>
      <c r="BT47" s="10">
        <f>G47/F47*BQ47</f>
        <v/>
      </c>
      <c r="BU47" s="10">
        <f>BS47+BT47</f>
        <v/>
      </c>
      <c r="BW47" s="10">
        <f>BO47</f>
        <v/>
      </c>
      <c r="BX47" s="10">
        <f>#REF!/F47*BQ47</f>
        <v/>
      </c>
      <c r="BY47" s="10">
        <f>I47/F47</f>
        <v/>
      </c>
      <c r="BZ47" s="10">
        <f>H47/F47</f>
        <v/>
      </c>
      <c r="CA47" s="10">
        <f>BU47-SUM(BW47:BZ47)</f>
        <v/>
      </c>
      <c r="CB47" s="10">
        <f>SUM(BW47:CA47)</f>
        <v/>
      </c>
    </row>
    <row r="48">
      <c r="B48" s="14" t="n"/>
      <c r="C48" s="13" t="inlineStr">
        <is>
          <t>Ethanol</t>
        </is>
      </c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1">
        <f>CA48/0.22/14</f>
        <v/>
      </c>
      <c r="O48" s="16" t="n"/>
      <c r="P48" s="16" t="n"/>
      <c r="Q48" s="16" t="n"/>
      <c r="R48" s="16" t="n"/>
      <c r="S48" s="16" t="n"/>
      <c r="T48" s="11" t="n">
        <v>21.9863533</v>
      </c>
      <c r="U48" s="17" t="n"/>
      <c r="V48" s="17" t="n"/>
      <c r="W48" s="16" t="n"/>
      <c r="X48" s="16" t="n"/>
      <c r="Y48" s="16" t="n"/>
      <c r="Z48" s="17" t="n"/>
      <c r="AA48" s="17" t="n"/>
      <c r="AB48" s="17" t="n"/>
      <c r="AC48" s="17" t="n"/>
      <c r="AD48" s="17" t="n"/>
      <c r="AE48" s="17" t="n"/>
      <c r="AF48" s="16" t="n"/>
      <c r="AG48" s="16" t="n"/>
      <c r="AH48" s="16" t="n"/>
      <c r="AI48" s="16" t="n"/>
      <c r="AK48" s="1">
        <f>B48</f>
        <v/>
      </c>
      <c r="AL48" s="1">
        <f>C48</f>
        <v/>
      </c>
      <c r="AM48" s="12">
        <f>SUM(AS48:BA48)+BC48+BD48</f>
        <v/>
      </c>
      <c r="AN48" s="12">
        <f>SUM(AS48:BA48)+BF48+BG48</f>
        <v/>
      </c>
      <c r="AO48" s="5">
        <f>AM48-AN48</f>
        <v/>
      </c>
      <c r="AP48" s="12">
        <f>SUM(AS48:BA48)+BI48+BJ48</f>
        <v/>
      </c>
      <c r="AQ48" s="12">
        <f>SUM(AS48:BA48)+BL48+BM48</f>
        <v/>
      </c>
      <c r="AR48" s="5">
        <f>AP48-AQ48</f>
        <v/>
      </c>
      <c r="AS48" s="5">
        <f>D48/F48*X48</f>
        <v/>
      </c>
      <c r="AT48" s="1">
        <f>#REF!/F48*X48*-1</f>
        <v/>
      </c>
      <c r="AU48" s="1">
        <f>E48/F48*W48</f>
        <v/>
      </c>
      <c r="AV48" s="1">
        <f>1/F48*T48</f>
        <v/>
      </c>
      <c r="AW48" s="1">
        <f>G48/F48*AF48</f>
        <v/>
      </c>
      <c r="AX48" s="1">
        <f>#REF!/F48*AF48*-1</f>
        <v/>
      </c>
      <c r="AY48" s="1">
        <f>J48/F48/(0.9*8760)</f>
        <v/>
      </c>
      <c r="AZ48" s="1">
        <f>K48/F48/(0.9*8760)</f>
        <v/>
      </c>
      <c r="BA48" s="1">
        <f>L48/F48</f>
        <v/>
      </c>
      <c r="BB48" s="1">
        <f>BX48+BY48+BZ48</f>
        <v/>
      </c>
      <c r="BC48" s="1">
        <f>(O48+P48)*-1*H48/F48</f>
        <v/>
      </c>
      <c r="BD48" s="1">
        <f>BB48*O48</f>
        <v/>
      </c>
      <c r="BE48" s="1">
        <f>BX48+BY48</f>
        <v/>
      </c>
      <c r="BF48" s="1">
        <f>P48*H48*-1/F48</f>
        <v/>
      </c>
      <c r="BG48" s="1">
        <f>BE48*O48</f>
        <v/>
      </c>
      <c r="BH48" s="1">
        <f>SUM(BW48:CA48)</f>
        <v/>
      </c>
      <c r="BI48" s="1">
        <f>(O48+P48)*-1*H48/F48</f>
        <v/>
      </c>
      <c r="BJ48" s="1">
        <f>BH48*O48</f>
        <v/>
      </c>
      <c r="BK48" s="1">
        <f>BW48+BX48+BY48+CA48</f>
        <v/>
      </c>
      <c r="BL48" s="1">
        <f>H48/F48*P48*-1</f>
        <v/>
      </c>
      <c r="BM48" s="1">
        <f>O48*BK48</f>
        <v/>
      </c>
      <c r="BO48" s="9" t="n">
        <v>3.14</v>
      </c>
      <c r="BP48" s="10" t="n">
        <v>0.2218110024</v>
      </c>
      <c r="BQ48" s="9" t="n">
        <v>0.18104824</v>
      </c>
      <c r="BS48" s="10">
        <f>1/F48*BP48</f>
        <v/>
      </c>
      <c r="BT48" s="10">
        <f>G48/F48*BQ48</f>
        <v/>
      </c>
      <c r="BU48" s="10">
        <f>BS48+BT48</f>
        <v/>
      </c>
      <c r="BW48" s="10">
        <f>BO48</f>
        <v/>
      </c>
      <c r="BX48" s="10">
        <f>#REF!/F48*BQ48</f>
        <v/>
      </c>
      <c r="BY48" s="10">
        <f>I48/F48</f>
        <v/>
      </c>
      <c r="BZ48" s="10">
        <f>H48/F48</f>
        <v/>
      </c>
      <c r="CA48" s="10">
        <f>BU48-SUM(BW48:BZ48)</f>
        <v/>
      </c>
      <c r="CB48" s="10">
        <f>SUM(BW48:CA48)</f>
        <v/>
      </c>
    </row>
    <row r="49">
      <c r="B49" s="14" t="n"/>
      <c r="C49" s="13" t="inlineStr">
        <is>
          <t>Ethanol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1">
        <f>CA49/0.22/14</f>
        <v/>
      </c>
      <c r="O49" s="16" t="n"/>
      <c r="P49" s="16" t="n"/>
      <c r="Q49" s="16" t="n"/>
      <c r="R49" s="16" t="n"/>
      <c r="S49" s="16" t="n"/>
      <c r="T49" s="11" t="n">
        <v>21.9863533</v>
      </c>
      <c r="U49" s="17" t="n"/>
      <c r="V49" s="17" t="n"/>
      <c r="W49" s="16" t="n"/>
      <c r="X49" s="16" t="n"/>
      <c r="Y49" s="16" t="n"/>
      <c r="Z49" s="17" t="n"/>
      <c r="AA49" s="17" t="n"/>
      <c r="AB49" s="17" t="n"/>
      <c r="AC49" s="17" t="n"/>
      <c r="AD49" s="17" t="n"/>
      <c r="AE49" s="17" t="n"/>
      <c r="AF49" s="16" t="n"/>
      <c r="AG49" s="16" t="n"/>
      <c r="AH49" s="16" t="n"/>
      <c r="AI49" s="16" t="n"/>
      <c r="AK49" s="1">
        <f>B49</f>
        <v/>
      </c>
      <c r="AL49" s="1">
        <f>C49</f>
        <v/>
      </c>
      <c r="AM49" s="12">
        <f>SUM(AS49:BA49)+BC49+BD49</f>
        <v/>
      </c>
      <c r="AN49" s="12">
        <f>SUM(AS49:BA49)+BF49+BG49</f>
        <v/>
      </c>
      <c r="AO49" s="5">
        <f>AM49-AN49</f>
        <v/>
      </c>
      <c r="AP49" s="12">
        <f>SUM(AS49:BA49)+BI49+BJ49</f>
        <v/>
      </c>
      <c r="AQ49" s="12">
        <f>SUM(AS49:BA49)+BL49+BM49</f>
        <v/>
      </c>
      <c r="AR49" s="5">
        <f>AP49-AQ49</f>
        <v/>
      </c>
      <c r="AS49" s="5">
        <f>D49/F49*X49</f>
        <v/>
      </c>
      <c r="AT49" s="1">
        <f>#REF!/F49*X49*-1</f>
        <v/>
      </c>
      <c r="AU49" s="1">
        <f>E49/F49*W49</f>
        <v/>
      </c>
      <c r="AV49" s="1">
        <f>1/F49*T49</f>
        <v/>
      </c>
      <c r="AW49" s="1">
        <f>G49/F49*AF49</f>
        <v/>
      </c>
      <c r="AX49" s="1">
        <f>#REF!/F49*AF49*-1</f>
        <v/>
      </c>
      <c r="AY49" s="1">
        <f>J49/F49/(0.9*8760)</f>
        <v/>
      </c>
      <c r="AZ49" s="1">
        <f>K49/F49/(0.9*8760)</f>
        <v/>
      </c>
      <c r="BA49" s="1">
        <f>L49/F49</f>
        <v/>
      </c>
      <c r="BB49" s="1">
        <f>BX49+BY49+BZ49</f>
        <v/>
      </c>
      <c r="BC49" s="1">
        <f>(O49+P49)*-1*H49/F49</f>
        <v/>
      </c>
      <c r="BD49" s="1">
        <f>BB49*O49</f>
        <v/>
      </c>
      <c r="BE49" s="1">
        <f>BX49+BY49</f>
        <v/>
      </c>
      <c r="BF49" s="1">
        <f>P49*H49*-1/F49</f>
        <v/>
      </c>
      <c r="BG49" s="1">
        <f>BE49*O49</f>
        <v/>
      </c>
      <c r="BH49" s="1">
        <f>SUM(BW49:CA49)</f>
        <v/>
      </c>
      <c r="BI49" s="1">
        <f>(O49+P49)*-1*H49/F49</f>
        <v/>
      </c>
      <c r="BJ49" s="1">
        <f>BH49*O49</f>
        <v/>
      </c>
      <c r="BK49" s="1">
        <f>BW49+BX49+BY49+CA49</f>
        <v/>
      </c>
      <c r="BL49" s="1">
        <f>H49/F49*P49*-1</f>
        <v/>
      </c>
      <c r="BM49" s="1">
        <f>O49*BK49</f>
        <v/>
      </c>
      <c r="BO49" s="9" t="n">
        <v>3.14</v>
      </c>
      <c r="BP49" s="10" t="n">
        <v>0.2218110024</v>
      </c>
      <c r="BQ49" s="9" t="n">
        <v>0.18104824</v>
      </c>
      <c r="BS49" s="10">
        <f>1/F49*BP49</f>
        <v/>
      </c>
      <c r="BT49" s="10">
        <f>G49/F49*BQ49</f>
        <v/>
      </c>
      <c r="BU49" s="10">
        <f>BS49+BT49</f>
        <v/>
      </c>
      <c r="BW49" s="10">
        <f>BO49</f>
        <v/>
      </c>
      <c r="BX49" s="10">
        <f>#REF!/F49*BQ49</f>
        <v/>
      </c>
      <c r="BY49" s="10">
        <f>I49/F49</f>
        <v/>
      </c>
      <c r="BZ49" s="10">
        <f>H49/F49</f>
        <v/>
      </c>
      <c r="CA49" s="10">
        <f>BU49-SUM(BW49:BZ49)</f>
        <v/>
      </c>
      <c r="CB49" s="10">
        <f>SUM(BW49:CA49)</f>
        <v/>
      </c>
    </row>
    <row r="50">
      <c r="B50" s="14" t="n"/>
      <c r="C50" s="13" t="inlineStr">
        <is>
          <t>Ethanol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1">
        <f>CA50/0.22/14</f>
        <v/>
      </c>
      <c r="O50" s="16" t="n"/>
      <c r="P50" s="16" t="n"/>
      <c r="Q50" s="16" t="n"/>
      <c r="R50" s="16" t="n"/>
      <c r="S50" s="16" t="n"/>
      <c r="T50" s="11" t="n">
        <v>21.9863533</v>
      </c>
      <c r="U50" s="17" t="n"/>
      <c r="V50" s="17" t="n"/>
      <c r="W50" s="16" t="n"/>
      <c r="X50" s="16" t="n"/>
      <c r="Y50" s="16" t="n"/>
      <c r="Z50" s="17" t="n"/>
      <c r="AA50" s="17" t="n"/>
      <c r="AB50" s="17" t="n"/>
      <c r="AC50" s="17" t="n"/>
      <c r="AD50" s="17" t="n"/>
      <c r="AE50" s="17" t="n"/>
      <c r="AF50" s="16" t="n"/>
      <c r="AG50" s="16" t="n"/>
      <c r="AH50" s="16" t="n"/>
      <c r="AI50" s="16" t="n"/>
      <c r="AK50" s="1">
        <f>B50</f>
        <v/>
      </c>
      <c r="AL50" s="1">
        <f>C50</f>
        <v/>
      </c>
      <c r="AM50" s="12">
        <f>SUM(AS50:BA50)+BC50+BD50</f>
        <v/>
      </c>
      <c r="AN50" s="12">
        <f>SUM(AS50:BA50)+BF50+BG50</f>
        <v/>
      </c>
      <c r="AO50" s="5">
        <f>AM50-AN50</f>
        <v/>
      </c>
      <c r="AP50" s="12">
        <f>SUM(AS50:BA50)+BI50+BJ50</f>
        <v/>
      </c>
      <c r="AQ50" s="12">
        <f>SUM(AS50:BA50)+BL50+BM50</f>
        <v/>
      </c>
      <c r="AR50" s="5">
        <f>AP50-AQ50</f>
        <v/>
      </c>
      <c r="AS50" s="5">
        <f>D50/F50*X50</f>
        <v/>
      </c>
      <c r="AT50" s="1">
        <f>#REF!/F50*X50*-1</f>
        <v/>
      </c>
      <c r="AU50" s="1">
        <f>E50/F50*W50</f>
        <v/>
      </c>
      <c r="AV50" s="1">
        <f>1/F50*T50</f>
        <v/>
      </c>
      <c r="AW50" s="1">
        <f>G50/F50*AF50</f>
        <v/>
      </c>
      <c r="AX50" s="1">
        <f>#REF!/F50*AF50*-1</f>
        <v/>
      </c>
      <c r="AY50" s="1">
        <f>J50/F50/(0.9*8760)</f>
        <v/>
      </c>
      <c r="AZ50" s="1">
        <f>K50/F50/(0.9*8760)</f>
        <v/>
      </c>
      <c r="BA50" s="1">
        <f>L50/F50</f>
        <v/>
      </c>
      <c r="BB50" s="1">
        <f>BX50+BY50+BZ50</f>
        <v/>
      </c>
      <c r="BC50" s="1">
        <f>(O50+P50)*-1*H50/F50</f>
        <v/>
      </c>
      <c r="BD50" s="1">
        <f>BB50*O50</f>
        <v/>
      </c>
      <c r="BE50" s="1">
        <f>BX50+BY50</f>
        <v/>
      </c>
      <c r="BF50" s="1">
        <f>P50*H50*-1/F50</f>
        <v/>
      </c>
      <c r="BG50" s="1">
        <f>BE50*O50</f>
        <v/>
      </c>
      <c r="BH50" s="1">
        <f>SUM(BW50:CA50)</f>
        <v/>
      </c>
      <c r="BI50" s="1">
        <f>(O50+P50)*-1*H50/F50</f>
        <v/>
      </c>
      <c r="BJ50" s="1">
        <f>BH50*O50</f>
        <v/>
      </c>
      <c r="BK50" s="1">
        <f>BW50+BX50+BY50+CA50</f>
        <v/>
      </c>
      <c r="BL50" s="1">
        <f>H50/F50*P50*-1</f>
        <v/>
      </c>
      <c r="BM50" s="1">
        <f>O50*BK50</f>
        <v/>
      </c>
      <c r="BO50" s="9" t="n">
        <v>3.14</v>
      </c>
      <c r="BP50" s="10" t="n">
        <v>0.2218110024</v>
      </c>
      <c r="BQ50" s="9" t="n">
        <v>0.18104824</v>
      </c>
      <c r="BS50" s="10">
        <f>1/F50*BP50</f>
        <v/>
      </c>
      <c r="BT50" s="10">
        <f>G50/F50*BQ50</f>
        <v/>
      </c>
      <c r="BU50" s="10">
        <f>BS50+BT50</f>
        <v/>
      </c>
      <c r="BW50" s="10">
        <f>BO50</f>
        <v/>
      </c>
      <c r="BX50" s="10">
        <f>#REF!/F50*BQ50</f>
        <v/>
      </c>
      <c r="BY50" s="10">
        <f>I50/F50</f>
        <v/>
      </c>
      <c r="BZ50" s="10">
        <f>H50/F50</f>
        <v/>
      </c>
      <c r="CA50" s="10">
        <f>BU50-SUM(BW50:BZ50)</f>
        <v/>
      </c>
      <c r="CB50" s="10">
        <f>SUM(BW50:CA50)</f>
        <v/>
      </c>
    </row>
    <row r="51">
      <c r="B51" s="14" t="n"/>
      <c r="C51" s="13" t="inlineStr">
        <is>
          <t>Ethanol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1">
        <f>CA51/0.22/14</f>
        <v/>
      </c>
      <c r="O51" s="16" t="n"/>
      <c r="P51" s="16" t="n"/>
      <c r="Q51" s="16" t="n"/>
      <c r="R51" s="16" t="n"/>
      <c r="S51" s="16" t="n"/>
      <c r="T51" s="11" t="n">
        <v>21.9863533</v>
      </c>
      <c r="U51" s="17" t="n"/>
      <c r="V51" s="17" t="n"/>
      <c r="W51" s="16" t="n"/>
      <c r="X51" s="16" t="n"/>
      <c r="Y51" s="16" t="n"/>
      <c r="Z51" s="17" t="n"/>
      <c r="AA51" s="17" t="n"/>
      <c r="AB51" s="17" t="n"/>
      <c r="AC51" s="17" t="n"/>
      <c r="AD51" s="17" t="n"/>
      <c r="AE51" s="17" t="n"/>
      <c r="AF51" s="16" t="n"/>
      <c r="AG51" s="16" t="n"/>
      <c r="AH51" s="16" t="n"/>
      <c r="AI51" s="16" t="n"/>
      <c r="AK51" s="1">
        <f>B51</f>
        <v/>
      </c>
      <c r="AL51" s="1">
        <f>C51</f>
        <v/>
      </c>
      <c r="AM51" s="12">
        <f>SUM(AS51:BA51)+BC51+BD51</f>
        <v/>
      </c>
      <c r="AN51" s="12">
        <f>SUM(AS51:BA51)+BF51+BG51</f>
        <v/>
      </c>
      <c r="AO51" s="5">
        <f>AM51-AN51</f>
        <v/>
      </c>
      <c r="AP51" s="12">
        <f>SUM(AS51:BA51)+BI51+BJ51</f>
        <v/>
      </c>
      <c r="AQ51" s="12">
        <f>SUM(AS51:BA51)+BL51+BM51</f>
        <v/>
      </c>
      <c r="AR51" s="5">
        <f>AP51-AQ51</f>
        <v/>
      </c>
      <c r="AS51" s="5">
        <f>D51/F51*X51</f>
        <v/>
      </c>
      <c r="AT51" s="1">
        <f>#REF!/F51*X51*-1</f>
        <v/>
      </c>
      <c r="AU51" s="1">
        <f>E51/F51*W51</f>
        <v/>
      </c>
      <c r="AV51" s="1">
        <f>1/F51*T51</f>
        <v/>
      </c>
      <c r="AW51" s="1">
        <f>G51/F51*AF51</f>
        <v/>
      </c>
      <c r="AX51" s="1">
        <f>#REF!/F51*AF51*-1</f>
        <v/>
      </c>
      <c r="AY51" s="1">
        <f>J51/F51/(0.9*8760)</f>
        <v/>
      </c>
      <c r="AZ51" s="1">
        <f>K51/F51/(0.9*8760)</f>
        <v/>
      </c>
      <c r="BA51" s="1">
        <f>L51/F51</f>
        <v/>
      </c>
      <c r="BB51" s="1">
        <f>BX51+BY51+BZ51</f>
        <v/>
      </c>
      <c r="BC51" s="1">
        <f>(O51+P51)*-1*H51/F51</f>
        <v/>
      </c>
      <c r="BD51" s="1">
        <f>BB51*O51</f>
        <v/>
      </c>
      <c r="BE51" s="1">
        <f>BX51+BY51</f>
        <v/>
      </c>
      <c r="BF51" s="1">
        <f>P51*H51*-1/F51</f>
        <v/>
      </c>
      <c r="BG51" s="1">
        <f>BE51*O51</f>
        <v/>
      </c>
      <c r="BH51" s="1">
        <f>SUM(BW51:CA51)</f>
        <v/>
      </c>
      <c r="BI51" s="1">
        <f>(O51+P51)*-1*H51/F51</f>
        <v/>
      </c>
      <c r="BJ51" s="1">
        <f>BH51*O51</f>
        <v/>
      </c>
      <c r="BK51" s="1">
        <f>BW51+BX51+BY51+CA51</f>
        <v/>
      </c>
      <c r="BL51" s="1">
        <f>H51/F51*P51*-1</f>
        <v/>
      </c>
      <c r="BM51" s="1">
        <f>O51*BK51</f>
        <v/>
      </c>
      <c r="BO51" s="9" t="n">
        <v>3.14</v>
      </c>
      <c r="BP51" s="10" t="n">
        <v>0.2218110024</v>
      </c>
      <c r="BQ51" s="9" t="n">
        <v>0.18104824</v>
      </c>
      <c r="BS51" s="10">
        <f>1/F51*BP51</f>
        <v/>
      </c>
      <c r="BT51" s="10">
        <f>G51/F51*BQ51</f>
        <v/>
      </c>
      <c r="BU51" s="10">
        <f>BS51+BT51</f>
        <v/>
      </c>
      <c r="BW51" s="10">
        <f>BO51</f>
        <v/>
      </c>
      <c r="BX51" s="10">
        <f>#REF!/F51*BQ51</f>
        <v/>
      </c>
      <c r="BY51" s="10">
        <f>I51/F51</f>
        <v/>
      </c>
      <c r="BZ51" s="10">
        <f>H51/F51</f>
        <v/>
      </c>
      <c r="CA51" s="10">
        <f>BU51-SUM(BW51:BZ51)</f>
        <v/>
      </c>
      <c r="CB51" s="10">
        <f>SUM(BW51:CA51)</f>
        <v/>
      </c>
    </row>
    <row r="52">
      <c r="B52" s="14" t="n"/>
      <c r="C52" s="13" t="inlineStr">
        <is>
          <t>Ethanol</t>
        </is>
      </c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1">
        <f>CA52/0.22/14</f>
        <v/>
      </c>
      <c r="O52" s="16" t="n"/>
      <c r="P52" s="16" t="n"/>
      <c r="Q52" s="16" t="n"/>
      <c r="R52" s="16" t="n"/>
      <c r="S52" s="16" t="n"/>
      <c r="T52" s="11" t="n">
        <v>21.9863533</v>
      </c>
      <c r="U52" s="17" t="n"/>
      <c r="V52" s="17" t="n"/>
      <c r="W52" s="16" t="n"/>
      <c r="X52" s="16" t="n"/>
      <c r="Y52" s="16" t="n"/>
      <c r="Z52" s="17" t="n"/>
      <c r="AA52" s="17" t="n"/>
      <c r="AB52" s="17" t="n"/>
      <c r="AC52" s="17" t="n"/>
      <c r="AD52" s="17" t="n"/>
      <c r="AE52" s="17" t="n"/>
      <c r="AF52" s="16" t="n"/>
      <c r="AG52" s="16" t="n"/>
      <c r="AH52" s="16" t="n"/>
      <c r="AI52" s="16" t="n"/>
      <c r="AK52" s="1">
        <f>B52</f>
        <v/>
      </c>
      <c r="AL52" s="1">
        <f>C52</f>
        <v/>
      </c>
      <c r="AM52" s="12">
        <f>SUM(AS52:BA52)+BC52+BD52</f>
        <v/>
      </c>
      <c r="AN52" s="12">
        <f>SUM(AS52:BA52)+BF52+BG52</f>
        <v/>
      </c>
      <c r="AO52" s="5">
        <f>AM52-AN52</f>
        <v/>
      </c>
      <c r="AP52" s="12">
        <f>SUM(AS52:BA52)+BI52+BJ52</f>
        <v/>
      </c>
      <c r="AQ52" s="12">
        <f>SUM(AS52:BA52)+BL52+BM52</f>
        <v/>
      </c>
      <c r="AR52" s="5">
        <f>AP52-AQ52</f>
        <v/>
      </c>
      <c r="AS52" s="5">
        <f>D52/F52*X52</f>
        <v/>
      </c>
      <c r="AT52" s="1">
        <f>#REF!/F52*X52*-1</f>
        <v/>
      </c>
      <c r="AU52" s="1">
        <f>E52/F52*W52</f>
        <v/>
      </c>
      <c r="AV52" s="1">
        <f>1/F52*T52</f>
        <v/>
      </c>
      <c r="AW52" s="1">
        <f>G52/F52*AF52</f>
        <v/>
      </c>
      <c r="AX52" s="1">
        <f>#REF!/F52*AF52*-1</f>
        <v/>
      </c>
      <c r="AY52" s="1">
        <f>J52/F52/(0.9*8760)</f>
        <v/>
      </c>
      <c r="AZ52" s="1">
        <f>K52/F52/(0.9*8760)</f>
        <v/>
      </c>
      <c r="BA52" s="1">
        <f>L52/F52</f>
        <v/>
      </c>
      <c r="BB52" s="1">
        <f>BX52+BY52+BZ52</f>
        <v/>
      </c>
      <c r="BC52" s="1">
        <f>(O52+P52)*-1*H52/F52</f>
        <v/>
      </c>
      <c r="BD52" s="1">
        <f>BB52*O52</f>
        <v/>
      </c>
      <c r="BE52" s="1">
        <f>BX52+BY52</f>
        <v/>
      </c>
      <c r="BF52" s="1">
        <f>P52*H52*-1/F52</f>
        <v/>
      </c>
      <c r="BG52" s="1">
        <f>BE52*O52</f>
        <v/>
      </c>
      <c r="BH52" s="1">
        <f>SUM(BW52:CA52)</f>
        <v/>
      </c>
      <c r="BI52" s="1">
        <f>(O52+P52)*-1*H52/F52</f>
        <v/>
      </c>
      <c r="BJ52" s="1">
        <f>BH52*O52</f>
        <v/>
      </c>
      <c r="BK52" s="1">
        <f>BW52+BX52+BY52+CA52</f>
        <v/>
      </c>
      <c r="BL52" s="1">
        <f>H52/F52*P52*-1</f>
        <v/>
      </c>
      <c r="BM52" s="1">
        <f>O52*BK52</f>
        <v/>
      </c>
      <c r="BO52" s="9" t="n">
        <v>3.14</v>
      </c>
      <c r="BP52" s="10" t="n">
        <v>0.2218110024</v>
      </c>
      <c r="BQ52" s="9" t="n">
        <v>0.18104824</v>
      </c>
      <c r="BS52" s="10">
        <f>1/F52*BP52</f>
        <v/>
      </c>
      <c r="BT52" s="10">
        <f>G52/F52*BQ52</f>
        <v/>
      </c>
      <c r="BU52" s="10">
        <f>BS52+BT52</f>
        <v/>
      </c>
      <c r="BW52" s="10">
        <f>BO52</f>
        <v/>
      </c>
      <c r="BX52" s="10">
        <f>#REF!/F52*BQ52</f>
        <v/>
      </c>
      <c r="BY52" s="10">
        <f>I52/F52</f>
        <v/>
      </c>
      <c r="BZ52" s="10">
        <f>H52/F52</f>
        <v/>
      </c>
      <c r="CA52" s="10">
        <f>BU52-SUM(BW52:BZ52)</f>
        <v/>
      </c>
      <c r="CB52" s="10">
        <f>SUM(BW52:CA52)</f>
        <v/>
      </c>
    </row>
    <row r="53">
      <c r="B53" s="14" t="n"/>
      <c r="C53" s="13" t="inlineStr">
        <is>
          <t>Ethanol</t>
        </is>
      </c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1">
        <f>CA53/0.22/14</f>
        <v/>
      </c>
      <c r="O53" s="16" t="n"/>
      <c r="P53" s="16" t="n"/>
      <c r="Q53" s="16" t="n"/>
      <c r="R53" s="16" t="n"/>
      <c r="S53" s="16" t="n"/>
      <c r="T53" s="11" t="n">
        <v>21.9863533</v>
      </c>
      <c r="U53" s="17" t="n"/>
      <c r="V53" s="17" t="n"/>
      <c r="W53" s="16" t="n"/>
      <c r="X53" s="16" t="n"/>
      <c r="Y53" s="16" t="n"/>
      <c r="Z53" s="17" t="n"/>
      <c r="AA53" s="17" t="n"/>
      <c r="AB53" s="17" t="n"/>
      <c r="AC53" s="17" t="n"/>
      <c r="AD53" s="17" t="n"/>
      <c r="AE53" s="17" t="n"/>
      <c r="AF53" s="16" t="n"/>
      <c r="AG53" s="16" t="n"/>
      <c r="AH53" s="16" t="n"/>
      <c r="AI53" s="16" t="n"/>
      <c r="AK53" s="1">
        <f>B53</f>
        <v/>
      </c>
      <c r="AL53" s="1">
        <f>C53</f>
        <v/>
      </c>
      <c r="AM53" s="12">
        <f>SUM(AS53:BA53)+BC53+BD53</f>
        <v/>
      </c>
      <c r="AN53" s="12">
        <f>SUM(AS53:BA53)+BF53+BG53</f>
        <v/>
      </c>
      <c r="AO53" s="5">
        <f>AM53-AN53</f>
        <v/>
      </c>
      <c r="AP53" s="12">
        <f>SUM(AS53:BA53)+BI53+BJ53</f>
        <v/>
      </c>
      <c r="AQ53" s="12">
        <f>SUM(AS53:BA53)+BL53+BM53</f>
        <v/>
      </c>
      <c r="AR53" s="5">
        <f>AP53-AQ53</f>
        <v/>
      </c>
      <c r="AS53" s="5">
        <f>D53/F53*X53</f>
        <v/>
      </c>
      <c r="AT53" s="1">
        <f>#REF!/F53*X53*-1</f>
        <v/>
      </c>
      <c r="AU53" s="1">
        <f>E53/F53*W53</f>
        <v/>
      </c>
      <c r="AV53" s="1">
        <f>1/F53*T53</f>
        <v/>
      </c>
      <c r="AW53" s="1">
        <f>G53/F53*AF53</f>
        <v/>
      </c>
      <c r="AX53" s="1">
        <f>#REF!/F53*AF53*-1</f>
        <v/>
      </c>
      <c r="AY53" s="1">
        <f>J53/F53/(0.9*8760)</f>
        <v/>
      </c>
      <c r="AZ53" s="1">
        <f>K53/F53/(0.9*8760)</f>
        <v/>
      </c>
      <c r="BA53" s="1">
        <f>L53/F53</f>
        <v/>
      </c>
      <c r="BB53" s="1">
        <f>BX53+BY53+BZ53</f>
        <v/>
      </c>
      <c r="BC53" s="1">
        <f>(O53+P53)*-1*H53/F53</f>
        <v/>
      </c>
      <c r="BD53" s="1">
        <f>BB53*O53</f>
        <v/>
      </c>
      <c r="BE53" s="1">
        <f>BX53+BY53</f>
        <v/>
      </c>
      <c r="BF53" s="1">
        <f>P53*H53*-1/F53</f>
        <v/>
      </c>
      <c r="BG53" s="1">
        <f>BE53*O53</f>
        <v/>
      </c>
      <c r="BH53" s="1">
        <f>SUM(BW53:CA53)</f>
        <v/>
      </c>
      <c r="BI53" s="1">
        <f>(O53+P53)*-1*H53/F53</f>
        <v/>
      </c>
      <c r="BJ53" s="1">
        <f>BH53*O53</f>
        <v/>
      </c>
      <c r="BK53" s="1">
        <f>BW53+BX53+BY53+CA53</f>
        <v/>
      </c>
      <c r="BL53" s="1">
        <f>H53/F53*P53*-1</f>
        <v/>
      </c>
      <c r="BM53" s="1">
        <f>O53*BK53</f>
        <v/>
      </c>
      <c r="BO53" s="9" t="n">
        <v>3.14</v>
      </c>
      <c r="BP53" s="10" t="n">
        <v>0.2218110024</v>
      </c>
      <c r="BQ53" s="9" t="n">
        <v>0.18104824</v>
      </c>
      <c r="BS53" s="10">
        <f>1/F53*BP53</f>
        <v/>
      </c>
      <c r="BT53" s="10">
        <f>G53/F53*BQ53</f>
        <v/>
      </c>
      <c r="BU53" s="10">
        <f>BS53+BT53</f>
        <v/>
      </c>
      <c r="BW53" s="10">
        <f>BO53</f>
        <v/>
      </c>
      <c r="BX53" s="10">
        <f>#REF!/F53*BQ53</f>
        <v/>
      </c>
      <c r="BY53" s="10">
        <f>I53/F53</f>
        <v/>
      </c>
      <c r="BZ53" s="10">
        <f>H53/F53</f>
        <v/>
      </c>
      <c r="CA53" s="10">
        <f>BU53-SUM(BW53:BZ53)</f>
        <v/>
      </c>
      <c r="CB53" s="10">
        <f>SUM(BW53:CA53)</f>
        <v/>
      </c>
    </row>
    <row r="54">
      <c r="B54" s="14" t="n"/>
      <c r="C54" s="13" t="inlineStr">
        <is>
          <t>Ethanol</t>
        </is>
      </c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1">
        <f>CA54/0.22/14</f>
        <v/>
      </c>
      <c r="O54" s="16" t="n"/>
      <c r="P54" s="16" t="n"/>
      <c r="Q54" s="16" t="n"/>
      <c r="R54" s="16" t="n"/>
      <c r="S54" s="16" t="n"/>
      <c r="T54" s="11" t="n">
        <v>21.9863533</v>
      </c>
      <c r="U54" s="17" t="n"/>
      <c r="V54" s="17" t="n"/>
      <c r="W54" s="16" t="n"/>
      <c r="X54" s="16" t="n"/>
      <c r="Y54" s="16" t="n"/>
      <c r="Z54" s="17" t="n"/>
      <c r="AA54" s="17" t="n"/>
      <c r="AB54" s="17" t="n"/>
      <c r="AC54" s="17" t="n"/>
      <c r="AD54" s="17" t="n"/>
      <c r="AE54" s="17" t="n"/>
      <c r="AF54" s="16" t="n"/>
      <c r="AG54" s="16" t="n"/>
      <c r="AH54" s="16" t="n"/>
      <c r="AI54" s="16" t="n"/>
      <c r="AK54" s="1">
        <f>B54</f>
        <v/>
      </c>
      <c r="AL54" s="1">
        <f>C54</f>
        <v/>
      </c>
      <c r="AM54" s="12">
        <f>SUM(AS54:BA54)+BC54+BD54</f>
        <v/>
      </c>
      <c r="AN54" s="12">
        <f>SUM(AS54:BA54)+BF54+BG54</f>
        <v/>
      </c>
      <c r="AO54" s="5">
        <f>AM54-AN54</f>
        <v/>
      </c>
      <c r="AP54" s="12">
        <f>SUM(AS54:BA54)+BI54+BJ54</f>
        <v/>
      </c>
      <c r="AQ54" s="12">
        <f>SUM(AS54:BA54)+BL54+BM54</f>
        <v/>
      </c>
      <c r="AR54" s="5">
        <f>AP54-AQ54</f>
        <v/>
      </c>
      <c r="AS54" s="5">
        <f>D54/F54*X54</f>
        <v/>
      </c>
      <c r="AT54" s="1">
        <f>#REF!/F54*X54*-1</f>
        <v/>
      </c>
      <c r="AU54" s="1">
        <f>E54/F54*W54</f>
        <v/>
      </c>
      <c r="AV54" s="1">
        <f>1/F54*T54</f>
        <v/>
      </c>
      <c r="AW54" s="1">
        <f>G54/F54*AF54</f>
        <v/>
      </c>
      <c r="AX54" s="1">
        <f>#REF!/F54*AF54*-1</f>
        <v/>
      </c>
      <c r="AY54" s="1">
        <f>J54/F54/(0.9*8760)</f>
        <v/>
      </c>
      <c r="AZ54" s="1">
        <f>K54/F54/(0.9*8760)</f>
        <v/>
      </c>
      <c r="BA54" s="1">
        <f>L54/F54</f>
        <v/>
      </c>
      <c r="BB54" s="1">
        <f>BX54+BY54+BZ54</f>
        <v/>
      </c>
      <c r="BC54" s="1">
        <f>(O54+P54)*-1*H54/F54</f>
        <v/>
      </c>
      <c r="BD54" s="1">
        <f>BB54*O54</f>
        <v/>
      </c>
      <c r="BE54" s="1">
        <f>BX54+BY54</f>
        <v/>
      </c>
      <c r="BF54" s="1">
        <f>P54*H54*-1/F54</f>
        <v/>
      </c>
      <c r="BG54" s="1">
        <f>BE54*O54</f>
        <v/>
      </c>
      <c r="BH54" s="1">
        <f>SUM(BW54:CA54)</f>
        <v/>
      </c>
      <c r="BI54" s="1">
        <f>(O54+P54)*-1*H54/F54</f>
        <v/>
      </c>
      <c r="BJ54" s="1">
        <f>BH54*O54</f>
        <v/>
      </c>
      <c r="BK54" s="1">
        <f>BW54+BX54+BY54+CA54</f>
        <v/>
      </c>
      <c r="BL54" s="1">
        <f>H54/F54*P54*-1</f>
        <v/>
      </c>
      <c r="BM54" s="1">
        <f>O54*BK54</f>
        <v/>
      </c>
      <c r="BO54" s="9" t="n">
        <v>3.14</v>
      </c>
      <c r="BP54" s="10" t="n">
        <v>0.2218110024</v>
      </c>
      <c r="BQ54" s="9" t="n">
        <v>0.18104824</v>
      </c>
      <c r="BS54" s="10">
        <f>1/F54*BP54</f>
        <v/>
      </c>
      <c r="BT54" s="10">
        <f>G54/F54*BQ54</f>
        <v/>
      </c>
      <c r="BU54" s="10">
        <f>BS54+BT54</f>
        <v/>
      </c>
      <c r="BW54" s="10">
        <f>BO54</f>
        <v/>
      </c>
      <c r="BX54" s="10">
        <f>#REF!/F54*BQ54</f>
        <v/>
      </c>
      <c r="BY54" s="10">
        <f>I54/F54</f>
        <v/>
      </c>
      <c r="BZ54" s="10">
        <f>H54/F54</f>
        <v/>
      </c>
      <c r="CA54" s="10">
        <f>BU54-SUM(BW54:BZ54)</f>
        <v/>
      </c>
      <c r="CB54" s="10">
        <f>SUM(BW54:CA54)</f>
        <v/>
      </c>
    </row>
    <row r="55">
      <c r="B55" s="14" t="n"/>
      <c r="C55" s="13" t="inlineStr">
        <is>
          <t>Ethanol</t>
        </is>
      </c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1">
        <f>CA55/0.22/14</f>
        <v/>
      </c>
      <c r="O55" s="16" t="n"/>
      <c r="P55" s="16" t="n"/>
      <c r="Q55" s="16" t="n"/>
      <c r="R55" s="16" t="n"/>
      <c r="S55" s="16" t="n"/>
      <c r="T55" s="11" t="n">
        <v>21.9863533</v>
      </c>
      <c r="U55" s="17" t="n"/>
      <c r="V55" s="17" t="n"/>
      <c r="W55" s="16" t="n"/>
      <c r="X55" s="16" t="n"/>
      <c r="Y55" s="16" t="n"/>
      <c r="Z55" s="17" t="n"/>
      <c r="AA55" s="17" t="n"/>
      <c r="AB55" s="17" t="n"/>
      <c r="AC55" s="17" t="n"/>
      <c r="AD55" s="17" t="n"/>
      <c r="AE55" s="17" t="n"/>
      <c r="AF55" s="16" t="n"/>
      <c r="AG55" s="16" t="n"/>
      <c r="AH55" s="16" t="n"/>
      <c r="AI55" s="16" t="n"/>
      <c r="AK55" s="1">
        <f>B55</f>
        <v/>
      </c>
      <c r="AL55" s="1">
        <f>C55</f>
        <v/>
      </c>
      <c r="AM55" s="12">
        <f>SUM(AS55:BA55)+BC55+BD55</f>
        <v/>
      </c>
      <c r="AN55" s="12">
        <f>SUM(AS55:BA55)+BF55+BG55</f>
        <v/>
      </c>
      <c r="AO55" s="5">
        <f>AM55-AN55</f>
        <v/>
      </c>
      <c r="AP55" s="12">
        <f>SUM(AS55:BA55)+BI55+BJ55</f>
        <v/>
      </c>
      <c r="AQ55" s="12">
        <f>SUM(AS55:BA55)+BL55+BM55</f>
        <v/>
      </c>
      <c r="AR55" s="5">
        <f>AP55-AQ55</f>
        <v/>
      </c>
      <c r="AS55" s="5">
        <f>D55/F55*X55</f>
        <v/>
      </c>
      <c r="AT55" s="1">
        <f>#REF!/F55*X55*-1</f>
        <v/>
      </c>
      <c r="AU55" s="1">
        <f>E55/F55*W55</f>
        <v/>
      </c>
      <c r="AV55" s="1">
        <f>1/F55*T55</f>
        <v/>
      </c>
      <c r="AW55" s="1">
        <f>G55/F55*AF55</f>
        <v/>
      </c>
      <c r="AX55" s="1">
        <f>#REF!/F55*AF55*-1</f>
        <v/>
      </c>
      <c r="AY55" s="1">
        <f>J55/F55/(0.9*8760)</f>
        <v/>
      </c>
      <c r="AZ55" s="1">
        <f>K55/F55/(0.9*8760)</f>
        <v/>
      </c>
      <c r="BA55" s="1">
        <f>L55/F55</f>
        <v/>
      </c>
      <c r="BB55" s="1">
        <f>BX55+BY55+BZ55</f>
        <v/>
      </c>
      <c r="BC55" s="1">
        <f>(O55+P55)*-1*H55/F55</f>
        <v/>
      </c>
      <c r="BD55" s="1">
        <f>BB55*O55</f>
        <v/>
      </c>
      <c r="BE55" s="1">
        <f>BX55+BY55</f>
        <v/>
      </c>
      <c r="BF55" s="1">
        <f>P55*H55*-1/F55</f>
        <v/>
      </c>
      <c r="BG55" s="1">
        <f>BE55*O55</f>
        <v/>
      </c>
      <c r="BH55" s="1">
        <f>SUM(BW55:CA55)</f>
        <v/>
      </c>
      <c r="BI55" s="1">
        <f>(O55+P55)*-1*H55/F55</f>
        <v/>
      </c>
      <c r="BJ55" s="1">
        <f>BH55*O55</f>
        <v/>
      </c>
      <c r="BK55" s="1">
        <f>BW55+BX55+BY55+CA55</f>
        <v/>
      </c>
      <c r="BL55" s="1">
        <f>H55/F55*P55*-1</f>
        <v/>
      </c>
      <c r="BM55" s="1">
        <f>O55*BK55</f>
        <v/>
      </c>
      <c r="BO55" s="9" t="n">
        <v>3.14</v>
      </c>
      <c r="BP55" s="10" t="n">
        <v>0.2218110024</v>
      </c>
      <c r="BQ55" s="9" t="n">
        <v>0.18104824</v>
      </c>
      <c r="BS55" s="10">
        <f>1/F55*BP55</f>
        <v/>
      </c>
      <c r="BT55" s="10">
        <f>G55/F55*BQ55</f>
        <v/>
      </c>
      <c r="BU55" s="10">
        <f>BS55+BT55</f>
        <v/>
      </c>
      <c r="BW55" s="10">
        <f>BO55</f>
        <v/>
      </c>
      <c r="BX55" s="10">
        <f>#REF!/F55*BQ55</f>
        <v/>
      </c>
      <c r="BY55" s="10">
        <f>I55/F55</f>
        <v/>
      </c>
      <c r="BZ55" s="10">
        <f>H55/F55</f>
        <v/>
      </c>
      <c r="CA55" s="10">
        <f>BU55-SUM(BW55:BZ55)</f>
        <v/>
      </c>
      <c r="CB55" s="10">
        <f>SUM(BW55:CA55)</f>
        <v/>
      </c>
    </row>
    <row r="56">
      <c r="B56" s="14" t="n"/>
      <c r="C56" s="13" t="inlineStr">
        <is>
          <t>Ethanol</t>
        </is>
      </c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1">
        <f>CA56/0.22/14</f>
        <v/>
      </c>
      <c r="O56" s="16" t="n"/>
      <c r="P56" s="16" t="n"/>
      <c r="Q56" s="16" t="n"/>
      <c r="R56" s="16" t="n"/>
      <c r="S56" s="16" t="n"/>
      <c r="T56" s="11" t="n">
        <v>21.9863533</v>
      </c>
      <c r="U56" s="17" t="n"/>
      <c r="V56" s="17" t="n"/>
      <c r="W56" s="16" t="n"/>
      <c r="X56" s="16" t="n"/>
      <c r="Y56" s="16" t="n"/>
      <c r="Z56" s="17" t="n"/>
      <c r="AA56" s="17" t="n"/>
      <c r="AB56" s="17" t="n"/>
      <c r="AC56" s="17" t="n"/>
      <c r="AD56" s="17" t="n"/>
      <c r="AE56" s="17" t="n"/>
      <c r="AF56" s="16" t="n"/>
      <c r="AG56" s="16" t="n"/>
      <c r="AH56" s="16" t="n"/>
      <c r="AI56" s="16" t="n"/>
      <c r="AK56" s="1">
        <f>B56</f>
        <v/>
      </c>
      <c r="AL56" s="1">
        <f>C56</f>
        <v/>
      </c>
      <c r="AM56" s="12">
        <f>SUM(AS56:BA56)+BC56+BD56</f>
        <v/>
      </c>
      <c r="AN56" s="12">
        <f>SUM(AS56:BA56)+BF56+BG56</f>
        <v/>
      </c>
      <c r="AO56" s="5">
        <f>AM56-AN56</f>
        <v/>
      </c>
      <c r="AP56" s="12">
        <f>SUM(AS56:BA56)+BI56+BJ56</f>
        <v/>
      </c>
      <c r="AQ56" s="12">
        <f>SUM(AS56:BA56)+BL56+BM56</f>
        <v/>
      </c>
      <c r="AR56" s="5">
        <f>AP56-AQ56</f>
        <v/>
      </c>
      <c r="AS56" s="5">
        <f>D56/F56*X56</f>
        <v/>
      </c>
      <c r="AT56" s="1">
        <f>#REF!/F56*X56*-1</f>
        <v/>
      </c>
      <c r="AU56" s="1">
        <f>E56/F56*W56</f>
        <v/>
      </c>
      <c r="AV56" s="1">
        <f>1/F56*T56</f>
        <v/>
      </c>
      <c r="AW56" s="1">
        <f>G56/F56*AF56</f>
        <v/>
      </c>
      <c r="AX56" s="1">
        <f>#REF!/F56*AF56*-1</f>
        <v/>
      </c>
      <c r="AY56" s="1">
        <f>J56/F56/(0.9*8760)</f>
        <v/>
      </c>
      <c r="AZ56" s="1">
        <f>K56/F56/(0.9*8760)</f>
        <v/>
      </c>
      <c r="BA56" s="1">
        <f>L56/F56</f>
        <v/>
      </c>
      <c r="BB56" s="1">
        <f>BX56+BY56+BZ56</f>
        <v/>
      </c>
      <c r="BC56" s="1">
        <f>(O56+P56)*-1*H56/F56</f>
        <v/>
      </c>
      <c r="BD56" s="1">
        <f>BB56*O56</f>
        <v/>
      </c>
      <c r="BE56" s="1">
        <f>BX56+BY56</f>
        <v/>
      </c>
      <c r="BF56" s="1">
        <f>P56*H56*-1/F56</f>
        <v/>
      </c>
      <c r="BG56" s="1">
        <f>BE56*O56</f>
        <v/>
      </c>
      <c r="BH56" s="1">
        <f>SUM(BW56:CA56)</f>
        <v/>
      </c>
      <c r="BI56" s="1">
        <f>(O56+P56)*-1*H56/F56</f>
        <v/>
      </c>
      <c r="BJ56" s="1">
        <f>BH56*O56</f>
        <v/>
      </c>
      <c r="BK56" s="1">
        <f>BW56+BX56+BY56+CA56</f>
        <v/>
      </c>
      <c r="BL56" s="1">
        <f>H56/F56*P56*-1</f>
        <v/>
      </c>
      <c r="BM56" s="1">
        <f>O56*BK56</f>
        <v/>
      </c>
      <c r="BO56" s="9" t="n">
        <v>3.14</v>
      </c>
      <c r="BP56" s="10" t="n">
        <v>0.2218110024</v>
      </c>
      <c r="BQ56" s="9" t="n">
        <v>0.18104824</v>
      </c>
      <c r="BS56" s="10">
        <f>1/F56*BP56</f>
        <v/>
      </c>
      <c r="BT56" s="10">
        <f>G56/F56*BQ56</f>
        <v/>
      </c>
      <c r="BU56" s="10">
        <f>BS56+BT56</f>
        <v/>
      </c>
      <c r="BW56" s="10">
        <f>BO56</f>
        <v/>
      </c>
      <c r="BX56" s="10">
        <f>#REF!/F56*BQ56</f>
        <v/>
      </c>
      <c r="BY56" s="10">
        <f>I56/F56</f>
        <v/>
      </c>
      <c r="BZ56" s="10">
        <f>H56/F56</f>
        <v/>
      </c>
      <c r="CA56" s="10">
        <f>BU56-SUM(BW56:BZ56)</f>
        <v/>
      </c>
      <c r="CB56" s="10">
        <f>SUM(BW56:CA56)</f>
        <v/>
      </c>
    </row>
    <row r="57">
      <c r="B57" s="14" t="n"/>
      <c r="C57" s="13" t="inlineStr">
        <is>
          <t>Ethanol</t>
        </is>
      </c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1">
        <f>CA57/0.22/14</f>
        <v/>
      </c>
      <c r="O57" s="16" t="n"/>
      <c r="P57" s="16" t="n"/>
      <c r="Q57" s="16" t="n"/>
      <c r="R57" s="16" t="n"/>
      <c r="S57" s="16" t="n"/>
      <c r="T57" s="11" t="n">
        <v>21.9863533</v>
      </c>
      <c r="U57" s="17" t="n"/>
      <c r="V57" s="17" t="n"/>
      <c r="W57" s="16" t="n"/>
      <c r="X57" s="16" t="n"/>
      <c r="Y57" s="16" t="n"/>
      <c r="Z57" s="17" t="n"/>
      <c r="AA57" s="17" t="n"/>
      <c r="AB57" s="17" t="n"/>
      <c r="AC57" s="17" t="n"/>
      <c r="AD57" s="17" t="n"/>
      <c r="AE57" s="17" t="n"/>
      <c r="AF57" s="16" t="n"/>
      <c r="AG57" s="16" t="n"/>
      <c r="AH57" s="16" t="n"/>
      <c r="AI57" s="16" t="n"/>
      <c r="AK57" s="1">
        <f>B57</f>
        <v/>
      </c>
      <c r="AL57" s="1">
        <f>C57</f>
        <v/>
      </c>
      <c r="AM57" s="12">
        <f>SUM(AS57:BA57)+BC57+BD57</f>
        <v/>
      </c>
      <c r="AN57" s="12">
        <f>SUM(AS57:BA57)+BF57+BG57</f>
        <v/>
      </c>
      <c r="AO57" s="5">
        <f>AM57-AN57</f>
        <v/>
      </c>
      <c r="AP57" s="12">
        <f>SUM(AS57:BA57)+BI57+BJ57</f>
        <v/>
      </c>
      <c r="AQ57" s="12">
        <f>SUM(AS57:BA57)+BL57+BM57</f>
        <v/>
      </c>
      <c r="AR57" s="5">
        <f>AP57-AQ57</f>
        <v/>
      </c>
      <c r="AS57" s="5">
        <f>D57/F57*X57</f>
        <v/>
      </c>
      <c r="AT57" s="1">
        <f>#REF!/F57*X57*-1</f>
        <v/>
      </c>
      <c r="AU57" s="1">
        <f>E57/F57*W57</f>
        <v/>
      </c>
      <c r="AV57" s="1">
        <f>1/F57*T57</f>
        <v/>
      </c>
      <c r="AW57" s="1">
        <f>G57/F57*AF57</f>
        <v/>
      </c>
      <c r="AX57" s="1">
        <f>#REF!/F57*AF57*-1</f>
        <v/>
      </c>
      <c r="AY57" s="1">
        <f>J57/F57/(0.9*8760)</f>
        <v/>
      </c>
      <c r="AZ57" s="1">
        <f>K57/F57/(0.9*8760)</f>
        <v/>
      </c>
      <c r="BA57" s="1">
        <f>L57/F57</f>
        <v/>
      </c>
      <c r="BB57" s="1">
        <f>BX57+BY57+BZ57</f>
        <v/>
      </c>
      <c r="BC57" s="1">
        <f>(O57+P57)*-1*H57/F57</f>
        <v/>
      </c>
      <c r="BD57" s="1">
        <f>BB57*O57</f>
        <v/>
      </c>
      <c r="BE57" s="1">
        <f>BX57+BY57</f>
        <v/>
      </c>
      <c r="BF57" s="1">
        <f>P57*H57*-1/F57</f>
        <v/>
      </c>
      <c r="BG57" s="1">
        <f>BE57*O57</f>
        <v/>
      </c>
      <c r="BH57" s="1">
        <f>SUM(BW57:CA57)</f>
        <v/>
      </c>
      <c r="BI57" s="1">
        <f>(O57+P57)*-1*H57/F57</f>
        <v/>
      </c>
      <c r="BJ57" s="1">
        <f>BH57*O57</f>
        <v/>
      </c>
      <c r="BK57" s="1">
        <f>BW57+BX57+BY57+CA57</f>
        <v/>
      </c>
      <c r="BL57" s="1">
        <f>H57/F57*P57*-1</f>
        <v/>
      </c>
      <c r="BM57" s="1">
        <f>O57*BK57</f>
        <v/>
      </c>
      <c r="BO57" s="9" t="n">
        <v>3.14</v>
      </c>
      <c r="BP57" s="10" t="n">
        <v>0.2218110024</v>
      </c>
      <c r="BQ57" s="9" t="n">
        <v>0.18104824</v>
      </c>
      <c r="BS57" s="10">
        <f>1/F57*BP57</f>
        <v/>
      </c>
      <c r="BT57" s="10">
        <f>G57/F57*BQ57</f>
        <v/>
      </c>
      <c r="BU57" s="10">
        <f>BS57+BT57</f>
        <v/>
      </c>
      <c r="BW57" s="10">
        <f>BO57</f>
        <v/>
      </c>
      <c r="BX57" s="10">
        <f>#REF!/F57*BQ57</f>
        <v/>
      </c>
      <c r="BY57" s="10">
        <f>I57/F57</f>
        <v/>
      </c>
      <c r="BZ57" s="10">
        <f>H57/F57</f>
        <v/>
      </c>
      <c r="CA57" s="10">
        <f>BU57-SUM(BW57:BZ57)</f>
        <v/>
      </c>
      <c r="CB57" s="10">
        <f>SUM(BW57:CA57)</f>
        <v/>
      </c>
    </row>
    <row r="58">
      <c r="B58" s="14" t="n"/>
      <c r="C58" s="13" t="inlineStr">
        <is>
          <t>Ethanol</t>
        </is>
      </c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1">
        <f>CA58/0.22/14</f>
        <v/>
      </c>
      <c r="O58" s="17" t="n"/>
      <c r="P58" s="17" t="n"/>
      <c r="Q58" s="16" t="n"/>
      <c r="R58" s="16" t="n"/>
      <c r="S58" s="16" t="n"/>
      <c r="T58" s="11" t="n">
        <v>21.9863533</v>
      </c>
      <c r="U58" s="17" t="n"/>
      <c r="V58" s="17" t="n"/>
      <c r="W58" s="16" t="n"/>
      <c r="X58" s="16" t="n"/>
      <c r="Y58" s="17" t="n"/>
      <c r="Z58" s="17" t="n"/>
      <c r="AA58" s="17" t="n"/>
      <c r="AB58" s="17" t="n"/>
      <c r="AC58" s="17" t="n"/>
      <c r="AD58" s="17" t="n"/>
      <c r="AE58" s="17" t="n"/>
      <c r="AF58" s="16" t="n"/>
      <c r="AG58" s="16" t="n"/>
      <c r="AH58" s="16" t="n"/>
      <c r="AI58" s="16" t="n"/>
      <c r="AK58" s="1">
        <f>B58</f>
        <v/>
      </c>
      <c r="AL58" s="1">
        <f>C58</f>
        <v/>
      </c>
      <c r="AM58" s="12">
        <f>SUM(AS58:BA58)+BC58+BD58</f>
        <v/>
      </c>
      <c r="AN58" s="12">
        <f>SUM(AS58:BA58)+BF58+BG58</f>
        <v/>
      </c>
      <c r="AO58" s="5">
        <f>AM58-AN58</f>
        <v/>
      </c>
      <c r="AP58" s="12">
        <f>SUM(AS58:BA58)+BI58+BJ58</f>
        <v/>
      </c>
      <c r="AQ58" s="12">
        <f>SUM(AS58:BA58)+BL58+BM58</f>
        <v/>
      </c>
      <c r="AR58" s="5">
        <f>AP58-AQ58</f>
        <v/>
      </c>
      <c r="AS58" s="5">
        <f>D58/F58*X58</f>
        <v/>
      </c>
      <c r="AT58" s="1">
        <f>#REF!/F58*X58*-1</f>
        <v/>
      </c>
      <c r="AU58" s="1">
        <f>E58/F58*W58</f>
        <v/>
      </c>
      <c r="AV58" s="1">
        <f>1/F58*T58</f>
        <v/>
      </c>
      <c r="AW58" s="1">
        <f>G58/F58*AF58</f>
        <v/>
      </c>
      <c r="AX58" s="1">
        <f>#REF!/F58*AF58*-1</f>
        <v/>
      </c>
      <c r="AY58" s="1">
        <f>J58/F58/(0.9*8760)</f>
        <v/>
      </c>
      <c r="AZ58" s="1">
        <f>K58/F58/(0.9*8760)</f>
        <v/>
      </c>
      <c r="BA58" s="1">
        <f>L58/F58</f>
        <v/>
      </c>
      <c r="BB58" s="1">
        <f>BX58+BY58+BZ58</f>
        <v/>
      </c>
      <c r="BC58" s="1">
        <f>(O58+P58)*-1*H58/F58</f>
        <v/>
      </c>
      <c r="BD58" s="1">
        <f>BB58*O58</f>
        <v/>
      </c>
      <c r="BE58" s="1">
        <f>BX58+BY58</f>
        <v/>
      </c>
      <c r="BF58" s="1">
        <f>P58*H58*-1/F58</f>
        <v/>
      </c>
      <c r="BG58" s="1">
        <f>BE58*O58</f>
        <v/>
      </c>
      <c r="BH58" s="1">
        <f>SUM(BW58:CA58)</f>
        <v/>
      </c>
      <c r="BI58" s="1">
        <f>(O58+P58)*-1*H58/F58</f>
        <v/>
      </c>
      <c r="BJ58" s="1">
        <f>BH58*O58</f>
        <v/>
      </c>
      <c r="BK58" s="1">
        <f>BW58+BX58+BY58+CA58</f>
        <v/>
      </c>
      <c r="BL58" s="1">
        <f>H58/F58*P58*-1</f>
        <v/>
      </c>
      <c r="BM58" s="1">
        <f>O58*BK58</f>
        <v/>
      </c>
      <c r="BO58" s="9" t="n">
        <v>3.14</v>
      </c>
      <c r="BP58" s="10" t="n">
        <v>0.2218110024</v>
      </c>
      <c r="BQ58" s="9" t="n">
        <v>0.18104824</v>
      </c>
      <c r="BS58" s="10">
        <f>1/F58*BP58</f>
        <v/>
      </c>
      <c r="BT58" s="10">
        <f>G58/F58*BQ58</f>
        <v/>
      </c>
      <c r="BU58" s="10">
        <f>BS58+BT58</f>
        <v/>
      </c>
      <c r="BW58" s="10">
        <f>BO58</f>
        <v/>
      </c>
      <c r="BX58" s="10">
        <f>#REF!/F58*BQ58</f>
        <v/>
      </c>
      <c r="BY58" s="10">
        <f>I58/F58</f>
        <v/>
      </c>
      <c r="BZ58" s="10">
        <f>H58/F58</f>
        <v/>
      </c>
      <c r="CA58" s="10">
        <f>BU58-SUM(BW58:BZ58)</f>
        <v/>
      </c>
      <c r="CB58" s="10">
        <f>SUM(BW58:CA58)</f>
        <v/>
      </c>
    </row>
    <row r="59">
      <c r="B59" s="14" t="n"/>
      <c r="C59" s="13" t="inlineStr">
        <is>
          <t>Ethanol</t>
        </is>
      </c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1">
        <f>CA59/0.22/14</f>
        <v/>
      </c>
      <c r="O59" s="17" t="n"/>
      <c r="P59" s="17" t="n"/>
      <c r="Q59" s="16" t="n"/>
      <c r="R59" s="16" t="n"/>
      <c r="S59" s="16" t="n"/>
      <c r="T59" s="11" t="n">
        <v>21.9863533</v>
      </c>
      <c r="U59" s="17" t="n"/>
      <c r="V59" s="17" t="n"/>
      <c r="W59" s="16" t="n"/>
      <c r="X59" s="16" t="n"/>
      <c r="Y59" s="17" t="n"/>
      <c r="Z59" s="17" t="n"/>
      <c r="AA59" s="17" t="n"/>
      <c r="AB59" s="17" t="n"/>
      <c r="AC59" s="17" t="n"/>
      <c r="AD59" s="17" t="n"/>
      <c r="AE59" s="17" t="n"/>
      <c r="AF59" s="16" t="n"/>
      <c r="AG59" s="16" t="n"/>
      <c r="AH59" s="16" t="n"/>
      <c r="AI59" s="16" t="n"/>
      <c r="AK59" s="1">
        <f>B59</f>
        <v/>
      </c>
      <c r="AL59" s="1">
        <f>C59</f>
        <v/>
      </c>
      <c r="AM59" s="12">
        <f>SUM(AS59:BA59)+BC59+BD59</f>
        <v/>
      </c>
      <c r="AN59" s="12">
        <f>SUM(AS59:BA59)+BF59+BG59</f>
        <v/>
      </c>
      <c r="AO59" s="5">
        <f>AM59-AN59</f>
        <v/>
      </c>
      <c r="AP59" s="12">
        <f>SUM(AS59:BA59)+BI59+BJ59</f>
        <v/>
      </c>
      <c r="AQ59" s="12">
        <f>SUM(AS59:BA59)+BL59+BM59</f>
        <v/>
      </c>
      <c r="AR59" s="5">
        <f>AP59-AQ59</f>
        <v/>
      </c>
      <c r="AS59" s="5">
        <f>D59/F59*X59</f>
        <v/>
      </c>
      <c r="AT59" s="1">
        <f>#REF!/F59*X59*-1</f>
        <v/>
      </c>
      <c r="AU59" s="1">
        <f>E59/F59*W59</f>
        <v/>
      </c>
      <c r="AV59" s="1">
        <f>1/F59*T59</f>
        <v/>
      </c>
      <c r="AW59" s="1">
        <f>G59/F59*AF59</f>
        <v/>
      </c>
      <c r="AX59" s="1">
        <f>#REF!/F59*AF59*-1</f>
        <v/>
      </c>
      <c r="AY59" s="1">
        <f>J59/F59/(0.9*8760)</f>
        <v/>
      </c>
      <c r="AZ59" s="1">
        <f>K59/F59/(0.9*8760)</f>
        <v/>
      </c>
      <c r="BA59" s="1">
        <f>L59/F59</f>
        <v/>
      </c>
      <c r="BB59" s="1">
        <f>BX59+BY59+BZ59</f>
        <v/>
      </c>
      <c r="BC59" s="1">
        <f>(O59+P59)*-1*H59/F59</f>
        <v/>
      </c>
      <c r="BD59" s="1">
        <f>BB59*O59</f>
        <v/>
      </c>
      <c r="BE59" s="1">
        <f>BX59+BY59</f>
        <v/>
      </c>
      <c r="BF59" s="1">
        <f>P59*H59*-1/F59</f>
        <v/>
      </c>
      <c r="BG59" s="1">
        <f>BE59*O59</f>
        <v/>
      </c>
      <c r="BH59" s="1">
        <f>SUM(BW59:CA59)</f>
        <v/>
      </c>
      <c r="BI59" s="1">
        <f>(O59+P59)*-1*H59/F59</f>
        <v/>
      </c>
      <c r="BJ59" s="1">
        <f>BH59*O59</f>
        <v/>
      </c>
      <c r="BK59" s="1">
        <f>BW59+BX59+BY59+CA59</f>
        <v/>
      </c>
      <c r="BL59" s="1">
        <f>H59/F59*P59*-1</f>
        <v/>
      </c>
      <c r="BM59" s="1">
        <f>O59*BK59</f>
        <v/>
      </c>
      <c r="BO59" s="9" t="n">
        <v>3.14</v>
      </c>
      <c r="BP59" s="10" t="n">
        <v>0.2218110024</v>
      </c>
      <c r="BQ59" s="9" t="n">
        <v>0.18104824</v>
      </c>
      <c r="BS59" s="10">
        <f>1/F59*BP59</f>
        <v/>
      </c>
      <c r="BT59" s="10">
        <f>G59/F59*BQ59</f>
        <v/>
      </c>
      <c r="BU59" s="10">
        <f>BS59+BT59</f>
        <v/>
      </c>
      <c r="BW59" s="10">
        <f>BO59</f>
        <v/>
      </c>
      <c r="BX59" s="10">
        <f>#REF!/F59*BQ59</f>
        <v/>
      </c>
      <c r="BY59" s="10">
        <f>I59/F59</f>
        <v/>
      </c>
      <c r="BZ59" s="10">
        <f>H59/F59</f>
        <v/>
      </c>
      <c r="CA59" s="10">
        <f>BU59-SUM(BW59:BZ59)</f>
        <v/>
      </c>
      <c r="CB59" s="10">
        <f>SUM(BW59:CA59)</f>
        <v/>
      </c>
    </row>
    <row r="60">
      <c r="B60" s="14" t="n"/>
      <c r="C60" s="13" t="inlineStr">
        <is>
          <t>Ethanol</t>
        </is>
      </c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1">
        <f>CA60/0.22/14</f>
        <v/>
      </c>
      <c r="O60" s="17" t="n"/>
      <c r="P60" s="17" t="n"/>
      <c r="Q60" s="16" t="n"/>
      <c r="R60" s="16" t="n"/>
      <c r="S60" s="16" t="n"/>
      <c r="T60" s="11" t="n">
        <v>21.9863533</v>
      </c>
      <c r="U60" s="17" t="n"/>
      <c r="V60" s="17" t="n"/>
      <c r="W60" s="16" t="n"/>
      <c r="X60" s="16" t="n"/>
      <c r="Y60" s="17" t="n"/>
      <c r="Z60" s="17" t="n"/>
      <c r="AA60" s="17" t="n"/>
      <c r="AB60" s="17" t="n"/>
      <c r="AC60" s="17" t="n"/>
      <c r="AD60" s="17" t="n"/>
      <c r="AE60" s="17" t="n"/>
      <c r="AF60" s="16" t="n"/>
      <c r="AG60" s="16" t="n"/>
      <c r="AH60" s="16" t="n"/>
      <c r="AI60" s="16" t="n"/>
      <c r="AK60" s="1">
        <f>B60</f>
        <v/>
      </c>
      <c r="AL60" s="1">
        <f>C60</f>
        <v/>
      </c>
      <c r="AM60" s="12">
        <f>SUM(AS60:BA60)+BC60+BD60</f>
        <v/>
      </c>
      <c r="AN60" s="12">
        <f>SUM(AS60:BA60)+BF60+BG60</f>
        <v/>
      </c>
      <c r="AO60" s="5">
        <f>AM60-AN60</f>
        <v/>
      </c>
      <c r="AP60" s="12">
        <f>SUM(AS60:BA60)+BI60+BJ60</f>
        <v/>
      </c>
      <c r="AQ60" s="12">
        <f>SUM(AS60:BA60)+BL60+BM60</f>
        <v/>
      </c>
      <c r="AR60" s="5">
        <f>AP60-AQ60</f>
        <v/>
      </c>
      <c r="AS60" s="5">
        <f>D60/F60*X60</f>
        <v/>
      </c>
      <c r="AT60" s="1">
        <f>#REF!/F60*X60*-1</f>
        <v/>
      </c>
      <c r="AU60" s="1">
        <f>E60/F60*W60</f>
        <v/>
      </c>
      <c r="AV60" s="1">
        <f>1/F60*T60</f>
        <v/>
      </c>
      <c r="AW60" s="1">
        <f>G60/F60*AF60</f>
        <v/>
      </c>
      <c r="AX60" s="1">
        <f>#REF!/F60*AF60*-1</f>
        <v/>
      </c>
      <c r="AY60" s="1">
        <f>J60/F60/(0.9*8760)</f>
        <v/>
      </c>
      <c r="AZ60" s="1">
        <f>K60/F60/(0.9*8760)</f>
        <v/>
      </c>
      <c r="BA60" s="1">
        <f>L60/F60</f>
        <v/>
      </c>
      <c r="BB60" s="1">
        <f>BX60+BY60+BZ60</f>
        <v/>
      </c>
      <c r="BC60" s="1">
        <f>(O60+P60)*-1*H60/F60</f>
        <v/>
      </c>
      <c r="BD60" s="1">
        <f>BB60*O60</f>
        <v/>
      </c>
      <c r="BE60" s="1">
        <f>BX60+BY60</f>
        <v/>
      </c>
      <c r="BF60" s="1">
        <f>P60*H60*-1/F60</f>
        <v/>
      </c>
      <c r="BG60" s="1">
        <f>BE60*O60</f>
        <v/>
      </c>
      <c r="BH60" s="1">
        <f>SUM(BW60:CA60)</f>
        <v/>
      </c>
      <c r="BI60" s="1">
        <f>(O60+P60)*-1*H60/F60</f>
        <v/>
      </c>
      <c r="BJ60" s="1">
        <f>BH60*O60</f>
        <v/>
      </c>
      <c r="BK60" s="1">
        <f>BW60+BX60+BY60+CA60</f>
        <v/>
      </c>
      <c r="BL60" s="1">
        <f>H60/F60*P60*-1</f>
        <v/>
      </c>
      <c r="BM60" s="1">
        <f>O60*BK60</f>
        <v/>
      </c>
      <c r="BO60" s="9" t="n">
        <v>3.14</v>
      </c>
      <c r="BP60" s="10" t="n">
        <v>0.2218110024</v>
      </c>
      <c r="BQ60" s="9" t="n">
        <v>0.18104824</v>
      </c>
      <c r="BS60" s="10">
        <f>1/F60*BP60</f>
        <v/>
      </c>
      <c r="BT60" s="10">
        <f>G60/F60*BQ60</f>
        <v/>
      </c>
      <c r="BU60" s="10">
        <f>BS60+BT60</f>
        <v/>
      </c>
      <c r="BW60" s="10">
        <f>BO60</f>
        <v/>
      </c>
      <c r="BX60" s="10">
        <f>#REF!/F60*BQ60</f>
        <v/>
      </c>
      <c r="BY60" s="10">
        <f>I60/F60</f>
        <v/>
      </c>
      <c r="BZ60" s="10">
        <f>H60/F60</f>
        <v/>
      </c>
      <c r="CA60" s="10">
        <f>BU60-SUM(BW60:BZ60)</f>
        <v/>
      </c>
      <c r="CB60" s="10">
        <f>SUM(BW60:CA60)</f>
        <v/>
      </c>
    </row>
    <row r="61">
      <c r="B61" s="14" t="n"/>
      <c r="C61" s="13" t="inlineStr">
        <is>
          <t>Ethanol</t>
        </is>
      </c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1">
        <f>CA61/0.22/14</f>
        <v/>
      </c>
      <c r="O61" s="17" t="n"/>
      <c r="P61" s="17" t="n"/>
      <c r="Q61" s="16" t="n"/>
      <c r="R61" s="16" t="n"/>
      <c r="S61" s="16" t="n"/>
      <c r="T61" s="11" t="n">
        <v>21.9863533</v>
      </c>
      <c r="U61" s="17" t="n"/>
      <c r="V61" s="17" t="n"/>
      <c r="W61" s="16" t="n"/>
      <c r="X61" s="16" t="n"/>
      <c r="Y61" s="17" t="n"/>
      <c r="Z61" s="17" t="n"/>
      <c r="AA61" s="17" t="n"/>
      <c r="AB61" s="17" t="n"/>
      <c r="AC61" s="17" t="n"/>
      <c r="AD61" s="17" t="n"/>
      <c r="AE61" s="17" t="n"/>
      <c r="AF61" s="16" t="n"/>
      <c r="AG61" s="16" t="n"/>
      <c r="AH61" s="16" t="n"/>
      <c r="AI61" s="16" t="n"/>
      <c r="AK61" s="1">
        <f>B61</f>
        <v/>
      </c>
      <c r="AL61" s="1">
        <f>C61</f>
        <v/>
      </c>
      <c r="AM61" s="12">
        <f>SUM(AS61:BA61)+BC61+BD61</f>
        <v/>
      </c>
      <c r="AN61" s="12">
        <f>SUM(AS61:BA61)+BF61+BG61</f>
        <v/>
      </c>
      <c r="AO61" s="5">
        <f>AM61-AN61</f>
        <v/>
      </c>
      <c r="AP61" s="12">
        <f>SUM(AS61:BA61)+BI61+BJ61</f>
        <v/>
      </c>
      <c r="AQ61" s="12">
        <f>SUM(AS61:BA61)+BL61+BM61</f>
        <v/>
      </c>
      <c r="AR61" s="5">
        <f>AP61-AQ61</f>
        <v/>
      </c>
      <c r="AS61" s="5">
        <f>D61/F61*X61</f>
        <v/>
      </c>
      <c r="AT61" s="1">
        <f>#REF!/F61*X61*-1</f>
        <v/>
      </c>
      <c r="AU61" s="1">
        <f>E61/F61*W61</f>
        <v/>
      </c>
      <c r="AV61" s="1">
        <f>1/F61*T61</f>
        <v/>
      </c>
      <c r="AW61" s="1">
        <f>G61/F61*AF61</f>
        <v/>
      </c>
      <c r="AX61" s="1">
        <f>#REF!/F61*AF61*-1</f>
        <v/>
      </c>
      <c r="AY61" s="1">
        <f>J61/F61/(0.9*8760)</f>
        <v/>
      </c>
      <c r="AZ61" s="1">
        <f>K61/F61/(0.9*8760)</f>
        <v/>
      </c>
      <c r="BA61" s="1">
        <f>L61/F61</f>
        <v/>
      </c>
      <c r="BB61" s="1">
        <f>BX61+BY61+BZ61</f>
        <v/>
      </c>
      <c r="BC61" s="1">
        <f>(O61+P61)*-1*H61/F61</f>
        <v/>
      </c>
      <c r="BD61" s="1">
        <f>BB61*O61</f>
        <v/>
      </c>
      <c r="BE61" s="1">
        <f>BX61+BY61</f>
        <v/>
      </c>
      <c r="BF61" s="1">
        <f>P61*H61*-1/F61</f>
        <v/>
      </c>
      <c r="BG61" s="1">
        <f>BE61*O61</f>
        <v/>
      </c>
      <c r="BH61" s="1">
        <f>SUM(BW61:CA61)</f>
        <v/>
      </c>
      <c r="BI61" s="1">
        <f>(O61+P61)*-1*H61/F61</f>
        <v/>
      </c>
      <c r="BJ61" s="1">
        <f>BH61*O61</f>
        <v/>
      </c>
      <c r="BK61" s="1">
        <f>BW61+BX61+BY61+CA61</f>
        <v/>
      </c>
      <c r="BL61" s="1">
        <f>H61/F61*P61*-1</f>
        <v/>
      </c>
      <c r="BM61" s="1">
        <f>O61*BK61</f>
        <v/>
      </c>
      <c r="BO61" s="9" t="n">
        <v>3.14</v>
      </c>
      <c r="BP61" s="10" t="n">
        <v>0.2218110024</v>
      </c>
      <c r="BQ61" s="9" t="n">
        <v>0.18104824</v>
      </c>
      <c r="BS61" s="10">
        <f>1/F61*BP61</f>
        <v/>
      </c>
      <c r="BT61" s="10">
        <f>G61/F61*BQ61</f>
        <v/>
      </c>
      <c r="BU61" s="10">
        <f>BS61+BT61</f>
        <v/>
      </c>
      <c r="BW61" s="10">
        <f>BO61</f>
        <v/>
      </c>
      <c r="BX61" s="10">
        <f>#REF!/F61*BQ61</f>
        <v/>
      </c>
      <c r="BY61" s="10">
        <f>I61/F61</f>
        <v/>
      </c>
      <c r="BZ61" s="10">
        <f>H61/F61</f>
        <v/>
      </c>
      <c r="CA61" s="10">
        <f>BU61-SUM(BW61:BZ61)</f>
        <v/>
      </c>
      <c r="CB61" s="10">
        <f>SUM(BW61:CA61)</f>
        <v/>
      </c>
    </row>
    <row r="62">
      <c r="B62" s="14" t="n"/>
      <c r="C62" s="13" t="inlineStr">
        <is>
          <t>Ethanol</t>
        </is>
      </c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1">
        <f>CA62/0.22/14</f>
        <v/>
      </c>
      <c r="O62" s="17" t="n"/>
      <c r="P62" s="17" t="n"/>
      <c r="Q62" s="16" t="n"/>
      <c r="R62" s="16" t="n"/>
      <c r="S62" s="16" t="n"/>
      <c r="T62" s="11" t="n">
        <v>21.9863533</v>
      </c>
      <c r="U62" s="17" t="n"/>
      <c r="V62" s="17" t="n"/>
      <c r="W62" s="16" t="n"/>
      <c r="X62" s="16" t="n"/>
      <c r="Y62" s="17" t="n"/>
      <c r="Z62" s="17" t="n"/>
      <c r="AA62" s="17" t="n"/>
      <c r="AB62" s="17" t="n"/>
      <c r="AC62" s="17" t="n"/>
      <c r="AD62" s="17" t="n"/>
      <c r="AE62" s="17" t="n"/>
      <c r="AF62" s="16" t="n"/>
      <c r="AG62" s="16" t="n"/>
      <c r="AH62" s="16" t="n"/>
      <c r="AI62" s="16" t="n"/>
      <c r="AK62" s="1">
        <f>B62</f>
        <v/>
      </c>
      <c r="AL62" s="1">
        <f>C62</f>
        <v/>
      </c>
      <c r="AM62" s="12">
        <f>SUM(AS62:BA62)+BC62+BD62</f>
        <v/>
      </c>
      <c r="AN62" s="12">
        <f>SUM(AS62:BA62)+BF62+BG62</f>
        <v/>
      </c>
      <c r="AO62" s="5">
        <f>AM62-AN62</f>
        <v/>
      </c>
      <c r="AP62" s="12">
        <f>SUM(AS62:BA62)+BI62+BJ62</f>
        <v/>
      </c>
      <c r="AQ62" s="12">
        <f>SUM(AS62:BA62)+BL62+BM62</f>
        <v/>
      </c>
      <c r="AR62" s="5">
        <f>AP62-AQ62</f>
        <v/>
      </c>
      <c r="AS62" s="5">
        <f>D62/F62*X62</f>
        <v/>
      </c>
      <c r="AT62" s="1">
        <f>#REF!/F62*X62*-1</f>
        <v/>
      </c>
      <c r="AU62" s="1">
        <f>E62/F62*W62</f>
        <v/>
      </c>
      <c r="AV62" s="1">
        <f>1/F62*T62</f>
        <v/>
      </c>
      <c r="AW62" s="1">
        <f>G62/F62*AF62</f>
        <v/>
      </c>
      <c r="AX62" s="1">
        <f>#REF!/F62*AF62*-1</f>
        <v/>
      </c>
      <c r="AY62" s="1">
        <f>J62/F62/(0.9*8760)</f>
        <v/>
      </c>
      <c r="AZ62" s="1">
        <f>K62/F62/(0.9*8760)</f>
        <v/>
      </c>
      <c r="BA62" s="1">
        <f>L62/F62</f>
        <v/>
      </c>
      <c r="BB62" s="1">
        <f>BX62+BY62+BZ62</f>
        <v/>
      </c>
      <c r="BC62" s="1">
        <f>(O62+P62)*-1*H62/F62</f>
        <v/>
      </c>
      <c r="BD62" s="1">
        <f>BB62*O62</f>
        <v/>
      </c>
      <c r="BE62" s="1">
        <f>BX62+BY62</f>
        <v/>
      </c>
      <c r="BF62" s="1">
        <f>P62*H62*-1/F62</f>
        <v/>
      </c>
      <c r="BG62" s="1">
        <f>BE62*O62</f>
        <v/>
      </c>
      <c r="BH62" s="1">
        <f>SUM(BW62:CA62)</f>
        <v/>
      </c>
      <c r="BI62" s="1">
        <f>(O62+P62)*-1*H62/F62</f>
        <v/>
      </c>
      <c r="BJ62" s="1">
        <f>BH62*O62</f>
        <v/>
      </c>
      <c r="BK62" s="1">
        <f>BW62+BX62+BY62+CA62</f>
        <v/>
      </c>
      <c r="BL62" s="1">
        <f>H62/F62*P62*-1</f>
        <v/>
      </c>
      <c r="BM62" s="1">
        <f>O62*BK62</f>
        <v/>
      </c>
      <c r="BO62" s="9" t="n">
        <v>3.14</v>
      </c>
      <c r="BP62" s="10" t="n">
        <v>0.2218110024</v>
      </c>
      <c r="BQ62" s="9" t="n">
        <v>0.18104824</v>
      </c>
      <c r="BS62" s="10">
        <f>1/F62*BP62</f>
        <v/>
      </c>
      <c r="BT62" s="10">
        <f>G62/F62*BQ62</f>
        <v/>
      </c>
      <c r="BU62" s="10">
        <f>BS62+BT62</f>
        <v/>
      </c>
      <c r="BW62" s="10">
        <f>BO62</f>
        <v/>
      </c>
      <c r="BX62" s="10">
        <f>#REF!/F62*BQ62</f>
        <v/>
      </c>
      <c r="BY62" s="10">
        <f>I62/F62</f>
        <v/>
      </c>
      <c r="BZ62" s="10">
        <f>H62/F62</f>
        <v/>
      </c>
      <c r="CA62" s="10">
        <f>BU62-SUM(BW62:BZ62)</f>
        <v/>
      </c>
      <c r="CB62" s="10">
        <f>SUM(BW62:CA62)</f>
        <v/>
      </c>
    </row>
    <row r="63">
      <c r="B63" s="14" t="n"/>
      <c r="C63" s="13" t="inlineStr">
        <is>
          <t>Ethanol</t>
        </is>
      </c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1">
        <f>CA63/0.22/14</f>
        <v/>
      </c>
      <c r="O63" s="17" t="n"/>
      <c r="P63" s="17" t="n"/>
      <c r="Q63" s="16" t="n"/>
      <c r="R63" s="16" t="n"/>
      <c r="S63" s="16" t="n"/>
      <c r="T63" s="11" t="n">
        <v>21.9863533</v>
      </c>
      <c r="U63" s="17" t="n"/>
      <c r="V63" s="17" t="n"/>
      <c r="W63" s="16" t="n"/>
      <c r="X63" s="16" t="n"/>
      <c r="Y63" s="17" t="n"/>
      <c r="Z63" s="17" t="n"/>
      <c r="AA63" s="17" t="n"/>
      <c r="AB63" s="17" t="n"/>
      <c r="AC63" s="17" t="n"/>
      <c r="AD63" s="17" t="n"/>
      <c r="AE63" s="17" t="n"/>
      <c r="AF63" s="16" t="n"/>
      <c r="AG63" s="16" t="n"/>
      <c r="AH63" s="16" t="n"/>
      <c r="AI63" s="16" t="n"/>
      <c r="AK63" s="1">
        <f>B63</f>
        <v/>
      </c>
      <c r="AL63" s="1">
        <f>C63</f>
        <v/>
      </c>
      <c r="AM63" s="12">
        <f>SUM(AS63:BA63)+BC63+BD63</f>
        <v/>
      </c>
      <c r="AN63" s="12">
        <f>SUM(AS63:BA63)+BF63+BG63</f>
        <v/>
      </c>
      <c r="AO63" s="5">
        <f>AM63-AN63</f>
        <v/>
      </c>
      <c r="AP63" s="12">
        <f>SUM(AS63:BA63)+BI63+BJ63</f>
        <v/>
      </c>
      <c r="AQ63" s="12">
        <f>SUM(AS63:BA63)+BL63+BM63</f>
        <v/>
      </c>
      <c r="AR63" s="5">
        <f>AP63-AQ63</f>
        <v/>
      </c>
      <c r="AS63" s="5">
        <f>D63/F63*X63</f>
        <v/>
      </c>
      <c r="AT63" s="1">
        <f>#REF!/F63*X63*-1</f>
        <v/>
      </c>
      <c r="AU63" s="1">
        <f>E63/F63*W63</f>
        <v/>
      </c>
      <c r="AV63" s="1">
        <f>1/F63*T63</f>
        <v/>
      </c>
      <c r="AW63" s="1">
        <f>G63/F63*AF63</f>
        <v/>
      </c>
      <c r="AX63" s="1">
        <f>#REF!/F63*AF63*-1</f>
        <v/>
      </c>
      <c r="AY63" s="1">
        <f>J63/F63/(0.9*8760)</f>
        <v/>
      </c>
      <c r="AZ63" s="1">
        <f>K63/F63/(0.9*8760)</f>
        <v/>
      </c>
      <c r="BA63" s="1">
        <f>L63/F63</f>
        <v/>
      </c>
      <c r="BB63" s="1">
        <f>BX63+BY63+BZ63</f>
        <v/>
      </c>
      <c r="BC63" s="1">
        <f>(O63+P63)*-1*H63/F63</f>
        <v/>
      </c>
      <c r="BD63" s="1">
        <f>BB63*O63</f>
        <v/>
      </c>
      <c r="BE63" s="1">
        <f>BX63+BY63</f>
        <v/>
      </c>
      <c r="BF63" s="1">
        <f>P63*H63*-1/F63</f>
        <v/>
      </c>
      <c r="BG63" s="1">
        <f>BE63*O63</f>
        <v/>
      </c>
      <c r="BH63" s="1">
        <f>SUM(BW63:CA63)</f>
        <v/>
      </c>
      <c r="BI63" s="1">
        <f>(O63+P63)*-1*H63/F63</f>
        <v/>
      </c>
      <c r="BJ63" s="1">
        <f>BH63*O63</f>
        <v/>
      </c>
      <c r="BK63" s="1">
        <f>BW63+BX63+BY63+CA63</f>
        <v/>
      </c>
      <c r="BL63" s="1">
        <f>H63/F63*P63*-1</f>
        <v/>
      </c>
      <c r="BM63" s="1">
        <f>O63*BK63</f>
        <v/>
      </c>
      <c r="BO63" s="9" t="n">
        <v>3.14</v>
      </c>
      <c r="BP63" s="10" t="n">
        <v>0.2218110024</v>
      </c>
      <c r="BQ63" s="9" t="n">
        <v>0.18104824</v>
      </c>
      <c r="BS63" s="10">
        <f>1/F63*BP63</f>
        <v/>
      </c>
      <c r="BT63" s="10">
        <f>G63/F63*BQ63</f>
        <v/>
      </c>
      <c r="BU63" s="10">
        <f>BS63+BT63</f>
        <v/>
      </c>
      <c r="BW63" s="10">
        <f>BO63</f>
        <v/>
      </c>
      <c r="BX63" s="10">
        <f>#REF!/F63*BQ63</f>
        <v/>
      </c>
      <c r="BY63" s="10">
        <f>I63/F63</f>
        <v/>
      </c>
      <c r="BZ63" s="10">
        <f>H63/F63</f>
        <v/>
      </c>
      <c r="CA63" s="10">
        <f>BU63-SUM(BW63:BZ63)</f>
        <v/>
      </c>
      <c r="CB63" s="10">
        <f>SUM(BW63:CA63)</f>
        <v/>
      </c>
    </row>
    <row r="64">
      <c r="B64" s="14" t="n"/>
      <c r="C64" s="13" t="inlineStr">
        <is>
          <t>Ethanol</t>
        </is>
      </c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1">
        <f>CA64/0.22/14</f>
        <v/>
      </c>
      <c r="O64" s="17" t="n"/>
      <c r="P64" s="17" t="n"/>
      <c r="Q64" s="16" t="n"/>
      <c r="R64" s="16" t="n"/>
      <c r="S64" s="16" t="n"/>
      <c r="T64" s="11" t="n">
        <v>21.9863533</v>
      </c>
      <c r="U64" s="17" t="n"/>
      <c r="V64" s="17" t="n"/>
      <c r="W64" s="16" t="n"/>
      <c r="X64" s="16" t="n"/>
      <c r="Y64" s="17" t="n"/>
      <c r="Z64" s="17" t="n"/>
      <c r="AA64" s="17" t="n"/>
      <c r="AB64" s="17" t="n"/>
      <c r="AC64" s="17" t="n"/>
      <c r="AD64" s="17" t="n"/>
      <c r="AE64" s="17" t="n"/>
      <c r="AF64" s="16" t="n"/>
      <c r="AG64" s="16" t="n"/>
      <c r="AH64" s="16" t="n"/>
      <c r="AI64" s="16" t="n"/>
      <c r="AK64" s="1">
        <f>B64</f>
        <v/>
      </c>
      <c r="AL64" s="1">
        <f>C64</f>
        <v/>
      </c>
      <c r="AM64" s="12">
        <f>SUM(AS64:BA64)+BC64+BD64</f>
        <v/>
      </c>
      <c r="AN64" s="12">
        <f>SUM(AS64:BA64)+BF64+BG64</f>
        <v/>
      </c>
      <c r="AO64" s="5">
        <f>AM64-AN64</f>
        <v/>
      </c>
      <c r="AP64" s="12">
        <f>SUM(AS64:BA64)+BI64+BJ64</f>
        <v/>
      </c>
      <c r="AQ64" s="12">
        <f>SUM(AS64:BA64)+BL64+BM64</f>
        <v/>
      </c>
      <c r="AR64" s="5">
        <f>AP64-AQ64</f>
        <v/>
      </c>
      <c r="AS64" s="5">
        <f>D64/F64*X64</f>
        <v/>
      </c>
      <c r="AT64" s="1">
        <f>#REF!/F64*X64*-1</f>
        <v/>
      </c>
      <c r="AU64" s="1">
        <f>E64/F64*W64</f>
        <v/>
      </c>
      <c r="AV64" s="1">
        <f>1/F64*T64</f>
        <v/>
      </c>
      <c r="AW64" s="1">
        <f>G64/F64*AF64</f>
        <v/>
      </c>
      <c r="AX64" s="1">
        <f>#REF!/F64*AF64*-1</f>
        <v/>
      </c>
      <c r="AY64" s="1">
        <f>J64/F64/(0.9*8760)</f>
        <v/>
      </c>
      <c r="AZ64" s="1">
        <f>K64/F64/(0.9*8760)</f>
        <v/>
      </c>
      <c r="BA64" s="1">
        <f>L64/F64</f>
        <v/>
      </c>
      <c r="BB64" s="1">
        <f>BX64+BY64+BZ64</f>
        <v/>
      </c>
      <c r="BC64" s="1">
        <f>(O64+P64)*-1*H64/F64</f>
        <v/>
      </c>
      <c r="BD64" s="1">
        <f>BB64*O64</f>
        <v/>
      </c>
      <c r="BE64" s="1">
        <f>BX64+BY64</f>
        <v/>
      </c>
      <c r="BF64" s="1">
        <f>P64*H64*-1/F64</f>
        <v/>
      </c>
      <c r="BG64" s="1">
        <f>BE64*O64</f>
        <v/>
      </c>
      <c r="BH64" s="1">
        <f>SUM(BW64:CA64)</f>
        <v/>
      </c>
      <c r="BI64" s="1">
        <f>(O64+P64)*-1*H64/F64</f>
        <v/>
      </c>
      <c r="BJ64" s="1">
        <f>BH64*O64</f>
        <v/>
      </c>
      <c r="BK64" s="1">
        <f>BW64+BX64+BY64+CA64</f>
        <v/>
      </c>
      <c r="BL64" s="1">
        <f>H64/F64*P64*-1</f>
        <v/>
      </c>
      <c r="BM64" s="1">
        <f>O64*BK64</f>
        <v/>
      </c>
      <c r="BO64" s="9" t="n">
        <v>3.14</v>
      </c>
      <c r="BP64" s="10" t="n">
        <v>0.2218110024</v>
      </c>
      <c r="BQ64" s="9" t="n">
        <v>0.18104824</v>
      </c>
      <c r="BS64" s="10">
        <f>1/F64*BP64</f>
        <v/>
      </c>
      <c r="BT64" s="10">
        <f>G64/F64*BQ64</f>
        <v/>
      </c>
      <c r="BU64" s="10">
        <f>BS64+BT64</f>
        <v/>
      </c>
      <c r="BW64" s="10">
        <f>BO64</f>
        <v/>
      </c>
      <c r="BX64" s="10">
        <f>#REF!/F64*BQ64</f>
        <v/>
      </c>
      <c r="BY64" s="10">
        <f>I64/F64</f>
        <v/>
      </c>
      <c r="BZ64" s="10">
        <f>H64/F64</f>
        <v/>
      </c>
      <c r="CA64" s="10">
        <f>BU64-SUM(BW64:BZ64)</f>
        <v/>
      </c>
      <c r="CB64" s="10">
        <f>SUM(BW64:CA64)</f>
        <v/>
      </c>
    </row>
    <row r="65">
      <c r="B65" s="14" t="n"/>
      <c r="C65" s="13" t="inlineStr">
        <is>
          <t>Ethanol</t>
        </is>
      </c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1">
        <f>CA65/0.22/14</f>
        <v/>
      </c>
      <c r="O65" s="17" t="n"/>
      <c r="P65" s="17" t="n"/>
      <c r="Q65" s="16" t="n"/>
      <c r="R65" s="16" t="n"/>
      <c r="S65" s="16" t="n"/>
      <c r="T65" s="11" t="n">
        <v>21.9863533</v>
      </c>
      <c r="U65" s="17" t="n"/>
      <c r="V65" s="17" t="n"/>
      <c r="W65" s="16" t="n"/>
      <c r="X65" s="16" t="n"/>
      <c r="Y65" s="17" t="n"/>
      <c r="Z65" s="17" t="n"/>
      <c r="AA65" s="17" t="n"/>
      <c r="AB65" s="17" t="n"/>
      <c r="AC65" s="17" t="n"/>
      <c r="AD65" s="17" t="n"/>
      <c r="AE65" s="17" t="n"/>
      <c r="AF65" s="16" t="n"/>
      <c r="AG65" s="16" t="n"/>
      <c r="AH65" s="16" t="n"/>
      <c r="AI65" s="16" t="n"/>
      <c r="AK65" s="1">
        <f>B65</f>
        <v/>
      </c>
      <c r="AL65" s="1">
        <f>C65</f>
        <v/>
      </c>
      <c r="AM65" s="12">
        <f>SUM(AS65:BA65)+BC65+BD65</f>
        <v/>
      </c>
      <c r="AN65" s="12">
        <f>SUM(AS65:BA65)+BF65+BG65</f>
        <v/>
      </c>
      <c r="AO65" s="5">
        <f>AM65-AN65</f>
        <v/>
      </c>
      <c r="AP65" s="12">
        <f>SUM(AS65:BA65)+BI65+BJ65</f>
        <v/>
      </c>
      <c r="AQ65" s="12">
        <f>SUM(AS65:BA65)+BL65+BM65</f>
        <v/>
      </c>
      <c r="AR65" s="5">
        <f>AP65-AQ65</f>
        <v/>
      </c>
      <c r="AS65" s="5">
        <f>D65/F65*X65</f>
        <v/>
      </c>
      <c r="AT65" s="1">
        <f>#REF!/F65*X65*-1</f>
        <v/>
      </c>
      <c r="AU65" s="1">
        <f>E65/F65*W65</f>
        <v/>
      </c>
      <c r="AV65" s="1">
        <f>1/F65*T65</f>
        <v/>
      </c>
      <c r="AW65" s="1">
        <f>G65/F65*AF65</f>
        <v/>
      </c>
      <c r="AX65" s="1">
        <f>#REF!/F65*AF65*-1</f>
        <v/>
      </c>
      <c r="AY65" s="1">
        <f>J65/F65/(0.9*8760)</f>
        <v/>
      </c>
      <c r="AZ65" s="1">
        <f>K65/F65/(0.9*8760)</f>
        <v/>
      </c>
      <c r="BA65" s="1">
        <f>L65/F65</f>
        <v/>
      </c>
      <c r="BB65" s="1">
        <f>BX65+BY65+BZ65</f>
        <v/>
      </c>
      <c r="BC65" s="1">
        <f>(O65+P65)*-1*H65/F65</f>
        <v/>
      </c>
      <c r="BD65" s="1">
        <f>BB65*O65</f>
        <v/>
      </c>
      <c r="BE65" s="1">
        <f>BX65+BY65</f>
        <v/>
      </c>
      <c r="BF65" s="1">
        <f>P65*H65*-1/F65</f>
        <v/>
      </c>
      <c r="BG65" s="1">
        <f>BE65*O65</f>
        <v/>
      </c>
      <c r="BH65" s="1">
        <f>SUM(BW65:CA65)</f>
        <v/>
      </c>
      <c r="BI65" s="1">
        <f>(O65+P65)*-1*H65/F65</f>
        <v/>
      </c>
      <c r="BJ65" s="1">
        <f>BH65*O65</f>
        <v/>
      </c>
      <c r="BK65" s="1">
        <f>BW65+BX65+BY65+CA65</f>
        <v/>
      </c>
      <c r="BL65" s="1">
        <f>H65/F65*P65*-1</f>
        <v/>
      </c>
      <c r="BM65" s="1">
        <f>O65*BK65</f>
        <v/>
      </c>
      <c r="BO65" s="9" t="n">
        <v>3.14</v>
      </c>
      <c r="BP65" s="10" t="n">
        <v>0.2218110024</v>
      </c>
      <c r="BQ65" s="9" t="n">
        <v>0.18104824</v>
      </c>
      <c r="BS65" s="10">
        <f>1/F65*BP65</f>
        <v/>
      </c>
      <c r="BT65" s="10">
        <f>G65/F65*BQ65</f>
        <v/>
      </c>
      <c r="BU65" s="10">
        <f>BS65+BT65</f>
        <v/>
      </c>
      <c r="BW65" s="10">
        <f>BO65</f>
        <v/>
      </c>
      <c r="BX65" s="10">
        <f>#REF!/F65*BQ65</f>
        <v/>
      </c>
      <c r="BY65" s="10">
        <f>I65/F65</f>
        <v/>
      </c>
      <c r="BZ65" s="10">
        <f>H65/F65</f>
        <v/>
      </c>
      <c r="CA65" s="10">
        <f>BU65-SUM(BW65:BZ65)</f>
        <v/>
      </c>
      <c r="CB65" s="10">
        <f>SUM(BW65:CA65)</f>
        <v/>
      </c>
    </row>
    <row r="66">
      <c r="B66" s="14" t="n"/>
      <c r="C66" s="13" t="inlineStr">
        <is>
          <t>Ethanol</t>
        </is>
      </c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1">
        <f>CA66/0.22/14</f>
        <v/>
      </c>
      <c r="O66" s="17" t="n"/>
      <c r="P66" s="17" t="n"/>
      <c r="Q66" s="16" t="n"/>
      <c r="R66" s="16" t="n"/>
      <c r="S66" s="16" t="n"/>
      <c r="T66" s="11" t="n">
        <v>21.9863533</v>
      </c>
      <c r="U66" s="17" t="n"/>
      <c r="V66" s="17" t="n"/>
      <c r="W66" s="16" t="n"/>
      <c r="X66" s="16" t="n"/>
      <c r="Y66" s="17" t="n"/>
      <c r="Z66" s="17" t="n"/>
      <c r="AA66" s="17" t="n"/>
      <c r="AB66" s="17" t="n"/>
      <c r="AC66" s="17" t="n"/>
      <c r="AD66" s="17" t="n"/>
      <c r="AE66" s="17" t="n"/>
      <c r="AF66" s="16" t="n"/>
      <c r="AG66" s="16" t="n"/>
      <c r="AH66" s="16" t="n"/>
      <c r="AI66" s="16" t="n"/>
      <c r="AK66" s="1">
        <f>B66</f>
        <v/>
      </c>
      <c r="AL66" s="1">
        <f>C66</f>
        <v/>
      </c>
      <c r="AM66" s="12">
        <f>SUM(AS66:BA66)+BC66+BD66</f>
        <v/>
      </c>
      <c r="AN66" s="12">
        <f>SUM(AS66:BA66)+BF66+BG66</f>
        <v/>
      </c>
      <c r="AO66" s="5">
        <f>AM66-AN66</f>
        <v/>
      </c>
      <c r="AP66" s="12">
        <f>SUM(AS66:BA66)+BI66+BJ66</f>
        <v/>
      </c>
      <c r="AQ66" s="12">
        <f>SUM(AS66:BA66)+BL66+BM66</f>
        <v/>
      </c>
      <c r="AR66" s="5">
        <f>AP66-AQ66</f>
        <v/>
      </c>
      <c r="AS66" s="5">
        <f>D66/F66*X66</f>
        <v/>
      </c>
      <c r="AT66" s="1">
        <f>#REF!/F66*X66*-1</f>
        <v/>
      </c>
      <c r="AU66" s="1">
        <f>E66/F66*W66</f>
        <v/>
      </c>
      <c r="AV66" s="1">
        <f>1/F66*T66</f>
        <v/>
      </c>
      <c r="AW66" s="1">
        <f>G66/F66*AF66</f>
        <v/>
      </c>
      <c r="AX66" s="1">
        <f>#REF!/F66*AF66*-1</f>
        <v/>
      </c>
      <c r="AY66" s="1">
        <f>J66/F66/(0.9*8760)</f>
        <v/>
      </c>
      <c r="AZ66" s="1">
        <f>K66/F66/(0.9*8760)</f>
        <v/>
      </c>
      <c r="BA66" s="1">
        <f>L66/F66</f>
        <v/>
      </c>
      <c r="BB66" s="1">
        <f>BX66+BY66+BZ66</f>
        <v/>
      </c>
      <c r="BC66" s="1">
        <f>(O66+P66)*-1*H66/F66</f>
        <v/>
      </c>
      <c r="BD66" s="1">
        <f>BB66*O66</f>
        <v/>
      </c>
      <c r="BE66" s="1">
        <f>BX66+BY66</f>
        <v/>
      </c>
      <c r="BF66" s="1">
        <f>P66*H66*-1/F66</f>
        <v/>
      </c>
      <c r="BG66" s="1">
        <f>BE66*O66</f>
        <v/>
      </c>
      <c r="BH66" s="1">
        <f>SUM(BW66:CA66)</f>
        <v/>
      </c>
      <c r="BI66" s="1">
        <f>(O66+P66)*-1*H66/F66</f>
        <v/>
      </c>
      <c r="BJ66" s="1">
        <f>BH66*O66</f>
        <v/>
      </c>
      <c r="BK66" s="1">
        <f>BW66+BX66+BY66+CA66</f>
        <v/>
      </c>
      <c r="BL66" s="1">
        <f>H66/F66*P66*-1</f>
        <v/>
      </c>
      <c r="BM66" s="1">
        <f>O66*BK66</f>
        <v/>
      </c>
      <c r="BO66" s="9" t="n">
        <v>3.14</v>
      </c>
      <c r="BP66" s="10" t="n">
        <v>0.2218110024</v>
      </c>
      <c r="BQ66" s="9" t="n">
        <v>0.18104824</v>
      </c>
      <c r="BS66" s="10">
        <f>1/F66*BP66</f>
        <v/>
      </c>
      <c r="BT66" s="10">
        <f>G66/F66*BQ66</f>
        <v/>
      </c>
      <c r="BU66" s="10">
        <f>BS66+BT66</f>
        <v/>
      </c>
      <c r="BW66" s="10">
        <f>BO66</f>
        <v/>
      </c>
      <c r="BX66" s="10">
        <f>#REF!/F66*BQ66</f>
        <v/>
      </c>
      <c r="BY66" s="10">
        <f>I66/F66</f>
        <v/>
      </c>
      <c r="BZ66" s="10">
        <f>H66/F66</f>
        <v/>
      </c>
      <c r="CA66" s="10">
        <f>BU66-SUM(BW66:BZ66)</f>
        <v/>
      </c>
      <c r="CB66" s="10">
        <f>SUM(BW66:CA66)</f>
        <v/>
      </c>
    </row>
    <row r="67">
      <c r="AM67" s="5" t="n"/>
      <c r="AN67" s="5" t="n"/>
      <c r="AO67" s="5" t="n"/>
      <c r="AP67" s="5" t="n"/>
      <c r="AQ67" s="5" t="n"/>
      <c r="AR67" s="5" t="n"/>
      <c r="AS67" s="5" t="n"/>
      <c r="BO67" s="8" t="n"/>
      <c r="BQ67" s="8" t="n"/>
    </row>
    <row r="68">
      <c r="AM68" s="5" t="n"/>
      <c r="AN68" s="5" t="n"/>
      <c r="AO68" s="5" t="n"/>
      <c r="AP68" s="5" t="n"/>
      <c r="AQ68" s="5" t="n"/>
      <c r="AR68" s="5" t="n"/>
      <c r="AS68" s="5" t="n"/>
      <c r="BO68" s="8" t="n"/>
      <c r="BQ68" s="8" t="n"/>
    </row>
    <row r="69">
      <c r="AM69" s="5" t="n"/>
      <c r="AN69" s="5" t="n"/>
      <c r="AO69" s="5" t="n"/>
      <c r="AP69" s="5" t="n"/>
      <c r="AQ69" s="5" t="n"/>
      <c r="AR69" s="5" t="n"/>
      <c r="AS69" s="5" t="n"/>
      <c r="BO69" s="8" t="n"/>
      <c r="BQ69" s="8" t="n"/>
    </row>
    <row r="70">
      <c r="AM70" s="5" t="n"/>
      <c r="AN70" s="5" t="n"/>
      <c r="AO70" s="5" t="n"/>
      <c r="AP70" s="5" t="n"/>
      <c r="AQ70" s="5" t="n"/>
      <c r="AR70" s="5" t="n"/>
      <c r="AS70" s="5" t="n"/>
      <c r="BO70" s="8" t="n"/>
      <c r="BQ70" s="8" t="n"/>
    </row>
    <row r="71">
      <c r="AM71" s="5" t="n"/>
      <c r="AN71" s="5" t="n"/>
      <c r="AO71" s="5" t="n"/>
      <c r="AP71" s="5" t="n"/>
      <c r="AQ71" s="5" t="n"/>
      <c r="AR71" s="5" t="n"/>
      <c r="AS71" s="5" t="n"/>
      <c r="BO71" s="8" t="n"/>
      <c r="BQ71" s="8" t="n"/>
    </row>
    <row r="72">
      <c r="AM72" s="5" t="n"/>
      <c r="AN72" s="5" t="n"/>
      <c r="AO72" s="5" t="n"/>
      <c r="AP72" s="5" t="n"/>
      <c r="AQ72" s="5" t="n"/>
      <c r="AR72" s="5" t="n"/>
      <c r="AS72" s="5" t="n"/>
      <c r="BO72" s="8" t="n"/>
      <c r="BQ72" s="8" t="n"/>
    </row>
    <row r="73">
      <c r="AM73" s="5" t="n"/>
      <c r="AN73" s="5" t="n"/>
      <c r="AO73" s="5" t="n"/>
      <c r="AP73" s="5" t="n"/>
      <c r="AQ73" s="5" t="n"/>
      <c r="AR73" s="5" t="n"/>
      <c r="AS73" s="5" t="n"/>
      <c r="BO73" s="8" t="n"/>
      <c r="BQ73" s="8" t="n"/>
    </row>
    <row r="74">
      <c r="AM74" s="5" t="n"/>
      <c r="AN74" s="5" t="n"/>
      <c r="AO74" s="5" t="n"/>
      <c r="AP74" s="5" t="n"/>
      <c r="AQ74" s="5" t="n"/>
      <c r="AR74" s="5" t="n"/>
      <c r="AS74" s="5" t="n"/>
      <c r="BO74" s="8" t="n"/>
      <c r="BQ74" s="8" t="n"/>
    </row>
    <row r="75">
      <c r="AM75" s="5" t="n"/>
      <c r="AN75" s="5" t="n"/>
      <c r="AO75" s="5" t="n"/>
      <c r="AP75" s="5" t="n"/>
      <c r="AQ75" s="5" t="n"/>
      <c r="AR75" s="5" t="n"/>
      <c r="AS75" s="5" t="n"/>
      <c r="BO75" s="8" t="n"/>
      <c r="BQ75" s="8" t="n"/>
    </row>
    <row r="76">
      <c r="AM76" s="5" t="n"/>
      <c r="AN76" s="5" t="n"/>
      <c r="AO76" s="5" t="n"/>
      <c r="AP76" s="5" t="n"/>
      <c r="AQ76" s="5" t="n"/>
      <c r="AR76" s="5" t="n"/>
      <c r="AS76" s="5" t="n"/>
      <c r="BO76" s="8" t="n"/>
      <c r="BQ76" s="8" t="n"/>
    </row>
    <row r="77">
      <c r="AM77" s="5" t="n"/>
      <c r="AN77" s="5" t="n"/>
      <c r="AO77" s="5" t="n"/>
      <c r="AP77" s="5" t="n"/>
      <c r="AQ77" s="5" t="n"/>
      <c r="AR77" s="5" t="n"/>
      <c r="AS77" s="5" t="n"/>
      <c r="BO77" s="8" t="n"/>
      <c r="BQ77" s="8" t="n"/>
    </row>
    <row r="78">
      <c r="AM78" s="5" t="n"/>
      <c r="AN78" s="5" t="n"/>
      <c r="AO78" s="5" t="n"/>
      <c r="AP78" s="5" t="n"/>
      <c r="AQ78" s="5" t="n"/>
      <c r="AR78" s="5" t="n"/>
      <c r="AS78" s="5" t="n"/>
      <c r="BO78" s="8" t="n"/>
      <c r="BQ78" s="8" t="n"/>
    </row>
    <row r="79">
      <c r="AM79" s="5" t="n"/>
      <c r="AN79" s="5" t="n"/>
      <c r="AO79" s="5" t="n"/>
      <c r="AP79" s="5" t="n"/>
      <c r="AQ79" s="5" t="n"/>
      <c r="AR79" s="5" t="n"/>
      <c r="AS79" s="5" t="n"/>
      <c r="BO79" s="8" t="n"/>
      <c r="BQ79" s="8" t="n"/>
    </row>
    <row r="80">
      <c r="AM80" s="5" t="n"/>
      <c r="AN80" s="5" t="n"/>
      <c r="AO80" s="5" t="n"/>
      <c r="AP80" s="5" t="n"/>
      <c r="AQ80" s="5" t="n"/>
      <c r="AR80" s="5" t="n"/>
      <c r="AS80" s="5" t="n"/>
      <c r="BO80" s="8" t="n"/>
      <c r="BQ80" s="8" t="n"/>
    </row>
    <row r="81">
      <c r="AM81" s="5" t="n"/>
      <c r="AN81" s="5" t="n"/>
      <c r="AO81" s="5" t="n"/>
      <c r="AP81" s="5" t="n"/>
      <c r="AQ81" s="5" t="n"/>
      <c r="AR81" s="5" t="n"/>
      <c r="AS81" s="5" t="n"/>
      <c r="BO81" s="8" t="n"/>
      <c r="BQ81" s="8" t="n"/>
    </row>
    <row r="82">
      <c r="AM82" s="5" t="n"/>
      <c r="AN82" s="5" t="n"/>
      <c r="AO82" s="5" t="n"/>
      <c r="AP82" s="5" t="n"/>
      <c r="AQ82" s="5" t="n"/>
      <c r="AR82" s="5" t="n"/>
      <c r="AS82" s="5" t="n"/>
      <c r="BO82" s="8" t="n"/>
      <c r="BQ82" s="8" t="n"/>
    </row>
    <row r="83">
      <c r="AM83" s="5" t="n"/>
      <c r="AN83" s="5" t="n"/>
      <c r="AO83" s="5" t="n"/>
      <c r="AP83" s="5" t="n"/>
      <c r="AQ83" s="5" t="n"/>
      <c r="AR83" s="5" t="n"/>
      <c r="AS83" s="5" t="n"/>
      <c r="BO83" s="8" t="n"/>
      <c r="BQ83" s="8" t="n"/>
    </row>
    <row r="84">
      <c r="AM84" s="5" t="n"/>
      <c r="AN84" s="5" t="n"/>
      <c r="AO84" s="5" t="n"/>
      <c r="AP84" s="5" t="n"/>
      <c r="AQ84" s="5" t="n"/>
      <c r="AR84" s="5" t="n"/>
      <c r="AS84" s="5" t="n"/>
      <c r="BO84" s="8" t="n"/>
      <c r="BQ84" s="8" t="n"/>
    </row>
    <row r="85">
      <c r="AM85" s="5" t="n"/>
      <c r="AN85" s="5" t="n"/>
      <c r="AO85" s="5" t="n"/>
      <c r="AP85" s="5" t="n"/>
      <c r="AQ85" s="5" t="n"/>
      <c r="AR85" s="5" t="n"/>
      <c r="AS85" s="5" t="n"/>
      <c r="BO85" s="8" t="n"/>
      <c r="BQ85" s="8" t="n"/>
    </row>
    <row r="86">
      <c r="AM86" s="5" t="n"/>
      <c r="AN86" s="5" t="n"/>
      <c r="AO86" s="5" t="n"/>
      <c r="AP86" s="5" t="n"/>
      <c r="AQ86" s="5" t="n"/>
      <c r="AR86" s="5" t="n"/>
      <c r="AS86" s="5" t="n"/>
      <c r="BO86" s="8" t="n"/>
      <c r="BQ86" s="8" t="n"/>
    </row>
    <row r="87">
      <c r="AM87" s="5" t="n"/>
      <c r="AN87" s="5" t="n"/>
      <c r="AO87" s="5" t="n"/>
      <c r="AP87" s="5" t="n"/>
      <c r="AQ87" s="5" t="n"/>
      <c r="AR87" s="5" t="n"/>
      <c r="AS87" s="5" t="n"/>
      <c r="BO87" s="8" t="n"/>
      <c r="BQ87" s="8" t="n"/>
    </row>
    <row r="88">
      <c r="AM88" s="5" t="n"/>
      <c r="AN88" s="5" t="n"/>
      <c r="AO88" s="5" t="n"/>
      <c r="AP88" s="5" t="n"/>
      <c r="AQ88" s="5" t="n"/>
      <c r="AR88" s="5" t="n"/>
      <c r="AS88" s="5" t="n"/>
      <c r="BO88" s="8" t="n"/>
      <c r="BQ88" s="8" t="n"/>
    </row>
    <row r="89">
      <c r="AM89" s="5" t="n"/>
      <c r="AN89" s="5" t="n"/>
      <c r="AO89" s="5" t="n"/>
      <c r="AP89" s="5" t="n"/>
      <c r="AQ89" s="5" t="n"/>
      <c r="AR89" s="5" t="n"/>
      <c r="AS89" s="5" t="n"/>
      <c r="BO89" s="8" t="n"/>
      <c r="BQ89" s="8" t="n"/>
    </row>
    <row r="90">
      <c r="AM90" s="5" t="n"/>
      <c r="AN90" s="5" t="n"/>
      <c r="AO90" s="5" t="n"/>
      <c r="AP90" s="5" t="n"/>
      <c r="AQ90" s="5" t="n"/>
      <c r="AR90" s="5" t="n"/>
      <c r="AS90" s="5" t="n"/>
      <c r="BO90" s="8" t="n"/>
      <c r="BQ90" s="8" t="n"/>
    </row>
    <row r="91">
      <c r="AM91" s="5" t="n"/>
      <c r="AN91" s="5" t="n"/>
      <c r="AO91" s="5" t="n"/>
      <c r="AP91" s="5" t="n"/>
      <c r="AQ91" s="5" t="n"/>
      <c r="AR91" s="5" t="n"/>
      <c r="AS91" s="5" t="n"/>
      <c r="BO91" s="8" t="n"/>
      <c r="BQ91" s="8" t="n"/>
    </row>
    <row r="92">
      <c r="AM92" s="5" t="n"/>
      <c r="AN92" s="5" t="n"/>
      <c r="AO92" s="5" t="n"/>
      <c r="AP92" s="5" t="n"/>
      <c r="AQ92" s="5" t="n"/>
      <c r="AR92" s="5" t="n"/>
      <c r="AS92" s="5" t="n"/>
      <c r="BO92" s="8" t="n"/>
      <c r="BQ92" s="8" t="n"/>
    </row>
    <row r="93">
      <c r="AM93" s="5" t="n"/>
      <c r="AN93" s="5" t="n"/>
      <c r="AO93" s="5" t="n"/>
      <c r="AP93" s="5" t="n"/>
      <c r="AQ93" s="5" t="n"/>
      <c r="AR93" s="5" t="n"/>
      <c r="AS93" s="5" t="n"/>
      <c r="BO93" s="8" t="n"/>
      <c r="BQ93" s="8" t="n"/>
    </row>
    <row r="94">
      <c r="AM94" s="5" t="n"/>
      <c r="AN94" s="5" t="n"/>
      <c r="AO94" s="5" t="n"/>
      <c r="AP94" s="5" t="n"/>
      <c r="AQ94" s="5" t="n"/>
      <c r="AR94" s="5" t="n"/>
      <c r="AS94" s="5" t="n"/>
      <c r="BO94" s="8" t="n"/>
      <c r="BQ94" s="8" t="n"/>
    </row>
    <row r="95">
      <c r="AM95" s="5" t="n"/>
      <c r="AN95" s="5" t="n"/>
      <c r="AO95" s="5" t="n"/>
      <c r="AP95" s="5" t="n"/>
      <c r="AQ95" s="5" t="n"/>
      <c r="AR95" s="5" t="n"/>
      <c r="AS95" s="5" t="n"/>
      <c r="BO95" s="8" t="n"/>
      <c r="BQ95" s="8" t="n"/>
    </row>
    <row r="96">
      <c r="AM96" s="5" t="n"/>
      <c r="AN96" s="5" t="n"/>
      <c r="AO96" s="5" t="n"/>
      <c r="AP96" s="5" t="n"/>
      <c r="AQ96" s="5" t="n"/>
      <c r="AR96" s="5" t="n"/>
      <c r="AS96" s="5" t="n"/>
      <c r="BO96" s="8" t="n"/>
      <c r="BQ96" s="8" t="n"/>
    </row>
    <row r="97">
      <c r="AM97" s="5" t="n"/>
      <c r="AN97" s="5" t="n"/>
      <c r="AO97" s="5" t="n"/>
      <c r="AP97" s="5" t="n"/>
      <c r="AQ97" s="5" t="n"/>
      <c r="AR97" s="5" t="n"/>
      <c r="AS97" s="5" t="n"/>
      <c r="BO97" s="8" t="n"/>
      <c r="BQ97" s="8" t="n"/>
    </row>
    <row r="98">
      <c r="AM98" s="5" t="n"/>
      <c r="AN98" s="5" t="n"/>
      <c r="AO98" s="5" t="n"/>
      <c r="AP98" s="5" t="n"/>
      <c r="AQ98" s="5" t="n"/>
      <c r="AR98" s="5" t="n"/>
      <c r="AS98" s="5" t="n"/>
      <c r="BO98" s="8" t="n"/>
      <c r="BQ98" s="8" t="n"/>
    </row>
    <row r="99">
      <c r="AM99" s="5" t="n"/>
      <c r="AN99" s="5" t="n"/>
      <c r="AO99" s="5" t="n"/>
      <c r="AP99" s="5" t="n"/>
      <c r="AQ99" s="5" t="n"/>
      <c r="AR99" s="5" t="n"/>
      <c r="AS99" s="5" t="n"/>
      <c r="BO99" s="8" t="n"/>
      <c r="BQ99" s="8" t="n"/>
    </row>
    <row r="100">
      <c r="AM100" s="5" t="n"/>
      <c r="AN100" s="5" t="n"/>
      <c r="AO100" s="5" t="n"/>
      <c r="AP100" s="5" t="n"/>
      <c r="AQ100" s="5" t="n"/>
      <c r="AR100" s="5" t="n"/>
      <c r="AS100" s="5" t="n"/>
      <c r="BO100" s="8" t="n"/>
      <c r="BQ100" s="8" t="n"/>
    </row>
    <row r="101">
      <c r="AM101" s="5" t="n"/>
      <c r="AN101" s="5" t="n"/>
      <c r="AO101" s="5" t="n"/>
      <c r="AP101" s="5" t="n"/>
      <c r="AQ101" s="5" t="n"/>
      <c r="AR101" s="5" t="n"/>
      <c r="AS101" s="5" t="n"/>
      <c r="BO101" s="8" t="n"/>
      <c r="BQ101" s="8" t="n"/>
    </row>
    <row r="102">
      <c r="AM102" s="5" t="n"/>
      <c r="AN102" s="5" t="n"/>
      <c r="AO102" s="5" t="n"/>
      <c r="AP102" s="5" t="n"/>
      <c r="AQ102" s="5" t="n"/>
      <c r="AR102" s="5" t="n"/>
      <c r="AS102" s="5" t="n"/>
      <c r="BO102" s="8" t="n"/>
      <c r="BQ102" s="8" t="n"/>
    </row>
    <row r="103">
      <c r="AM103" s="5" t="n"/>
      <c r="AN103" s="5" t="n"/>
      <c r="AO103" s="5" t="n"/>
      <c r="AP103" s="5" t="n"/>
      <c r="AQ103" s="5" t="n"/>
      <c r="AR103" s="5" t="n"/>
      <c r="AS103" s="5" t="n"/>
      <c r="BO103" s="8" t="n"/>
      <c r="BQ103" s="8" t="n"/>
    </row>
    <row r="104">
      <c r="AM104" s="5" t="n"/>
      <c r="AN104" s="5" t="n"/>
      <c r="AO104" s="5" t="n"/>
      <c r="AP104" s="5" t="n"/>
      <c r="AQ104" s="5" t="n"/>
      <c r="AR104" s="5" t="n"/>
      <c r="AS104" s="5" t="n"/>
      <c r="BO104" s="8" t="n"/>
      <c r="BQ104" s="8" t="n"/>
    </row>
    <row r="105">
      <c r="AM105" s="5" t="n"/>
      <c r="AN105" s="5" t="n"/>
      <c r="AO105" s="5" t="n"/>
      <c r="AP105" s="5" t="n"/>
      <c r="AQ105" s="5" t="n"/>
      <c r="AR105" s="5" t="n"/>
      <c r="AS105" s="5" t="n"/>
    </row>
    <row r="106">
      <c r="AM106" s="5" t="n"/>
      <c r="AN106" s="5" t="n"/>
      <c r="AO106" s="5" t="n"/>
      <c r="AP106" s="5" t="n"/>
      <c r="AQ106" s="5" t="n"/>
      <c r="AR106" s="5" t="n"/>
      <c r="AS106" s="5" t="n"/>
    </row>
    <row r="107">
      <c r="AM107" s="5" t="n"/>
      <c r="AN107" s="5" t="n"/>
      <c r="AO107" s="5" t="n"/>
      <c r="AP107" s="5" t="n"/>
      <c r="AQ107" s="5" t="n"/>
      <c r="AR107" s="5" t="n"/>
      <c r="AS107" s="5" t="n"/>
    </row>
    <row r="108">
      <c r="AS108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Abigail Cheng</dc:creator>
  <dcterms:created xsi:type="dcterms:W3CDTF">2026-04-05T17:24:30Z</dcterms:created>
  <dcterms:modified xsi:type="dcterms:W3CDTF">2026-04-06T20:34:58Z</dcterms:modified>
  <cp:lastModifiedBy>Abigail Cheng</cp:lastModifiedBy>
</cp:coreProperties>
</file>