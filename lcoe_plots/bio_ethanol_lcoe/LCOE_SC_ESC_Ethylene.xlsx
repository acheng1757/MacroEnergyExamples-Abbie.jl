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7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0" fontId="0" fillId="8" borderId="0" pivotButton="0" quotePrefix="0" xfId="0"/>
    <xf numFmtId="164" fontId="1" fillId="9" borderId="0" pivotButton="0" quotePrefix="0" xfId="0"/>
    <xf numFmtId="0" fontId="0" fillId="10" borderId="0" pivotButton="0" quotePrefix="0" xfId="0"/>
    <xf numFmtId="0" fontId="4" fillId="11" borderId="0" pivotButton="0" quotePrefix="0" xfId="0"/>
    <xf numFmtId="0" fontId="2" fillId="12" borderId="0" pivotButton="0" quotePrefix="0" xfId="0"/>
    <xf numFmtId="0" fontId="0" fillId="13" borderId="0" pivotButton="0" quotePrefix="0" xfId="0"/>
    <xf numFmtId="0" fontId="1" fillId="1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D108"/>
  <sheetViews>
    <sheetView tabSelected="1" topLeftCell="S1" zoomScale="50" zoomScaleNormal="157" workbookViewId="0">
      <selection activeCell="AN73" sqref="AN73"/>
    </sheetView>
  </sheetViews>
  <sheetFormatPr baseColWidth="10" defaultRowHeight="16"/>
  <cols>
    <col width="2.6640625" customWidth="1" style="1" min="1" max="1"/>
    <col width="19.6640625" customWidth="1" style="1" min="2" max="2"/>
    <col width="10" bestFit="1" customWidth="1" style="1" min="3" max="3"/>
    <col width="14" customWidth="1" style="1" min="4" max="4"/>
    <col width="12.33203125" customWidth="1" style="1" min="5" max="5"/>
    <col width="14.6640625" customWidth="1" style="1" min="6" max="6"/>
    <col width="17" customWidth="1" style="1" min="7" max="7"/>
    <col width="16.33203125" customWidth="1" style="1" min="8" max="8"/>
    <col width="15.1640625" customWidth="1" style="1" min="9" max="9"/>
    <col width="17" customWidth="1" style="1" min="10" max="12"/>
    <col width="12.1640625" customWidth="1" style="1" min="13" max="13"/>
    <col width="15.83203125" customWidth="1" style="1" min="14" max="14"/>
    <col width="13.5" customWidth="1" style="1" min="15" max="15"/>
    <col width="3" customWidth="1" style="1" min="16" max="16"/>
    <col width="12.83203125" bestFit="1" customWidth="1" style="1" min="17" max="17"/>
    <col width="11" customWidth="1" style="1" min="18" max="18"/>
    <col width="12.83203125" customWidth="1" style="1" min="19" max="19"/>
    <col width="13.83203125" customWidth="1" style="1" min="20" max="20"/>
    <col width="12" customWidth="1" style="1" min="21" max="21"/>
    <col width="11.83203125" customWidth="1" style="1" min="22" max="22"/>
    <col width="13.5" customWidth="1" style="1" min="23" max="23"/>
    <col width="14.33203125" customWidth="1" style="1" min="24" max="24"/>
    <col width="11" customWidth="1" style="1" min="25" max="25"/>
    <col width="9.33203125" customWidth="1" style="1" min="26" max="26"/>
    <col width="10.33203125" customWidth="1" style="1" min="27" max="27"/>
    <col width="14.83203125" customWidth="1" style="1" min="28" max="28"/>
    <col width="14.5" customWidth="1" style="1" min="29" max="29"/>
    <col width="12.5" customWidth="1" style="1" min="30" max="31"/>
    <col width="12.1640625" customWidth="1" style="1" min="32" max="32"/>
    <col width="13.1640625" customWidth="1" style="1" min="33" max="33"/>
    <col width="9.6640625" customWidth="1" style="1" min="34" max="34"/>
    <col width="9.83203125" customWidth="1" style="1" min="35" max="35"/>
    <col width="14.5" customWidth="1" style="1" min="36" max="36"/>
    <col width="15.33203125" customWidth="1" style="1" min="37" max="37"/>
    <col width="3.33203125" customWidth="1" min="38" max="38"/>
    <col width="18.83203125" customWidth="1" style="1" min="39" max="39"/>
    <col width="19.83203125" customWidth="1" style="1" min="40" max="40"/>
    <col width="15.6640625" bestFit="1" customWidth="1" style="1" min="41" max="41"/>
    <col width="15.6640625" customWidth="1" style="1" min="42" max="42"/>
    <col width="18.33203125" bestFit="1" customWidth="1" style="1" min="43" max="43"/>
    <col width="15.6640625" customWidth="1" style="1" min="44" max="45"/>
    <col width="18.33203125" bestFit="1" customWidth="1" style="1" min="46" max="46"/>
    <col width="14.1640625" bestFit="1" customWidth="1" style="1" min="47" max="47"/>
    <col width="12.6640625" bestFit="1" customWidth="1" style="1" min="48" max="48"/>
    <col width="15.1640625" bestFit="1" customWidth="1" style="1" min="49" max="49"/>
    <col width="17.33203125" bestFit="1" customWidth="1" style="1" min="50" max="50"/>
    <col width="17.1640625" bestFit="1" customWidth="1" style="1" min="51" max="51"/>
    <col width="15.5" customWidth="1" style="1" min="52" max="52"/>
    <col width="13.6640625" bestFit="1" customWidth="1" style="1" min="53" max="53"/>
    <col width="12.1640625" bestFit="1" customWidth="1" style="1" min="54" max="54"/>
    <col width="14.5" bestFit="1" customWidth="1" style="1" min="55" max="55"/>
    <col width="10.5" customWidth="1" style="1" min="56" max="56"/>
    <col width="17.83203125" bestFit="1" customWidth="1" style="1" min="57" max="57"/>
    <col width="19.6640625" bestFit="1" customWidth="1" style="1" min="58" max="58"/>
    <col width="12.1640625" customWidth="1" style="1" min="59" max="59"/>
    <col width="17.83203125" bestFit="1" customWidth="1" style="1" min="60" max="60"/>
    <col width="19.33203125" bestFit="1" customWidth="1" style="1" min="61" max="61"/>
    <col width="18" customWidth="1" style="1" min="62" max="62"/>
    <col width="17.83203125" bestFit="1" customWidth="1" style="1" min="63" max="63"/>
    <col width="19.33203125" bestFit="1" customWidth="1" style="1" min="64" max="64"/>
    <col width="9.6640625" customWidth="1" style="1" min="65" max="65"/>
    <col width="17.83203125" bestFit="1" customWidth="1" style="1" min="66" max="66"/>
    <col width="19.33203125" bestFit="1" customWidth="1" style="1" min="67" max="67"/>
    <col width="3.33203125" customWidth="1" style="1" min="68" max="68"/>
    <col width="12.83203125" customWidth="1" style="1" min="69" max="69"/>
    <col width="11.6640625" customWidth="1" style="1" min="70" max="70"/>
    <col width="19.1640625" bestFit="1" customWidth="1" style="1" min="71" max="71"/>
    <col width="3.6640625" customWidth="1" style="1" min="72" max="72"/>
    <col width="21.6640625" bestFit="1" customWidth="1" style="1" min="73" max="73"/>
    <col width="18.33203125" bestFit="1" customWidth="1" style="1" min="74" max="74"/>
    <col width="24.33203125" bestFit="1" customWidth="1" style="1" min="75" max="75"/>
    <col width="3.33203125" customWidth="1" style="1" min="76" max="76"/>
    <col width="23" bestFit="1" customWidth="1" style="1" min="77" max="77"/>
    <col width="17.83203125" bestFit="1" customWidth="1" style="1" min="78" max="78"/>
    <col width="23.6640625" bestFit="1" customWidth="1" style="1" min="79" max="79"/>
    <col width="23.1640625" bestFit="1" customWidth="1" style="1" min="80" max="80"/>
    <col width="18.5" bestFit="1" customWidth="1" style="1" min="81" max="81"/>
    <col width="26" bestFit="1" customWidth="1" style="1" min="82" max="82"/>
    <col width="10.83203125" customWidth="1" style="1" min="83" max="89"/>
    <col width="10.83203125" customWidth="1" style="1" min="90" max="16384"/>
  </cols>
  <sheetData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assets with ethane capacity ($/t-ethylene)</t>
        </is>
      </c>
      <c r="AO2" s="1" t="inlineStr">
        <is>
          <t>SEQ - CI</t>
        </is>
      </c>
      <c r="AP2" s="1" t="inlineStr">
        <is>
          <t>SEQ - CREDIT</t>
        </is>
      </c>
      <c r="AR2" s="1" t="inlineStr">
        <is>
          <t>NO SEQ - CI</t>
        </is>
      </c>
      <c r="AS2" s="1" t="inlineStr">
        <is>
          <t>NO SEQ - CREDIT</t>
        </is>
      </c>
      <c r="BD2" s="1" t="inlineStr">
        <is>
          <t>CHEM SEQUESTRATION - CARBON INTENSITY</t>
        </is>
      </c>
      <c r="BG2" s="1" t="inlineStr">
        <is>
          <t>CHEM SEQUESTRATION - CREDIT</t>
        </is>
      </c>
      <c r="BJ2" s="1" t="inlineStr">
        <is>
          <t>NO CHEM SEQUESTRATION - CARBON INTENSITY</t>
        </is>
      </c>
      <c r="BM2" s="1" t="inlineStr">
        <is>
          <t>NO CHEM SEQUESTRATION - CREDIT</t>
        </is>
      </c>
      <c r="BQ2" s="1" t="inlineStr">
        <is>
          <t>Carbon Content</t>
        </is>
      </c>
      <c r="BU2" s="1" t="inlineStr">
        <is>
          <t>Carbon Inputs</t>
        </is>
      </c>
      <c r="BY2" s="1" t="inlineStr">
        <is>
          <t>Carbon Outputs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h2_consumption (MWh/MWh-ethane)</t>
        </is>
      </c>
      <c r="E3" s="2" t="inlineStr">
        <is>
          <t>h2_production (MWh/MWh-ethane)</t>
        </is>
      </c>
      <c r="F3" s="2" t="inlineStr">
        <is>
          <t>elec_consumption (MWh/MWh-ethane)</t>
        </is>
      </c>
      <c r="G3" s="2" t="inlineStr">
        <is>
          <t>ethylene_production (t-ethylene/MWh-ethane)</t>
        </is>
      </c>
      <c r="H3" s="2" t="inlineStr">
        <is>
          <t>natgas_consumption (MWh/MWh-ethane)</t>
        </is>
      </c>
      <c r="I3" s="2" t="inlineStr">
        <is>
          <t>natgas_production (MWh/MWh-ethane)</t>
        </is>
      </c>
      <c r="J3" s="2" t="inlineStr">
        <is>
          <t>capture_rate (t-CO2/MWh-ethane)</t>
        </is>
      </c>
      <c r="K3" s="2" t="inlineStr">
        <is>
          <t>emission_rate (t-CO2/MWh-ethane)</t>
        </is>
      </c>
      <c r="L3" s="2" t="inlineStr">
        <is>
          <t>investment_cost ($/yr per MW ethane)</t>
        </is>
      </c>
      <c r="M3" s="2" t="inlineStr">
        <is>
          <t>fixed_om_cost ($/yr per MW ethane)</t>
        </is>
      </c>
      <c r="N3" s="2" t="inlineStr">
        <is>
          <t>variable_om_cost ($/MWh-ethane)</t>
        </is>
      </c>
      <c r="O3" s="7" t="inlineStr">
        <is>
          <t>LPG_production (t-LPG/t-ethylene)</t>
        </is>
      </c>
      <c r="Q3" s="15" t="inlineStr">
        <is>
          <t>co2_sink ($/t)</t>
        </is>
      </c>
      <c r="R3" s="15" t="inlineStr">
        <is>
          <t>co2_captured ($/t)</t>
        </is>
      </c>
      <c r="S3" s="15" t="inlineStr">
        <is>
          <t>bioherb_supply ($/t)</t>
        </is>
      </c>
      <c r="T3" s="15" t="inlineStr">
        <is>
          <t>biowood_supply ($/t)</t>
        </is>
      </c>
      <c r="U3" s="15" t="inlineStr">
        <is>
          <t>bioagri_supply ($/t)</t>
        </is>
      </c>
      <c r="V3" s="7" t="inlineStr">
        <is>
          <t>ethane_supply ($/MWh)</t>
        </is>
      </c>
      <c r="W3" s="15" t="inlineStr">
        <is>
          <t>ethanol_balance ($/MWh)</t>
        </is>
      </c>
      <c r="X3" s="15" t="inlineStr">
        <is>
          <t>ethanol_demand ($/MWh)</t>
        </is>
      </c>
      <c r="Y3" s="15" t="inlineStr">
        <is>
          <t>elec_demand ($/MWh)</t>
        </is>
      </c>
      <c r="Z3" s="15" t="inlineStr">
        <is>
          <t>h2_balance ($/MWh)</t>
        </is>
      </c>
      <c r="AA3" s="15" t="inlineStr">
        <is>
          <t>h2_demand ($/MWh)</t>
        </is>
      </c>
      <c r="AB3" s="15" t="inlineStr">
        <is>
          <t>gasoline_balance ($/MWh)</t>
        </is>
      </c>
      <c r="AC3" s="15" t="inlineStr">
        <is>
          <t>gasoline_demand ($/MWh)</t>
        </is>
      </c>
      <c r="AD3" s="15" t="inlineStr">
        <is>
          <t>diesel_balance ($/MWh)</t>
        </is>
      </c>
      <c r="AE3" s="15" t="inlineStr">
        <is>
          <t>diesel_demand ($/MWh)</t>
        </is>
      </c>
      <c r="AF3" s="15" t="inlineStr">
        <is>
          <t>jetfuel_balance ($/MWh)</t>
        </is>
      </c>
      <c r="AG3" s="15" t="inlineStr">
        <is>
          <t>jetfuel_demand ($/MWh)</t>
        </is>
      </c>
      <c r="AH3" s="15" t="inlineStr">
        <is>
          <t>ng_balance ($/MWh)</t>
        </is>
      </c>
      <c r="AI3" s="15" t="inlineStr">
        <is>
          <t>ng_demand ($/MWh)</t>
        </is>
      </c>
      <c r="AJ3" s="15" t="inlineStr">
        <is>
          <t>ethylene_balance ($/t)</t>
        </is>
      </c>
      <c r="AK3" s="15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($/t-ethylene)</t>
        </is>
      </c>
      <c r="AP3" s="6" t="inlineStr">
        <is>
          <t>LCOE ($/t-ethylene)</t>
        </is>
      </c>
      <c r="AQ3" s="7" t="inlineStr">
        <is>
          <t>Diff. Between Methods</t>
        </is>
      </c>
      <c r="AR3" s="3" t="inlineStr">
        <is>
          <t>LCOE ($/t-ethylene)</t>
        </is>
      </c>
      <c r="AS3" s="6" t="inlineStr">
        <is>
          <t>LCOE ($/t-ethylene)</t>
        </is>
      </c>
      <c r="AT3" s="7" t="inlineStr">
        <is>
          <t>Diff. Between Methods</t>
        </is>
      </c>
      <c r="AU3" s="4" t="inlineStr">
        <is>
          <t>h2_consumption</t>
        </is>
      </c>
      <c r="AV3" s="4" t="inlineStr">
        <is>
          <t>h2_production</t>
        </is>
      </c>
      <c r="AW3" s="4" t="inlineStr">
        <is>
          <t>elec_consumption</t>
        </is>
      </c>
      <c r="AX3" s="4" t="inlineStr">
        <is>
          <t>ethane_consumption</t>
        </is>
      </c>
      <c r="AY3" s="4" t="inlineStr">
        <is>
          <t>natgas_consumption</t>
        </is>
      </c>
      <c r="AZ3" s="4" t="inlineStr">
        <is>
          <t>natgas_production</t>
        </is>
      </c>
      <c r="BA3" s="4" t="inlineStr">
        <is>
          <t>investment_cost</t>
        </is>
      </c>
      <c r="BB3" s="4" t="inlineStr">
        <is>
          <t>fixed_om_cost</t>
        </is>
      </c>
      <c r="BC3" s="4" t="inlineStr">
        <is>
          <t>variable_om_cost</t>
        </is>
      </c>
      <c r="BD3" s="3" t="inlineStr">
        <is>
          <t>CI</t>
        </is>
      </c>
      <c r="BE3" s="3" t="inlineStr">
        <is>
          <t>modified capture cost</t>
        </is>
      </c>
      <c r="BF3" s="3" t="inlineStr">
        <is>
          <t>modified emissions cost</t>
        </is>
      </c>
      <c r="BG3" s="6" t="inlineStr">
        <is>
          <t>CI</t>
        </is>
      </c>
      <c r="BH3" s="6" t="inlineStr">
        <is>
          <t>modified capture cost</t>
        </is>
      </c>
      <c r="BI3" s="6" t="inlineStr">
        <is>
          <t>modified emissions cost</t>
        </is>
      </c>
      <c r="BJ3" s="3" t="inlineStr">
        <is>
          <t>CI</t>
        </is>
      </c>
      <c r="BK3" s="3" t="inlineStr">
        <is>
          <t>modified capture cost</t>
        </is>
      </c>
      <c r="BL3" s="3" t="inlineStr">
        <is>
          <t>modified emissions cost</t>
        </is>
      </c>
      <c r="BM3" s="6" t="inlineStr">
        <is>
          <t>CI</t>
        </is>
      </c>
      <c r="BN3" s="6" t="inlineStr">
        <is>
          <t>modified capture cost</t>
        </is>
      </c>
      <c r="BO3" s="6" t="inlineStr">
        <is>
          <t>modified emissions cost</t>
        </is>
      </c>
      <c r="BQ3" s="7" t="inlineStr">
        <is>
          <t>Ethylene (t-CO2/t-ethylene)</t>
        </is>
      </c>
      <c r="BR3" s="7" t="inlineStr">
        <is>
          <t>Ethane (t-CO2/MWh-ethane)</t>
        </is>
      </c>
      <c r="BS3" s="7" t="inlineStr">
        <is>
          <t>NG (t-CO2/MWh-NG)</t>
        </is>
      </c>
      <c r="BU3" s="7" t="inlineStr">
        <is>
          <t>Ethane (t-CO2/t-ethylene)</t>
        </is>
      </c>
      <c r="BV3" s="7" t="inlineStr">
        <is>
          <t>NG (t-CO2/t-ethylene)</t>
        </is>
      </c>
      <c r="BW3" s="7" t="inlineStr">
        <is>
          <t>Total input (t-CO2/t-ethylene)</t>
        </is>
      </c>
      <c r="BY3" s="7" t="inlineStr">
        <is>
          <t>Ethylene (t-CO2/t-ethylene)</t>
        </is>
      </c>
      <c r="BZ3" s="7" t="inlineStr">
        <is>
          <t>NG (t-CO2/MWh-NG)</t>
        </is>
      </c>
      <c r="CA3" s="7" t="inlineStr">
        <is>
          <t>Emissions (t-CO2/t-ethylene)</t>
        </is>
      </c>
      <c r="CB3" s="7" t="inlineStr">
        <is>
          <t>Captured (t-CO2/t-ethylene)</t>
        </is>
      </c>
      <c r="CC3" s="7" t="inlineStr">
        <is>
          <t>LPG (t-CO2/t-ethylene)</t>
        </is>
      </c>
      <c r="CD3" s="7" t="inlineStr">
        <is>
          <t>Total Output (t-CO2/t-ethylene)</t>
        </is>
      </c>
    </row>
    <row r="4">
      <c r="B4" s="14" t="inlineStr">
        <is>
          <t>CA_TSC</t>
        </is>
      </c>
      <c r="C4" s="13" t="inlineStr">
        <is>
          <t>Ethane</t>
        </is>
      </c>
      <c r="D4" s="13" t="n">
        <v>0</v>
      </c>
      <c r="E4" s="13" t="n">
        <v>0</v>
      </c>
      <c r="F4" s="13" t="n">
        <v>0</v>
      </c>
      <c r="G4" s="13" t="n">
        <v>0.05310189724</v>
      </c>
      <c r="H4" s="13" t="n">
        <v>0.02270169876</v>
      </c>
      <c r="I4" s="13" t="n">
        <v>0</v>
      </c>
      <c r="J4" s="13" t="n">
        <v>0</v>
      </c>
      <c r="K4" s="13" t="n">
        <v>0.02678346955</v>
      </c>
      <c r="L4" s="13" t="n">
        <v>99124.32016</v>
      </c>
      <c r="M4" s="13" t="n">
        <v>54251.99777</v>
      </c>
      <c r="N4" s="13" t="n">
        <v>1.676159756</v>
      </c>
      <c r="O4" s="11">
        <f>CC4/0.22/14</f>
        <v/>
      </c>
      <c r="Q4" s="16" t="n">
        <v>99.913298</v>
      </c>
      <c r="R4" s="16" t="n">
        <v>-5.387721</v>
      </c>
      <c r="S4" s="16" t="n">
        <v>69.443859</v>
      </c>
      <c r="T4" s="16" t="n">
        <v>44.089523</v>
      </c>
      <c r="U4" s="16" t="n">
        <v>38.115627</v>
      </c>
      <c r="V4" s="11" t="n">
        <v>21.9863533</v>
      </c>
      <c r="W4" s="17" t="n"/>
      <c r="X4" s="17" t="n"/>
      <c r="Y4" s="16" t="n">
        <v>19.219858</v>
      </c>
      <c r="Z4" s="16" t="n">
        <v>4.641256</v>
      </c>
      <c r="AA4" s="16" t="n"/>
      <c r="AB4" s="17" t="n"/>
      <c r="AC4" s="17" t="n"/>
      <c r="AD4" s="17" t="n"/>
      <c r="AE4" s="17" t="n"/>
      <c r="AF4" s="17" t="n"/>
      <c r="AG4" s="17" t="n"/>
      <c r="AH4" s="16" t="n">
        <v>-3.135876</v>
      </c>
      <c r="AI4" s="16" t="n">
        <v>-4.519557</v>
      </c>
      <c r="AJ4" s="16" t="n">
        <v>796.736008</v>
      </c>
      <c r="AK4" s="16" t="n">
        <v>0</v>
      </c>
      <c r="AM4" s="1">
        <f>B4</f>
        <v/>
      </c>
      <c r="AN4" s="1">
        <f>C4</f>
        <v/>
      </c>
      <c r="AO4" s="12">
        <f>SUM(AU4:BC4)+BE4+BF4</f>
        <v/>
      </c>
      <c r="AP4" s="12">
        <f>SUM(AU4:BC4)+BH4+BI4</f>
        <v/>
      </c>
      <c r="AQ4" s="5">
        <f>AO4-AP4</f>
        <v/>
      </c>
      <c r="AR4" s="12">
        <f>SUM(AU4:BC4)+BK4+BL4</f>
        <v/>
      </c>
      <c r="AS4" s="12">
        <f>SUM(AU4:BC4)+BN4+BO4</f>
        <v/>
      </c>
      <c r="AT4" s="5">
        <f>AR4-AS4</f>
        <v/>
      </c>
      <c r="AU4" s="5">
        <f>D4/G4*Z4</f>
        <v/>
      </c>
      <c r="AV4" s="1">
        <f>E4/G4*Z4*-1</f>
        <v/>
      </c>
      <c r="AW4" s="1">
        <f>F4/G4*Y4</f>
        <v/>
      </c>
      <c r="AX4" s="1">
        <f>1/G4*V4</f>
        <v/>
      </c>
      <c r="AY4" s="1">
        <f>H4/G4*AH4</f>
        <v/>
      </c>
      <c r="AZ4" s="1">
        <f>I4/G4*AH4*-1</f>
        <v/>
      </c>
      <c r="BA4" s="1">
        <f>L4/G4/(0.9*8760)</f>
        <v/>
      </c>
      <c r="BB4" s="1">
        <f>M4/G4/(0.9*8760)</f>
        <v/>
      </c>
      <c r="BC4" s="1">
        <f>N4/G4</f>
        <v/>
      </c>
      <c r="BD4" s="1">
        <f>BZ4+CA4+CB4</f>
        <v/>
      </c>
      <c r="BE4" s="1">
        <f>(Q4+R4)*-1*J4/G4</f>
        <v/>
      </c>
      <c r="BF4" s="1">
        <f>BD4*Q4</f>
        <v/>
      </c>
      <c r="BG4" s="1">
        <f>BZ4+CA4</f>
        <v/>
      </c>
      <c r="BH4" s="1">
        <f>R4*J4*-1/G4</f>
        <v/>
      </c>
      <c r="BI4" s="1">
        <f>BG4*Q4</f>
        <v/>
      </c>
      <c r="BJ4" s="1">
        <f>SUM(BY4:CC4)</f>
        <v/>
      </c>
      <c r="BK4" s="1">
        <f>(Q4+R4)*-1*J4/G4</f>
        <v/>
      </c>
      <c r="BL4" s="1">
        <f>BJ4*Q4</f>
        <v/>
      </c>
      <c r="BM4" s="1">
        <f>BY4+BZ4+CA4+CC4</f>
        <v/>
      </c>
      <c r="BN4" s="1">
        <f>J4/G4*R4*-1</f>
        <v/>
      </c>
      <c r="BO4" s="1">
        <f>Q4*BM4</f>
        <v/>
      </c>
      <c r="BQ4" s="9" t="n">
        <v>3.14</v>
      </c>
      <c r="BR4" s="10" t="n">
        <v>0.2218110024</v>
      </c>
      <c r="BS4" s="9" t="n">
        <v>0.18104824</v>
      </c>
      <c r="BU4" s="10">
        <f>1/G4*BR4</f>
        <v/>
      </c>
      <c r="BV4" s="10">
        <f>H4/G4*BS4</f>
        <v/>
      </c>
      <c r="BW4" s="10">
        <f>BU4+BV4</f>
        <v/>
      </c>
      <c r="BY4" s="10">
        <f>BQ4</f>
        <v/>
      </c>
      <c r="BZ4" s="10">
        <f>I4/G4*BS4</f>
        <v/>
      </c>
      <c r="CA4" s="10">
        <f>K4/G4</f>
        <v/>
      </c>
      <c r="CB4" s="10">
        <f>J4/G4</f>
        <v/>
      </c>
      <c r="CC4" s="10">
        <f>BW4-SUM(BY4:CB4)</f>
        <v/>
      </c>
      <c r="CD4" s="10">
        <f>SUM(BY4:CC4)</f>
        <v/>
      </c>
    </row>
    <row r="5">
      <c r="B5" s="14" t="inlineStr">
        <is>
          <t>SW_TSC</t>
        </is>
      </c>
      <c r="C5" s="13" t="inlineStr">
        <is>
          <t>Ethane</t>
        </is>
      </c>
      <c r="D5" s="13" t="n">
        <v>0</v>
      </c>
      <c r="E5" s="13" t="n">
        <v>0</v>
      </c>
      <c r="F5" s="13" t="n">
        <v>0</v>
      </c>
      <c r="G5" s="13" t="n">
        <v>0.05310189724</v>
      </c>
      <c r="H5" s="13" t="n">
        <v>0.02270169876</v>
      </c>
      <c r="I5" s="13" t="n">
        <v>0</v>
      </c>
      <c r="J5" s="13" t="n">
        <v>0</v>
      </c>
      <c r="K5" s="13" t="n">
        <v>0.02678346955</v>
      </c>
      <c r="L5" s="13" t="n">
        <v>99124.32016</v>
      </c>
      <c r="M5" s="13" t="n">
        <v>54251.99777</v>
      </c>
      <c r="N5" s="13" t="n">
        <v>1.676159756</v>
      </c>
      <c r="O5" s="11">
        <f>CC5/0.22/14</f>
        <v/>
      </c>
      <c r="Q5" s="16" t="n">
        <v>99.913298</v>
      </c>
      <c r="R5" s="16" t="n">
        <v>-5.321206</v>
      </c>
      <c r="S5" s="16" t="n">
        <v>65.718464</v>
      </c>
      <c r="T5" s="16" t="n">
        <v>44.094475</v>
      </c>
      <c r="U5" s="16" t="n">
        <v>41.17053</v>
      </c>
      <c r="V5" s="11" t="n">
        <v>21.9863533</v>
      </c>
      <c r="W5" s="17" t="n"/>
      <c r="X5" s="17" t="n"/>
      <c r="Y5" s="16" t="n">
        <v>20.088657</v>
      </c>
      <c r="Z5" s="16" t="n">
        <v>6.238322</v>
      </c>
      <c r="AA5" s="16" t="n"/>
      <c r="AB5" s="17" t="n"/>
      <c r="AC5" s="17" t="n"/>
      <c r="AD5" s="17" t="n"/>
      <c r="AE5" s="17" t="n"/>
      <c r="AF5" s="17" t="n"/>
      <c r="AG5" s="17" t="n"/>
      <c r="AH5" s="16" t="n">
        <v>-1.277867</v>
      </c>
      <c r="AI5" s="16" t="n">
        <v>-3.020989</v>
      </c>
      <c r="AJ5" s="16" t="n">
        <v>796.736008</v>
      </c>
      <c r="AK5" s="16" t="n">
        <v>0</v>
      </c>
      <c r="AM5" s="1">
        <f>B5</f>
        <v/>
      </c>
      <c r="AN5" s="1">
        <f>C5</f>
        <v/>
      </c>
      <c r="AO5" s="12">
        <f>SUM(AU5:BC5)+BE5+BF5</f>
        <v/>
      </c>
      <c r="AP5" s="12">
        <f>SUM(AU5:BC5)+BH5+BI5</f>
        <v/>
      </c>
      <c r="AQ5" s="5">
        <f>AO5-AP5</f>
        <v/>
      </c>
      <c r="AR5" s="12">
        <f>SUM(AU5:BC5)+BK5+BL5</f>
        <v/>
      </c>
      <c r="AS5" s="12">
        <f>SUM(AU5:BC5)+BN5+BO5</f>
        <v/>
      </c>
      <c r="AT5" s="5">
        <f>AR5-AS5</f>
        <v/>
      </c>
      <c r="AU5" s="5">
        <f>D5/G5*Z5</f>
        <v/>
      </c>
      <c r="AV5" s="1">
        <f>E5/G5*Z5*-1</f>
        <v/>
      </c>
      <c r="AW5" s="1">
        <f>F5/G5*Y5</f>
        <v/>
      </c>
      <c r="AX5" s="1">
        <f>1/G5*V5</f>
        <v/>
      </c>
      <c r="AY5" s="1">
        <f>H5/G5*AH5</f>
        <v/>
      </c>
      <c r="AZ5" s="1">
        <f>I5/G5*AH5*-1</f>
        <v/>
      </c>
      <c r="BA5" s="1">
        <f>L5/G5/(0.9*8760)</f>
        <v/>
      </c>
      <c r="BB5" s="1">
        <f>M5/G5/(0.9*8760)</f>
        <v/>
      </c>
      <c r="BC5" s="1">
        <f>N5/G5</f>
        <v/>
      </c>
      <c r="BD5" s="1">
        <f>BZ5+CA5+CB5</f>
        <v/>
      </c>
      <c r="BE5" s="1">
        <f>(Q5+R5)*-1*J5/G5</f>
        <v/>
      </c>
      <c r="BF5" s="1">
        <f>BD5*Q5</f>
        <v/>
      </c>
      <c r="BG5" s="1">
        <f>BZ5+CA5</f>
        <v/>
      </c>
      <c r="BH5" s="1">
        <f>R5*J5*-1/G5</f>
        <v/>
      </c>
      <c r="BI5" s="1">
        <f>BG5*Q5</f>
        <v/>
      </c>
      <c r="BJ5" s="1">
        <f>SUM(BY5:CC5)</f>
        <v/>
      </c>
      <c r="BK5" s="1">
        <f>(Q5+R5)*-1*J5/G5</f>
        <v/>
      </c>
      <c r="BL5" s="1">
        <f>BJ5*Q5</f>
        <v/>
      </c>
      <c r="BM5" s="1">
        <f>BY5+BZ5+CA5+CC5</f>
        <v/>
      </c>
      <c r="BN5" s="1">
        <f>J5/G5*R5*-1</f>
        <v/>
      </c>
      <c r="BO5" s="1">
        <f>Q5*BM5</f>
        <v/>
      </c>
      <c r="BQ5" s="9" t="n">
        <v>3.14</v>
      </c>
      <c r="BR5" s="10" t="n">
        <v>0.2218110024</v>
      </c>
      <c r="BS5" s="9" t="n">
        <v>0.18104824</v>
      </c>
      <c r="BU5" s="10">
        <f>1/G5*BR5</f>
        <v/>
      </c>
      <c r="BV5" s="10">
        <f>H5/G5*BS5</f>
        <v/>
      </c>
      <c r="BW5" s="10">
        <f>BU5+BV5</f>
        <v/>
      </c>
      <c r="BY5" s="10">
        <f>BQ5</f>
        <v/>
      </c>
      <c r="BZ5" s="10">
        <f>I5/G5*BS5</f>
        <v/>
      </c>
      <c r="CA5" s="10">
        <f>K5/G5</f>
        <v/>
      </c>
      <c r="CB5" s="10">
        <f>J5/G5</f>
        <v/>
      </c>
      <c r="CC5" s="10">
        <f>BW5-SUM(BY5:CB5)</f>
        <v/>
      </c>
      <c r="CD5" s="10">
        <f>SUM(BY5:CC5)</f>
        <v/>
      </c>
    </row>
    <row r="6">
      <c r="B6" s="14" t="inlineStr">
        <is>
          <t>NW_TSC</t>
        </is>
      </c>
      <c r="C6" s="13" t="inlineStr">
        <is>
          <t>Ethane</t>
        </is>
      </c>
      <c r="D6" s="13" t="n">
        <v>0</v>
      </c>
      <c r="E6" s="13" t="n">
        <v>0</v>
      </c>
      <c r="F6" s="13" t="n">
        <v>0</v>
      </c>
      <c r="G6" s="13" t="n">
        <v>0.05310189724</v>
      </c>
      <c r="H6" s="13" t="n">
        <v>0.02270169876</v>
      </c>
      <c r="I6" s="13" t="n">
        <v>0</v>
      </c>
      <c r="J6" s="13" t="n">
        <v>0</v>
      </c>
      <c r="K6" s="13" t="n">
        <v>0.02678346955</v>
      </c>
      <c r="L6" s="13" t="n">
        <v>99124.32016</v>
      </c>
      <c r="M6" s="13" t="n">
        <v>54251.99777</v>
      </c>
      <c r="N6" s="13" t="n">
        <v>1.676159756</v>
      </c>
      <c r="O6" s="11">
        <f>CC6/0.22/14</f>
        <v/>
      </c>
      <c r="Q6" s="16" t="n">
        <v>99.913298</v>
      </c>
      <c r="R6" s="16" t="n">
        <v>-5.280129</v>
      </c>
      <c r="S6" s="16" t="n">
        <v>67.91567999999999</v>
      </c>
      <c r="T6" s="16" t="n">
        <v>44.074162</v>
      </c>
      <c r="U6" s="16" t="n">
        <v>42.063157</v>
      </c>
      <c r="V6" s="11" t="n">
        <v>21.9863533</v>
      </c>
      <c r="W6" s="17" t="n"/>
      <c r="X6" s="17" t="n"/>
      <c r="Y6" s="16" t="n">
        <v>19.074368</v>
      </c>
      <c r="Z6" s="16" t="n">
        <v>5.238745</v>
      </c>
      <c r="AA6" s="16" t="n"/>
      <c r="AB6" s="17" t="n"/>
      <c r="AC6" s="17" t="n"/>
      <c r="AD6" s="17" t="n"/>
      <c r="AE6" s="17" t="n"/>
      <c r="AF6" s="17" t="n"/>
      <c r="AG6" s="17" t="n"/>
      <c r="AH6" s="16" t="n">
        <v>-2.438704</v>
      </c>
      <c r="AI6" s="16" t="n">
        <v>-3.956322</v>
      </c>
      <c r="AJ6" s="16" t="n">
        <v>796.736008</v>
      </c>
      <c r="AK6" s="16" t="n">
        <v>0</v>
      </c>
      <c r="AM6" s="1">
        <f>B6</f>
        <v/>
      </c>
      <c r="AN6" s="1">
        <f>C6</f>
        <v/>
      </c>
      <c r="AO6" s="12">
        <f>SUM(AU6:BC6)+BE6+BF6</f>
        <v/>
      </c>
      <c r="AP6" s="12">
        <f>SUM(AU6:BC6)+BH6+BI6</f>
        <v/>
      </c>
      <c r="AQ6" s="5">
        <f>AO6-AP6</f>
        <v/>
      </c>
      <c r="AR6" s="12">
        <f>SUM(AU6:BC6)+BK6+BL6</f>
        <v/>
      </c>
      <c r="AS6" s="12">
        <f>SUM(AU6:BC6)+BN6+BO6</f>
        <v/>
      </c>
      <c r="AT6" s="5">
        <f>AR6-AS6</f>
        <v/>
      </c>
      <c r="AU6" s="5">
        <f>D6/G6*Z6</f>
        <v/>
      </c>
      <c r="AV6" s="1">
        <f>E6/G6*Z6*-1</f>
        <v/>
      </c>
      <c r="AW6" s="1">
        <f>F6/G6*Y6</f>
        <v/>
      </c>
      <c r="AX6" s="1">
        <f>1/G6*V6</f>
        <v/>
      </c>
      <c r="AY6" s="1">
        <f>H6/G6*AH6</f>
        <v/>
      </c>
      <c r="AZ6" s="1">
        <f>I6/G6*AH6*-1</f>
        <v/>
      </c>
      <c r="BA6" s="1">
        <f>L6/G6/(0.9*8760)</f>
        <v/>
      </c>
      <c r="BB6" s="1">
        <f>M6/G6/(0.9*8760)</f>
        <v/>
      </c>
      <c r="BC6" s="1">
        <f>N6/G6</f>
        <v/>
      </c>
      <c r="BD6" s="1">
        <f>BZ6+CA6+CB6</f>
        <v/>
      </c>
      <c r="BE6" s="1">
        <f>(Q6+R6)*-1*J6/G6</f>
        <v/>
      </c>
      <c r="BF6" s="1">
        <f>BD6*Q6</f>
        <v/>
      </c>
      <c r="BG6" s="1">
        <f>BZ6+CA6</f>
        <v/>
      </c>
      <c r="BH6" s="1">
        <f>R6*J6*-1/G6</f>
        <v/>
      </c>
      <c r="BI6" s="1">
        <f>BG6*Q6</f>
        <v/>
      </c>
      <c r="BJ6" s="1">
        <f>SUM(BY6:CC6)</f>
        <v/>
      </c>
      <c r="BK6" s="1">
        <f>(Q6+R6)*-1*J6/G6</f>
        <v/>
      </c>
      <c r="BL6" s="1">
        <f>BJ6*Q6</f>
        <v/>
      </c>
      <c r="BM6" s="1">
        <f>BY6+BZ6+CA6+CC6</f>
        <v/>
      </c>
      <c r="BN6" s="1">
        <f>J6/G6*R6*-1</f>
        <v/>
      </c>
      <c r="BO6" s="1">
        <f>Q6*BM6</f>
        <v/>
      </c>
      <c r="BQ6" s="9" t="n">
        <v>3.14</v>
      </c>
      <c r="BR6" s="10" t="n">
        <v>0.2218110024</v>
      </c>
      <c r="BS6" s="9" t="n">
        <v>0.18104824</v>
      </c>
      <c r="BU6" s="10">
        <f>1/G6*BR6</f>
        <v/>
      </c>
      <c r="BV6" s="10">
        <f>H6/G6*BS6</f>
        <v/>
      </c>
      <c r="BW6" s="10">
        <f>BU6+BV6</f>
        <v/>
      </c>
      <c r="BY6" s="10">
        <f>BQ6</f>
        <v/>
      </c>
      <c r="BZ6" s="10">
        <f>I6/G6*BS6</f>
        <v/>
      </c>
      <c r="CA6" s="10">
        <f>K6/G6</f>
        <v/>
      </c>
      <c r="CB6" s="10">
        <f>J6/G6</f>
        <v/>
      </c>
      <c r="CC6" s="10">
        <f>BW6-SUM(BY6:CB6)</f>
        <v/>
      </c>
      <c r="CD6" s="10">
        <f>SUM(BY6:CC6)</f>
        <v/>
      </c>
    </row>
    <row r="7">
      <c r="B7" s="14" t="inlineStr">
        <is>
          <t>TX_TSC</t>
        </is>
      </c>
      <c r="C7" s="13" t="inlineStr">
        <is>
          <t>Ethane</t>
        </is>
      </c>
      <c r="D7" s="13" t="n">
        <v>0</v>
      </c>
      <c r="E7" s="13" t="n">
        <v>0</v>
      </c>
      <c r="F7" s="13" t="n">
        <v>0</v>
      </c>
      <c r="G7" s="13" t="n">
        <v>0.05310189724</v>
      </c>
      <c r="H7" s="13" t="n">
        <v>0.02270169876</v>
      </c>
      <c r="I7" s="13" t="n">
        <v>0</v>
      </c>
      <c r="J7" s="13" t="n">
        <v>0</v>
      </c>
      <c r="K7" s="13" t="n">
        <v>0.02678346955</v>
      </c>
      <c r="L7" s="13" t="n">
        <v>99124.32016</v>
      </c>
      <c r="M7" s="13" t="n">
        <v>54251.99777</v>
      </c>
      <c r="N7" s="13" t="n">
        <v>1.676159756</v>
      </c>
      <c r="O7" s="11">
        <f>CC7/0.22/14</f>
        <v/>
      </c>
      <c r="Q7" s="16" t="n">
        <v>99.913298</v>
      </c>
      <c r="R7" s="16" t="n">
        <v>-4.998843</v>
      </c>
      <c r="S7" s="16" t="n">
        <v>65.086749</v>
      </c>
      <c r="T7" s="16" t="n">
        <v>44.879451</v>
      </c>
      <c r="U7" s="16" t="n">
        <v>38.220582</v>
      </c>
      <c r="V7" s="11" t="n">
        <v>21.9863533</v>
      </c>
      <c r="W7" s="17" t="n"/>
      <c r="X7" s="17" t="n"/>
      <c r="Y7" s="16" t="n">
        <v>20.95841</v>
      </c>
      <c r="Z7" s="16" t="n">
        <v>6.059849</v>
      </c>
      <c r="AA7" s="16" t="n"/>
      <c r="AB7" s="17" t="n"/>
      <c r="AC7" s="17" t="n"/>
      <c r="AD7" s="17" t="n"/>
      <c r="AE7" s="17" t="n"/>
      <c r="AF7" s="17" t="n"/>
      <c r="AG7" s="17" t="n"/>
      <c r="AH7" s="16" t="n">
        <v>-1.481188</v>
      </c>
      <c r="AI7" s="16" t="n">
        <v>-3.21388</v>
      </c>
      <c r="AJ7" s="16" t="n">
        <v>796.736008</v>
      </c>
      <c r="AK7" s="16" t="n">
        <v>796.736008</v>
      </c>
      <c r="AM7" s="1">
        <f>B7</f>
        <v/>
      </c>
      <c r="AN7" s="1">
        <f>C7</f>
        <v/>
      </c>
      <c r="AO7" s="12">
        <f>SUM(AU7:BC7)+BE7+BF7</f>
        <v/>
      </c>
      <c r="AP7" s="12">
        <f>SUM(AU7:BC7)+BH7+BI7</f>
        <v/>
      </c>
      <c r="AQ7" s="5">
        <f>AO7-AP7</f>
        <v/>
      </c>
      <c r="AR7" s="12">
        <f>SUM(AU7:BC7)+BK7+BL7</f>
        <v/>
      </c>
      <c r="AS7" s="12">
        <f>SUM(AU7:BC7)+BN7+BO7</f>
        <v/>
      </c>
      <c r="AT7" s="5">
        <f>AR7-AS7</f>
        <v/>
      </c>
      <c r="AU7" s="5">
        <f>D7/G7*Z7</f>
        <v/>
      </c>
      <c r="AV7" s="1">
        <f>E7/G7*Z7*-1</f>
        <v/>
      </c>
      <c r="AW7" s="1">
        <f>F7/G7*Y7</f>
        <v/>
      </c>
      <c r="AX7" s="1">
        <f>1/G7*V7</f>
        <v/>
      </c>
      <c r="AY7" s="1">
        <f>H7/G7*AH7</f>
        <v/>
      </c>
      <c r="AZ7" s="1">
        <f>I7/G7*AH7*-1</f>
        <v/>
      </c>
      <c r="BA7" s="1">
        <f>L7/G7/(0.9*8760)</f>
        <v/>
      </c>
      <c r="BB7" s="1">
        <f>M7/G7/(0.9*8760)</f>
        <v/>
      </c>
      <c r="BC7" s="1">
        <f>N7/G7</f>
        <v/>
      </c>
      <c r="BD7" s="1">
        <f>BZ7+CA7+CB7</f>
        <v/>
      </c>
      <c r="BE7" s="1">
        <f>(Q7+R7)*-1*J7/G7</f>
        <v/>
      </c>
      <c r="BF7" s="1">
        <f>BD7*Q7</f>
        <v/>
      </c>
      <c r="BG7" s="1">
        <f>BZ7+CA7</f>
        <v/>
      </c>
      <c r="BH7" s="1">
        <f>R7*J7*-1/G7</f>
        <v/>
      </c>
      <c r="BI7" s="1">
        <f>BG7*Q7</f>
        <v/>
      </c>
      <c r="BJ7" s="1">
        <f>SUM(BY7:CC7)</f>
        <v/>
      </c>
      <c r="BK7" s="1">
        <f>(Q7+R7)*-1*J7/G7</f>
        <v/>
      </c>
      <c r="BL7" s="1">
        <f>BJ7*Q7</f>
        <v/>
      </c>
      <c r="BM7" s="1">
        <f>BY7+BZ7+CA7+CC7</f>
        <v/>
      </c>
      <c r="BN7" s="1">
        <f>J7/G7*R7*-1</f>
        <v/>
      </c>
      <c r="BO7" s="1">
        <f>Q7*BM7</f>
        <v/>
      </c>
      <c r="BQ7" s="9" t="n">
        <v>3.14</v>
      </c>
      <c r="BR7" s="10" t="n">
        <v>0.2218110024</v>
      </c>
      <c r="BS7" s="9" t="n">
        <v>0.18104824</v>
      </c>
      <c r="BU7" s="10">
        <f>1/G7*BR7</f>
        <v/>
      </c>
      <c r="BV7" s="10">
        <f>H7/G7*BS7</f>
        <v/>
      </c>
      <c r="BW7" s="10">
        <f>BU7+BV7</f>
        <v/>
      </c>
      <c r="BY7" s="10">
        <f>BQ7</f>
        <v/>
      </c>
      <c r="BZ7" s="10">
        <f>I7/G7*BS7</f>
        <v/>
      </c>
      <c r="CA7" s="10">
        <f>K7/G7</f>
        <v/>
      </c>
      <c r="CB7" s="10">
        <f>J7/G7</f>
        <v/>
      </c>
      <c r="CC7" s="10">
        <f>BW7-SUM(BY7:CB7)</f>
        <v/>
      </c>
      <c r="CD7" s="10">
        <f>SUM(BY7:CC7)</f>
        <v/>
      </c>
    </row>
    <row r="8">
      <c r="B8" s="14" t="inlineStr">
        <is>
          <t>NCEN_TSC</t>
        </is>
      </c>
      <c r="C8" s="13" t="inlineStr">
        <is>
          <t>Ethane</t>
        </is>
      </c>
      <c r="D8" s="13" t="n">
        <v>0</v>
      </c>
      <c r="E8" s="13" t="n">
        <v>0</v>
      </c>
      <c r="F8" s="13" t="n">
        <v>0</v>
      </c>
      <c r="G8" s="13" t="n">
        <v>0.05310189724</v>
      </c>
      <c r="H8" s="13" t="n">
        <v>0.02270169876</v>
      </c>
      <c r="I8" s="13" t="n">
        <v>0</v>
      </c>
      <c r="J8" s="13" t="n">
        <v>0</v>
      </c>
      <c r="K8" s="13" t="n">
        <v>0.02678346955</v>
      </c>
      <c r="L8" s="13" t="n">
        <v>99124.32016</v>
      </c>
      <c r="M8" s="13" t="n">
        <v>54251.99777</v>
      </c>
      <c r="N8" s="13" t="n">
        <v>1.676159756</v>
      </c>
      <c r="O8" s="11">
        <f>CC8/0.22/14</f>
        <v/>
      </c>
      <c r="Q8" s="16" t="n">
        <v>99.913298</v>
      </c>
      <c r="R8" s="16" t="n">
        <v>-6.08881</v>
      </c>
      <c r="S8" s="16" t="n">
        <v>66.12049500000001</v>
      </c>
      <c r="T8" s="16" t="n">
        <v>43.630616</v>
      </c>
      <c r="U8" s="16" t="n">
        <v>43.105329</v>
      </c>
      <c r="V8" s="11" t="n">
        <v>21.9863533</v>
      </c>
      <c r="W8" s="17" t="n"/>
      <c r="X8" s="17" t="n"/>
      <c r="Y8" s="16" t="n">
        <v>22.136932</v>
      </c>
      <c r="Z8" s="16" t="n">
        <v>6.801534</v>
      </c>
      <c r="AA8" s="16" t="n"/>
      <c r="AB8" s="17" t="n"/>
      <c r="AC8" s="17" t="n"/>
      <c r="AD8" s="17" t="n"/>
      <c r="AE8" s="17" t="n"/>
      <c r="AF8" s="17" t="n"/>
      <c r="AG8" s="17" t="n"/>
      <c r="AH8" s="16" t="n">
        <v>-0.824778</v>
      </c>
      <c r="AI8" s="16" t="n">
        <v>-3.075704</v>
      </c>
      <c r="AJ8" s="16" t="n">
        <v>796.736008</v>
      </c>
      <c r="AK8" s="16" t="n">
        <v>796.736008</v>
      </c>
      <c r="AM8" s="1">
        <f>B8</f>
        <v/>
      </c>
      <c r="AN8" s="1">
        <f>C8</f>
        <v/>
      </c>
      <c r="AO8" s="12">
        <f>SUM(AU8:BC8)+BE8+BF8</f>
        <v/>
      </c>
      <c r="AP8" s="12">
        <f>SUM(AU8:BC8)+BH8+BI8</f>
        <v/>
      </c>
      <c r="AQ8" s="5">
        <f>AO8-AP8</f>
        <v/>
      </c>
      <c r="AR8" s="12">
        <f>SUM(AU8:BC8)+BK8+BL8</f>
        <v/>
      </c>
      <c r="AS8" s="12">
        <f>SUM(AU8:BC8)+BN8+BO8</f>
        <v/>
      </c>
      <c r="AT8" s="5">
        <f>AR8-AS8</f>
        <v/>
      </c>
      <c r="AU8" s="5">
        <f>D8/G8*Z8</f>
        <v/>
      </c>
      <c r="AV8" s="1">
        <f>E8/G8*Z8*-1</f>
        <v/>
      </c>
      <c r="AW8" s="1">
        <f>F8/G8*Y8</f>
        <v/>
      </c>
      <c r="AX8" s="1">
        <f>1/G8*V8</f>
        <v/>
      </c>
      <c r="AY8" s="1">
        <f>H8/G8*AH8</f>
        <v/>
      </c>
      <c r="AZ8" s="1">
        <f>I8/G8*AH8*-1</f>
        <v/>
      </c>
      <c r="BA8" s="1">
        <f>L8/G8/(0.9*8760)</f>
        <v/>
      </c>
      <c r="BB8" s="1">
        <f>M8/G8/(0.9*8760)</f>
        <v/>
      </c>
      <c r="BC8" s="1">
        <f>N8/G8</f>
        <v/>
      </c>
      <c r="BD8" s="1">
        <f>BZ8+CA8+CB8</f>
        <v/>
      </c>
      <c r="BE8" s="1">
        <f>(Q8+R8)*-1*J8/G8</f>
        <v/>
      </c>
      <c r="BF8" s="1">
        <f>BD8*Q8</f>
        <v/>
      </c>
      <c r="BG8" s="1">
        <f>BZ8+CA8</f>
        <v/>
      </c>
      <c r="BH8" s="1">
        <f>R8*J8*-1/G8</f>
        <v/>
      </c>
      <c r="BI8" s="1">
        <f>BG8*Q8</f>
        <v/>
      </c>
      <c r="BJ8" s="1">
        <f>SUM(BY8:CC8)</f>
        <v/>
      </c>
      <c r="BK8" s="1">
        <f>(Q8+R8)*-1*J8/G8</f>
        <v/>
      </c>
      <c r="BL8" s="1">
        <f>BJ8*Q8</f>
        <v/>
      </c>
      <c r="BM8" s="1">
        <f>BY8+BZ8+CA8+CC8</f>
        <v/>
      </c>
      <c r="BN8" s="1">
        <f>J8/G8*R8*-1</f>
        <v/>
      </c>
      <c r="BO8" s="1">
        <f>Q8*BM8</f>
        <v/>
      </c>
      <c r="BQ8" s="9" t="n">
        <v>3.14</v>
      </c>
      <c r="BR8" s="10" t="n">
        <v>0.2218110024</v>
      </c>
      <c r="BS8" s="9" t="n">
        <v>0.18104824</v>
      </c>
      <c r="BU8" s="10">
        <f>1/G8*BR8</f>
        <v/>
      </c>
      <c r="BV8" s="10">
        <f>H8/G8*BS8</f>
        <v/>
      </c>
      <c r="BW8" s="10">
        <f>BU8+BV8</f>
        <v/>
      </c>
      <c r="BY8" s="10">
        <f>BQ8</f>
        <v/>
      </c>
      <c r="BZ8" s="10">
        <f>I8/G8*BS8</f>
        <v/>
      </c>
      <c r="CA8" s="10">
        <f>K8/G8</f>
        <v/>
      </c>
      <c r="CB8" s="10">
        <f>J8/G8</f>
        <v/>
      </c>
      <c r="CC8" s="10">
        <f>BW8-SUM(BY8:CB8)</f>
        <v/>
      </c>
      <c r="CD8" s="10">
        <f>SUM(BY8:CC8)</f>
        <v/>
      </c>
    </row>
    <row r="9">
      <c r="B9" s="14" t="inlineStr">
        <is>
          <t>CEN_TSC</t>
        </is>
      </c>
      <c r="C9" s="13" t="inlineStr">
        <is>
          <t>Ethane</t>
        </is>
      </c>
      <c r="D9" s="13" t="n">
        <v>0</v>
      </c>
      <c r="E9" s="13" t="n">
        <v>0</v>
      </c>
      <c r="F9" s="13" t="n">
        <v>0</v>
      </c>
      <c r="G9" s="13" t="n">
        <v>0.05310189724</v>
      </c>
      <c r="H9" s="13" t="n">
        <v>0.02270169876</v>
      </c>
      <c r="I9" s="13" t="n">
        <v>0</v>
      </c>
      <c r="J9" s="13" t="n">
        <v>0</v>
      </c>
      <c r="K9" s="13" t="n">
        <v>0.02678346955</v>
      </c>
      <c r="L9" s="13" t="n">
        <v>99124.32016</v>
      </c>
      <c r="M9" s="13" t="n">
        <v>54251.99777</v>
      </c>
      <c r="N9" s="13" t="n">
        <v>1.676159756</v>
      </c>
      <c r="O9" s="11">
        <f>CC9/0.22/14</f>
        <v/>
      </c>
      <c r="Q9" s="16" t="n">
        <v>99.913298</v>
      </c>
      <c r="R9" s="16" t="n">
        <v>-6.197641</v>
      </c>
      <c r="S9" s="16" t="n">
        <v>65.135812</v>
      </c>
      <c r="T9" s="16" t="n">
        <v>43.37233</v>
      </c>
      <c r="U9" s="16" t="n">
        <v>42.438418</v>
      </c>
      <c r="V9" s="11" t="n">
        <v>21.9863533</v>
      </c>
      <c r="W9" s="17" t="n"/>
      <c r="X9" s="17" t="n"/>
      <c r="Y9" s="16" t="n">
        <v>21.530919</v>
      </c>
      <c r="Z9" s="16" t="n">
        <v>6.288532</v>
      </c>
      <c r="AA9" s="16" t="n"/>
      <c r="AB9" s="17" t="n"/>
      <c r="AC9" s="17" t="n"/>
      <c r="AD9" s="17" t="n"/>
      <c r="AE9" s="17" t="n"/>
      <c r="AF9" s="17" t="n"/>
      <c r="AG9" s="17" t="n"/>
      <c r="AH9" s="16" t="n">
        <v>-1.431457</v>
      </c>
      <c r="AI9" s="16" t="n">
        <v>-3.351826</v>
      </c>
      <c r="AJ9" s="16" t="n">
        <v>796.736008</v>
      </c>
      <c r="AK9" s="16" t="n">
        <v>796.736008</v>
      </c>
      <c r="AM9" s="1">
        <f>B9</f>
        <v/>
      </c>
      <c r="AN9" s="1">
        <f>C9</f>
        <v/>
      </c>
      <c r="AO9" s="12">
        <f>SUM(AU9:BC9)+BE9+BF9</f>
        <v/>
      </c>
      <c r="AP9" s="12">
        <f>SUM(AU9:BC9)+BH9+BI9</f>
        <v/>
      </c>
      <c r="AQ9" s="5">
        <f>AO9-AP9</f>
        <v/>
      </c>
      <c r="AR9" s="12">
        <f>SUM(AU9:BC9)+BK9+BL9</f>
        <v/>
      </c>
      <c r="AS9" s="12">
        <f>SUM(AU9:BC9)+BN9+BO9</f>
        <v/>
      </c>
      <c r="AT9" s="5">
        <f>AR9-AS9</f>
        <v/>
      </c>
      <c r="AU9" s="5">
        <f>D9/G9*Z9</f>
        <v/>
      </c>
      <c r="AV9" s="1">
        <f>E9/G9*Z9*-1</f>
        <v/>
      </c>
      <c r="AW9" s="1">
        <f>F9/G9*Y9</f>
        <v/>
      </c>
      <c r="AX9" s="1">
        <f>1/G9*V9</f>
        <v/>
      </c>
      <c r="AY9" s="1">
        <f>H9/G9*AH9</f>
        <v/>
      </c>
      <c r="AZ9" s="1">
        <f>I9/G9*AH9*-1</f>
        <v/>
      </c>
      <c r="BA9" s="1">
        <f>L9/G9/(0.9*8760)</f>
        <v/>
      </c>
      <c r="BB9" s="1">
        <f>M9/G9/(0.9*8760)</f>
        <v/>
      </c>
      <c r="BC9" s="1">
        <f>N9/G9</f>
        <v/>
      </c>
      <c r="BD9" s="1">
        <f>BZ9+CA9+CB9</f>
        <v/>
      </c>
      <c r="BE9" s="1">
        <f>(Q9+R9)*-1*J9/G9</f>
        <v/>
      </c>
      <c r="BF9" s="1">
        <f>BD9*Q9</f>
        <v/>
      </c>
      <c r="BG9" s="1">
        <f>BZ9+CA9</f>
        <v/>
      </c>
      <c r="BH9" s="1">
        <f>R9*J9*-1/G9</f>
        <v/>
      </c>
      <c r="BI9" s="1">
        <f>BG9*Q9</f>
        <v/>
      </c>
      <c r="BJ9" s="1">
        <f>SUM(BY9:CC9)</f>
        <v/>
      </c>
      <c r="BK9" s="1">
        <f>(Q9+R9)*-1*J9/G9</f>
        <v/>
      </c>
      <c r="BL9" s="1">
        <f>BJ9*Q9</f>
        <v/>
      </c>
      <c r="BM9" s="1">
        <f>BY9+BZ9+CA9+CC9</f>
        <v/>
      </c>
      <c r="BN9" s="1">
        <f>J9/G9*R9*-1</f>
        <v/>
      </c>
      <c r="BO9" s="1">
        <f>Q9*BM9</f>
        <v/>
      </c>
      <c r="BQ9" s="9" t="n">
        <v>3.14</v>
      </c>
      <c r="BR9" s="10" t="n">
        <v>0.2218110024</v>
      </c>
      <c r="BS9" s="9" t="n">
        <v>0.18104824</v>
      </c>
      <c r="BU9" s="10">
        <f>1/G9*BR9</f>
        <v/>
      </c>
      <c r="BV9" s="10">
        <f>H9/G9*BS9</f>
        <v/>
      </c>
      <c r="BW9" s="10">
        <f>BU9+BV9</f>
        <v/>
      </c>
      <c r="BY9" s="10">
        <f>BQ9</f>
        <v/>
      </c>
      <c r="BZ9" s="10">
        <f>I9/G9*BS9</f>
        <v/>
      </c>
      <c r="CA9" s="10">
        <f>K9/G9</f>
        <v/>
      </c>
      <c r="CB9" s="10">
        <f>J9/G9</f>
        <v/>
      </c>
      <c r="CC9" s="10">
        <f>BW9-SUM(BY9:CB9)</f>
        <v/>
      </c>
      <c r="CD9" s="10">
        <f>SUM(BY9:CC9)</f>
        <v/>
      </c>
    </row>
    <row r="10">
      <c r="B10" s="14" t="inlineStr">
        <is>
          <t>SE_TSC</t>
        </is>
      </c>
      <c r="C10" s="13" t="inlineStr">
        <is>
          <t>Ethane</t>
        </is>
      </c>
      <c r="D10" s="13" t="n">
        <v>0</v>
      </c>
      <c r="E10" s="13" t="n">
        <v>0</v>
      </c>
      <c r="F10" s="13" t="n">
        <v>0</v>
      </c>
      <c r="G10" s="13" t="n">
        <v>0.05310189724</v>
      </c>
      <c r="H10" s="13" t="n">
        <v>0.02270169876</v>
      </c>
      <c r="I10" s="13" t="n">
        <v>0</v>
      </c>
      <c r="J10" s="13" t="n">
        <v>0</v>
      </c>
      <c r="K10" s="13" t="n">
        <v>0.02678346955</v>
      </c>
      <c r="L10" s="13" t="n">
        <v>99124.32016</v>
      </c>
      <c r="M10" s="13" t="n">
        <v>54251.99777</v>
      </c>
      <c r="N10" s="13" t="n">
        <v>1.676159756</v>
      </c>
      <c r="O10" s="11">
        <f>CC10/0.22/14</f>
        <v/>
      </c>
      <c r="Q10" s="16" t="n">
        <v>99.913298</v>
      </c>
      <c r="R10" s="16" t="n">
        <v>-6.084348</v>
      </c>
      <c r="S10" s="16" t="n">
        <v>64.97039700000001</v>
      </c>
      <c r="T10" s="16" t="n">
        <v>43.861592</v>
      </c>
      <c r="U10" s="16" t="n">
        <v>39.255601</v>
      </c>
      <c r="V10" s="11" t="n">
        <v>21.9863533</v>
      </c>
      <c r="W10" s="17" t="n"/>
      <c r="X10" s="17" t="n"/>
      <c r="Y10" s="16" t="n">
        <v>21.109138</v>
      </c>
      <c r="Z10" s="16" t="n">
        <v>6.240639</v>
      </c>
      <c r="AA10" s="16" t="n"/>
      <c r="AB10" s="17" t="n"/>
      <c r="AC10" s="17" t="n"/>
      <c r="AD10" s="17" t="n"/>
      <c r="AE10" s="17" t="n"/>
      <c r="AF10" s="17" t="n"/>
      <c r="AG10" s="17" t="n"/>
      <c r="AH10" s="16" t="n">
        <v>-1.452344</v>
      </c>
      <c r="AI10" s="16" t="n">
        <v>-3.071509</v>
      </c>
      <c r="AJ10" s="16" t="n">
        <v>796.736008</v>
      </c>
      <c r="AK10" s="16" t="n">
        <v>796.736008</v>
      </c>
      <c r="AM10" s="1">
        <f>B10</f>
        <v/>
      </c>
      <c r="AN10" s="1">
        <f>C10</f>
        <v/>
      </c>
      <c r="AO10" s="12">
        <f>SUM(AU10:BC10)+BE10+BF10</f>
        <v/>
      </c>
      <c r="AP10" s="12">
        <f>SUM(AU10:BC10)+BH10+BI10</f>
        <v/>
      </c>
      <c r="AQ10" s="5">
        <f>AO10-AP10</f>
        <v/>
      </c>
      <c r="AR10" s="12">
        <f>SUM(AU10:BC10)+BK10+BL10</f>
        <v/>
      </c>
      <c r="AS10" s="12">
        <f>SUM(AU10:BC10)+BN10+BO10</f>
        <v/>
      </c>
      <c r="AT10" s="5">
        <f>AR10-AS10</f>
        <v/>
      </c>
      <c r="AU10" s="5">
        <f>D10/G10*Z10</f>
        <v/>
      </c>
      <c r="AV10" s="1">
        <f>E10/G10*Z10*-1</f>
        <v/>
      </c>
      <c r="AW10" s="1">
        <f>F10/G10*Y10</f>
        <v/>
      </c>
      <c r="AX10" s="1">
        <f>1/G10*V10</f>
        <v/>
      </c>
      <c r="AY10" s="1">
        <f>H10/G10*AH10</f>
        <v/>
      </c>
      <c r="AZ10" s="1">
        <f>I10/G10*AH10*-1</f>
        <v/>
      </c>
      <c r="BA10" s="1">
        <f>L10/G10/(0.9*8760)</f>
        <v/>
      </c>
      <c r="BB10" s="1">
        <f>M10/G10/(0.9*8760)</f>
        <v/>
      </c>
      <c r="BC10" s="1">
        <f>N10/G10</f>
        <v/>
      </c>
      <c r="BD10" s="1">
        <f>BZ10+CA10+CB10</f>
        <v/>
      </c>
      <c r="BE10" s="1">
        <f>(Q10+R10)*-1*J10/G10</f>
        <v/>
      </c>
      <c r="BF10" s="1">
        <f>BD10*Q10</f>
        <v/>
      </c>
      <c r="BG10" s="1">
        <f>BZ10+CA10</f>
        <v/>
      </c>
      <c r="BH10" s="1">
        <f>R10*J10*-1/G10</f>
        <v/>
      </c>
      <c r="BI10" s="1">
        <f>BG10*Q10</f>
        <v/>
      </c>
      <c r="BJ10" s="1">
        <f>SUM(BY10:CC10)</f>
        <v/>
      </c>
      <c r="BK10" s="1">
        <f>(Q10+R10)*-1*J10/G10</f>
        <v/>
      </c>
      <c r="BL10" s="1">
        <f>BJ10*Q10</f>
        <v/>
      </c>
      <c r="BM10" s="1">
        <f>BY10+BZ10+CA10+CC10</f>
        <v/>
      </c>
      <c r="BN10" s="1">
        <f>J10/G10*R10*-1</f>
        <v/>
      </c>
      <c r="BO10" s="1">
        <f>Q10*BM10</f>
        <v/>
      </c>
      <c r="BQ10" s="9" t="n">
        <v>3.14</v>
      </c>
      <c r="BR10" s="10" t="n">
        <v>0.2218110024</v>
      </c>
      <c r="BS10" s="9" t="n">
        <v>0.18104824</v>
      </c>
      <c r="BU10" s="10">
        <f>1/G10*BR10</f>
        <v/>
      </c>
      <c r="BV10" s="10">
        <f>H10/G10*BS10</f>
        <v/>
      </c>
      <c r="BW10" s="10">
        <f>BU10+BV10</f>
        <v/>
      </c>
      <c r="BY10" s="10">
        <f>BQ10</f>
        <v/>
      </c>
      <c r="BZ10" s="10">
        <f>I10/G10*BS10</f>
        <v/>
      </c>
      <c r="CA10" s="10">
        <f>K10/G10</f>
        <v/>
      </c>
      <c r="CB10" s="10">
        <f>J10/G10</f>
        <v/>
      </c>
      <c r="CC10" s="10">
        <f>BW10-SUM(BY10:CB10)</f>
        <v/>
      </c>
      <c r="CD10" s="10">
        <f>SUM(BY10:CC10)</f>
        <v/>
      </c>
    </row>
    <row r="11">
      <c r="B11" s="14" t="inlineStr">
        <is>
          <t>MIDAT_TSC</t>
        </is>
      </c>
      <c r="C11" s="13" t="inlineStr">
        <is>
          <t>Ethane</t>
        </is>
      </c>
      <c r="D11" s="13" t="n">
        <v>0</v>
      </c>
      <c r="E11" s="13" t="n">
        <v>0</v>
      </c>
      <c r="F11" s="13" t="n">
        <v>0</v>
      </c>
      <c r="G11" s="13" t="n">
        <v>0.05310189724</v>
      </c>
      <c r="H11" s="13" t="n">
        <v>0.02270169876</v>
      </c>
      <c r="I11" s="13" t="n">
        <v>0</v>
      </c>
      <c r="J11" s="13" t="n">
        <v>0</v>
      </c>
      <c r="K11" s="13" t="n">
        <v>0.02678346955</v>
      </c>
      <c r="L11" s="13" t="n">
        <v>99124.32016</v>
      </c>
      <c r="M11" s="13" t="n">
        <v>54251.99777</v>
      </c>
      <c r="N11" s="13" t="n">
        <v>1.676159756</v>
      </c>
      <c r="O11" s="11">
        <f>CC11/0.22/14</f>
        <v/>
      </c>
      <c r="Q11" s="16" t="n">
        <v>99.913298</v>
      </c>
      <c r="R11" s="16" t="n">
        <v>-15.650257</v>
      </c>
      <c r="S11" s="16" t="n">
        <v>63.953341</v>
      </c>
      <c r="T11" s="16" t="n">
        <v>39.720462</v>
      </c>
      <c r="U11" s="16" t="n">
        <v>40.53758</v>
      </c>
      <c r="V11" s="11" t="n">
        <v>21.9863533</v>
      </c>
      <c r="W11" s="17" t="n"/>
      <c r="X11" s="17" t="n"/>
      <c r="Y11" s="16" t="n">
        <v>21.699949</v>
      </c>
      <c r="Z11" s="16" t="n">
        <v>8.045609000000001</v>
      </c>
      <c r="AA11" s="16" t="n"/>
      <c r="AB11" s="17" t="n"/>
      <c r="AC11" s="17" t="n"/>
      <c r="AD11" s="17" t="n"/>
      <c r="AE11" s="17" t="n"/>
      <c r="AF11" s="17" t="n"/>
      <c r="AG11" s="17" t="n"/>
      <c r="AH11" s="16" t="n">
        <v>-0.930222</v>
      </c>
      <c r="AI11" s="16" t="n">
        <v>-2.781275</v>
      </c>
      <c r="AJ11" s="16" t="n">
        <v>796.736008</v>
      </c>
      <c r="AK11" s="16" t="n">
        <v>796.736008</v>
      </c>
      <c r="AM11" s="1">
        <f>B11</f>
        <v/>
      </c>
      <c r="AN11" s="1">
        <f>C11</f>
        <v/>
      </c>
      <c r="AO11" s="12">
        <f>SUM(AU11:BC11)+BE11+BF11</f>
        <v/>
      </c>
      <c r="AP11" s="12">
        <f>SUM(AU11:BC11)+BH11+BI11</f>
        <v/>
      </c>
      <c r="AQ11" s="5">
        <f>AO11-AP11</f>
        <v/>
      </c>
      <c r="AR11" s="12">
        <f>SUM(AU11:BC11)+BK11+BL11</f>
        <v/>
      </c>
      <c r="AS11" s="12">
        <f>SUM(AU11:BC11)+BN11+BO11</f>
        <v/>
      </c>
      <c r="AT11" s="5">
        <f>AR11-AS11</f>
        <v/>
      </c>
      <c r="AU11" s="5">
        <f>D11/G11*Z11</f>
        <v/>
      </c>
      <c r="AV11" s="1">
        <f>E11/G11*Z11*-1</f>
        <v/>
      </c>
      <c r="AW11" s="1">
        <f>F11/G11*Y11</f>
        <v/>
      </c>
      <c r="AX11" s="1">
        <f>1/G11*V11</f>
        <v/>
      </c>
      <c r="AY11" s="1">
        <f>H11/G11*AH11</f>
        <v/>
      </c>
      <c r="AZ11" s="1">
        <f>I11/G11*AH11*-1</f>
        <v/>
      </c>
      <c r="BA11" s="1">
        <f>L11/G11/(0.9*8760)</f>
        <v/>
      </c>
      <c r="BB11" s="1">
        <f>M11/G11/(0.9*8760)</f>
        <v/>
      </c>
      <c r="BC11" s="1">
        <f>N11/G11</f>
        <v/>
      </c>
      <c r="BD11" s="1">
        <f>BZ11+CA11+CB11</f>
        <v/>
      </c>
      <c r="BE11" s="1">
        <f>(Q11+R11)*-1*J11/G11</f>
        <v/>
      </c>
      <c r="BF11" s="1">
        <f>BD11*Q11</f>
        <v/>
      </c>
      <c r="BG11" s="1">
        <f>BZ11+CA11</f>
        <v/>
      </c>
      <c r="BH11" s="1">
        <f>R11*J11*-1/G11</f>
        <v/>
      </c>
      <c r="BI11" s="1">
        <f>BG11*Q11</f>
        <v/>
      </c>
      <c r="BJ11" s="1">
        <f>SUM(BY11:CC11)</f>
        <v/>
      </c>
      <c r="BK11" s="1">
        <f>(Q11+R11)*-1*J11/G11</f>
        <v/>
      </c>
      <c r="BL11" s="1">
        <f>BJ11*Q11</f>
        <v/>
      </c>
      <c r="BM11" s="1">
        <f>BY11+BZ11+CA11+CC11</f>
        <v/>
      </c>
      <c r="BN11" s="1">
        <f>J11/G11*R11*-1</f>
        <v/>
      </c>
      <c r="BO11" s="1">
        <f>Q11*BM11</f>
        <v/>
      </c>
      <c r="BQ11" s="9" t="n">
        <v>3.14</v>
      </c>
      <c r="BR11" s="10" t="n">
        <v>0.2218110024</v>
      </c>
      <c r="BS11" s="9" t="n">
        <v>0.18104824</v>
      </c>
      <c r="BU11" s="10">
        <f>1/G11*BR11</f>
        <v/>
      </c>
      <c r="BV11" s="10">
        <f>H11/G11*BS11</f>
        <v/>
      </c>
      <c r="BW11" s="10">
        <f>BU11+BV11</f>
        <v/>
      </c>
      <c r="BY11" s="10">
        <f>BQ11</f>
        <v/>
      </c>
      <c r="BZ11" s="10">
        <f>I11/G11*BS11</f>
        <v/>
      </c>
      <c r="CA11" s="10">
        <f>K11/G11</f>
        <v/>
      </c>
      <c r="CB11" s="10">
        <f>J11/G11</f>
        <v/>
      </c>
      <c r="CC11" s="10">
        <f>BW11-SUM(BY11:CB11)</f>
        <v/>
      </c>
      <c r="CD11" s="10">
        <f>SUM(BY11:CC11)</f>
        <v/>
      </c>
    </row>
    <row r="12">
      <c r="B12" s="14" t="inlineStr">
        <is>
          <t>NE_TSC</t>
        </is>
      </c>
      <c r="C12" s="13" t="inlineStr">
        <is>
          <t>Ethane</t>
        </is>
      </c>
      <c r="D12" s="13" t="n">
        <v>0</v>
      </c>
      <c r="E12" s="13" t="n">
        <v>0</v>
      </c>
      <c r="F12" s="13" t="n">
        <v>0</v>
      </c>
      <c r="G12" s="13" t="n">
        <v>0.05310189724</v>
      </c>
      <c r="H12" s="13" t="n">
        <v>0.02270169876</v>
      </c>
      <c r="I12" s="13" t="n">
        <v>0</v>
      </c>
      <c r="J12" s="13" t="n">
        <v>0</v>
      </c>
      <c r="K12" s="13" t="n">
        <v>0.02678346955</v>
      </c>
      <c r="L12" s="13" t="n">
        <v>99124.32016</v>
      </c>
      <c r="M12" s="13" t="n">
        <v>54251.99777</v>
      </c>
      <c r="N12" s="13" t="n">
        <v>1.676159756</v>
      </c>
      <c r="O12" s="11">
        <f>CC12/0.22/14</f>
        <v/>
      </c>
      <c r="Q12" s="16" t="n">
        <v>99.913298</v>
      </c>
      <c r="R12" s="16" t="n">
        <v>-21.727401</v>
      </c>
      <c r="S12" s="16" t="n">
        <v>66.936657</v>
      </c>
      <c r="T12" s="16" t="n">
        <v>41.693039</v>
      </c>
      <c r="U12" s="16" t="n">
        <v>41.333943</v>
      </c>
      <c r="V12" s="11" t="n">
        <v>21.9863533</v>
      </c>
      <c r="W12" s="17" t="n"/>
      <c r="X12" s="17" t="n"/>
      <c r="Y12" s="16" t="n">
        <v>20.978032</v>
      </c>
      <c r="Z12" s="16" t="n">
        <v>12.546751</v>
      </c>
      <c r="AA12" s="16" t="n"/>
      <c r="AB12" s="17" t="n"/>
      <c r="AC12" s="17" t="n"/>
      <c r="AD12" s="17" t="n"/>
      <c r="AE12" s="17" t="n"/>
      <c r="AF12" s="17" t="n"/>
      <c r="AG12" s="17" t="n"/>
      <c r="AH12" s="16" t="n">
        <v>5.888729</v>
      </c>
      <c r="AI12" s="16" t="n">
        <v>0</v>
      </c>
      <c r="AJ12" s="16" t="n">
        <v>796.736008</v>
      </c>
      <c r="AK12" s="16" t="n">
        <v>0</v>
      </c>
      <c r="AM12" s="1">
        <f>B12</f>
        <v/>
      </c>
      <c r="AN12" s="1">
        <f>C12</f>
        <v/>
      </c>
      <c r="AO12" s="12">
        <f>SUM(AU12:BC12)+BE12+BF12</f>
        <v/>
      </c>
      <c r="AP12" s="12">
        <f>SUM(AU12:BC12)+BH12+BI12</f>
        <v/>
      </c>
      <c r="AQ12" s="5">
        <f>AO12-AP12</f>
        <v/>
      </c>
      <c r="AR12" s="12">
        <f>SUM(AU12:BC12)+BK12+BL12</f>
        <v/>
      </c>
      <c r="AS12" s="12">
        <f>SUM(AU12:BC12)+BN12+BO12</f>
        <v/>
      </c>
      <c r="AT12" s="5">
        <f>AR12-AS12</f>
        <v/>
      </c>
      <c r="AU12" s="5">
        <f>D12/G12*Z12</f>
        <v/>
      </c>
      <c r="AV12" s="1">
        <f>E12/G12*Z12*-1</f>
        <v/>
      </c>
      <c r="AW12" s="1">
        <f>F12/G12*Y12</f>
        <v/>
      </c>
      <c r="AX12" s="1">
        <f>1/G12*V12</f>
        <v/>
      </c>
      <c r="AY12" s="1">
        <f>H12/G12*AH12</f>
        <v/>
      </c>
      <c r="AZ12" s="1">
        <f>I12/G12*AH12*-1</f>
        <v/>
      </c>
      <c r="BA12" s="1">
        <f>L12/G12/(0.9*8760)</f>
        <v/>
      </c>
      <c r="BB12" s="1">
        <f>M12/G12/(0.9*8760)</f>
        <v/>
      </c>
      <c r="BC12" s="1">
        <f>N12/G12</f>
        <v/>
      </c>
      <c r="BD12" s="1">
        <f>BZ12+CA12+CB12</f>
        <v/>
      </c>
      <c r="BE12" s="1">
        <f>(Q12+R12)*-1*J12/G12</f>
        <v/>
      </c>
      <c r="BF12" s="1">
        <f>BD12*Q12</f>
        <v/>
      </c>
      <c r="BG12" s="1">
        <f>BZ12+CA12</f>
        <v/>
      </c>
      <c r="BH12" s="1">
        <f>R12*J12*-1/G12</f>
        <v/>
      </c>
      <c r="BI12" s="1">
        <f>BG12*Q12</f>
        <v/>
      </c>
      <c r="BJ12" s="1">
        <f>SUM(BY12:CC12)</f>
        <v/>
      </c>
      <c r="BK12" s="1">
        <f>(Q12+R12)*-1*J12/G12</f>
        <v/>
      </c>
      <c r="BL12" s="1">
        <f>BJ12*Q12</f>
        <v/>
      </c>
      <c r="BM12" s="1">
        <f>BY12+BZ12+CA12+CC12</f>
        <v/>
      </c>
      <c r="BN12" s="1">
        <f>J12/G12*R12*-1</f>
        <v/>
      </c>
      <c r="BO12" s="1">
        <f>Q12*BM12</f>
        <v/>
      </c>
      <c r="BQ12" s="9" t="n">
        <v>3.14</v>
      </c>
      <c r="BR12" s="10" t="n">
        <v>0.2218110024</v>
      </c>
      <c r="BS12" s="9" t="n">
        <v>0.18104824</v>
      </c>
      <c r="BU12" s="10">
        <f>1/G12*BR12</f>
        <v/>
      </c>
      <c r="BV12" s="10">
        <f>H12/G12*BS12</f>
        <v/>
      </c>
      <c r="BW12" s="10">
        <f>BU12+BV12</f>
        <v/>
      </c>
      <c r="BY12" s="10">
        <f>BQ12</f>
        <v/>
      </c>
      <c r="BZ12" s="10">
        <f>I12/G12*BS12</f>
        <v/>
      </c>
      <c r="CA12" s="10">
        <f>K12/G12</f>
        <v/>
      </c>
      <c r="CB12" s="10">
        <f>J12/G12</f>
        <v/>
      </c>
      <c r="CC12" s="10">
        <f>BW12-SUM(BY12:CB12)</f>
        <v/>
      </c>
      <c r="CD12" s="10">
        <f>SUM(BY12:CC12)</f>
        <v/>
      </c>
    </row>
    <row r="13">
      <c r="B13" s="14" t="inlineStr">
        <is>
          <t>CA_TSC+CC90</t>
        </is>
      </c>
      <c r="C13" s="13" t="inlineStr">
        <is>
          <t>Ethane</t>
        </is>
      </c>
      <c r="D13" s="13" t="n">
        <v>0</v>
      </c>
      <c r="E13" s="13" t="n">
        <v>0</v>
      </c>
      <c r="F13" s="13" t="n">
        <v>0.008052966438000001</v>
      </c>
      <c r="G13" s="13" t="n">
        <v>0.05310189724</v>
      </c>
      <c r="H13" s="13" t="n">
        <v>0.02270169876</v>
      </c>
      <c r="I13" s="13" t="n">
        <v>0</v>
      </c>
      <c r="J13" s="13" t="n">
        <v>0.0241051226</v>
      </c>
      <c r="K13" s="13" t="n">
        <v>0.002678346955</v>
      </c>
      <c r="L13" s="13" t="n">
        <v>106875.1697</v>
      </c>
      <c r="M13" s="13" t="n">
        <v>58496.38728</v>
      </c>
      <c r="N13" s="13" t="n">
        <v>1.807224085</v>
      </c>
      <c r="O13" s="11">
        <f>CC13/0.22/14</f>
        <v/>
      </c>
      <c r="Q13" s="16" t="n">
        <v>99.913298</v>
      </c>
      <c r="R13" s="16" t="n">
        <v>-5.387721</v>
      </c>
      <c r="S13" s="16" t="n">
        <v>69.443859</v>
      </c>
      <c r="T13" s="16" t="n">
        <v>44.089523</v>
      </c>
      <c r="U13" s="16" t="n">
        <v>38.115627</v>
      </c>
      <c r="V13" s="11" t="n">
        <v>21.9863533</v>
      </c>
      <c r="W13" s="17" t="n"/>
      <c r="X13" s="17" t="n"/>
      <c r="Y13" s="16" t="n">
        <v>19.219858</v>
      </c>
      <c r="Z13" s="16" t="n">
        <v>4.641256</v>
      </c>
      <c r="AA13" s="16" t="n"/>
      <c r="AB13" s="17" t="n"/>
      <c r="AC13" s="17" t="n"/>
      <c r="AD13" s="17" t="n"/>
      <c r="AE13" s="17" t="n"/>
      <c r="AF13" s="17" t="n"/>
      <c r="AG13" s="17" t="n"/>
      <c r="AH13" s="16" t="n">
        <v>-3.135876</v>
      </c>
      <c r="AI13" s="16" t="n">
        <v>-4.519557</v>
      </c>
      <c r="AJ13" s="16" t="n">
        <v>796.736008</v>
      </c>
      <c r="AK13" s="16" t="n">
        <v>0</v>
      </c>
      <c r="AM13" s="1">
        <f>B13</f>
        <v/>
      </c>
      <c r="AN13" s="1">
        <f>C13</f>
        <v/>
      </c>
      <c r="AO13" s="12">
        <f>SUM(AU13:BC13)+BE13+BF13</f>
        <v/>
      </c>
      <c r="AP13" s="12">
        <f>SUM(AU13:BC13)+BH13+BI13</f>
        <v/>
      </c>
      <c r="AQ13" s="5">
        <f>AO13-AP13</f>
        <v/>
      </c>
      <c r="AR13" s="12">
        <f>SUM(AU13:BC13)+BK13+BL13</f>
        <v/>
      </c>
      <c r="AS13" s="12">
        <f>SUM(AU13:BC13)+BN13+BO13</f>
        <v/>
      </c>
      <c r="AT13" s="5">
        <f>AR13-AS13</f>
        <v/>
      </c>
      <c r="AU13" s="5">
        <f>D13/G13*Z13</f>
        <v/>
      </c>
      <c r="AV13" s="1">
        <f>E13/G13*Z13*-1</f>
        <v/>
      </c>
      <c r="AW13" s="1">
        <f>F13/G13*Y13</f>
        <v/>
      </c>
      <c r="AX13" s="1">
        <f>1/G13*V13</f>
        <v/>
      </c>
      <c r="AY13" s="1">
        <f>H13/G13*AH13</f>
        <v/>
      </c>
      <c r="AZ13" s="1">
        <f>I13/G13*AH13*-1</f>
        <v/>
      </c>
      <c r="BA13" s="1">
        <f>L13/G13/(0.9*8760)</f>
        <v/>
      </c>
      <c r="BB13" s="1">
        <f>M13/G13/(0.9*8760)</f>
        <v/>
      </c>
      <c r="BC13" s="1">
        <f>N13/G13</f>
        <v/>
      </c>
      <c r="BD13" s="1">
        <f>BZ13+CA13+CB13</f>
        <v/>
      </c>
      <c r="BE13" s="1">
        <f>(Q13+R13)*-1*J13/G13</f>
        <v/>
      </c>
      <c r="BF13" s="1">
        <f>BD13*Q13</f>
        <v/>
      </c>
      <c r="BG13" s="1">
        <f>BZ13+CA13</f>
        <v/>
      </c>
      <c r="BH13" s="1">
        <f>R13*J13*-1/G13</f>
        <v/>
      </c>
      <c r="BI13" s="1">
        <f>BG13*Q13</f>
        <v/>
      </c>
      <c r="BJ13" s="1">
        <f>SUM(BY13:CC13)</f>
        <v/>
      </c>
      <c r="BK13" s="1">
        <f>(Q13+R13)*-1*J13/G13</f>
        <v/>
      </c>
      <c r="BL13" s="1">
        <f>BJ13*Q13</f>
        <v/>
      </c>
      <c r="BM13" s="1">
        <f>BY13+BZ13+CA13+CC13</f>
        <v/>
      </c>
      <c r="BN13" s="1">
        <f>J13/G13*R13*-1</f>
        <v/>
      </c>
      <c r="BO13" s="1">
        <f>Q13*BM13</f>
        <v/>
      </c>
      <c r="BQ13" s="9" t="n">
        <v>3.14</v>
      </c>
      <c r="BR13" s="10" t="n">
        <v>0.2218110024</v>
      </c>
      <c r="BS13" s="9" t="n">
        <v>0.18104824</v>
      </c>
      <c r="BU13" s="10">
        <f>1/G13*BR13</f>
        <v/>
      </c>
      <c r="BV13" s="10">
        <f>H13/G13*BS13</f>
        <v/>
      </c>
      <c r="BW13" s="10">
        <f>BU13+BV13</f>
        <v/>
      </c>
      <c r="BY13" s="10">
        <f>BQ13</f>
        <v/>
      </c>
      <c r="BZ13" s="10">
        <f>I13/G13*BS13</f>
        <v/>
      </c>
      <c r="CA13" s="10">
        <f>K13/G13</f>
        <v/>
      </c>
      <c r="CB13" s="10">
        <f>J13/G13</f>
        <v/>
      </c>
      <c r="CC13" s="10">
        <f>BW13-SUM(BY13:CB13)</f>
        <v/>
      </c>
      <c r="CD13" s="10">
        <f>SUM(BY13:CC13)</f>
        <v/>
      </c>
    </row>
    <row r="14">
      <c r="B14" s="14" t="inlineStr">
        <is>
          <t>CA_TSC:H2</t>
        </is>
      </c>
      <c r="C14" s="13" t="inlineStr">
        <is>
          <t>Ethane</t>
        </is>
      </c>
      <c r="D14" s="13" t="n">
        <v>0</v>
      </c>
      <c r="E14" s="13" t="n">
        <v>0.1598531434</v>
      </c>
      <c r="F14" s="13" t="n">
        <v>0</v>
      </c>
      <c r="G14" s="13" t="n">
        <v>0.05310189724</v>
      </c>
      <c r="H14" s="13" t="n">
        <v>0.1318322859</v>
      </c>
      <c r="I14" s="13" t="n">
        <v>0</v>
      </c>
      <c r="J14" s="13" t="n">
        <v>0</v>
      </c>
      <c r="K14" s="13" t="n">
        <v>0.04654137028</v>
      </c>
      <c r="L14" s="13" t="n">
        <v>99124.32016</v>
      </c>
      <c r="M14" s="13" t="n">
        <v>54251.99777</v>
      </c>
      <c r="N14" s="13" t="n">
        <v>1.676159756</v>
      </c>
      <c r="O14" s="11">
        <f>CC14/0.22/14</f>
        <v/>
      </c>
      <c r="Q14" s="16" t="n">
        <v>99.913298</v>
      </c>
      <c r="R14" s="16" t="n">
        <v>-5.387721</v>
      </c>
      <c r="S14" s="16" t="n">
        <v>69.443859</v>
      </c>
      <c r="T14" s="16" t="n">
        <v>44.089523</v>
      </c>
      <c r="U14" s="16" t="n">
        <v>38.115627</v>
      </c>
      <c r="V14" s="11" t="n">
        <v>21.9863533</v>
      </c>
      <c r="W14" s="17" t="n"/>
      <c r="X14" s="17" t="n"/>
      <c r="Y14" s="16" t="n">
        <v>19.219858</v>
      </c>
      <c r="Z14" s="16" t="n">
        <v>4.641256</v>
      </c>
      <c r="AA14" s="16" t="n"/>
      <c r="AB14" s="17" t="n"/>
      <c r="AC14" s="17" t="n"/>
      <c r="AD14" s="17" t="n"/>
      <c r="AE14" s="17" t="n"/>
      <c r="AF14" s="17" t="n"/>
      <c r="AG14" s="17" t="n"/>
      <c r="AH14" s="16" t="n">
        <v>-3.135876</v>
      </c>
      <c r="AI14" s="16" t="n">
        <v>-4.519557</v>
      </c>
      <c r="AJ14" s="16" t="n">
        <v>796.736008</v>
      </c>
      <c r="AK14" s="16" t="n">
        <v>0</v>
      </c>
      <c r="AM14" s="1">
        <f>B14</f>
        <v/>
      </c>
      <c r="AN14" s="1">
        <f>C14</f>
        <v/>
      </c>
      <c r="AO14" s="12">
        <f>SUM(AU14:BC14)+BE14+BF14</f>
        <v/>
      </c>
      <c r="AP14" s="12">
        <f>SUM(AU14:BC14)+BH14+BI14</f>
        <v/>
      </c>
      <c r="AQ14" s="5">
        <f>AO14-AP14</f>
        <v/>
      </c>
      <c r="AR14" s="12">
        <f>SUM(AU14:BC14)+BK14+BL14</f>
        <v/>
      </c>
      <c r="AS14" s="12">
        <f>SUM(AU14:BC14)+BN14+BO14</f>
        <v/>
      </c>
      <c r="AT14" s="5">
        <f>AR14-AS14</f>
        <v/>
      </c>
      <c r="AU14" s="5">
        <f>D14/G14*Z14</f>
        <v/>
      </c>
      <c r="AV14" s="1">
        <f>E14/G14*Z14*-1</f>
        <v/>
      </c>
      <c r="AW14" s="1">
        <f>F14/G14*Y14</f>
        <v/>
      </c>
      <c r="AX14" s="1">
        <f>1/G14*V14</f>
        <v/>
      </c>
      <c r="AY14" s="1">
        <f>H14/G14*AH14</f>
        <v/>
      </c>
      <c r="AZ14" s="1">
        <f>I14/G14*AH14*-1</f>
        <v/>
      </c>
      <c r="BA14" s="1">
        <f>L14/G14/(0.9*8760)</f>
        <v/>
      </c>
      <c r="BB14" s="1">
        <f>M14/G14/(0.9*8760)</f>
        <v/>
      </c>
      <c r="BC14" s="1">
        <f>N14/G14</f>
        <v/>
      </c>
      <c r="BD14" s="1">
        <f>BZ14+CA14+CB14</f>
        <v/>
      </c>
      <c r="BE14" s="1">
        <f>(Q14+R14)*-1*J14/G14</f>
        <v/>
      </c>
      <c r="BF14" s="1">
        <f>BD14*Q14</f>
        <v/>
      </c>
      <c r="BG14" s="1">
        <f>BZ14+CA14</f>
        <v/>
      </c>
      <c r="BH14" s="1">
        <f>R14*J14*-1/G14</f>
        <v/>
      </c>
      <c r="BI14" s="1">
        <f>BG14*Q14</f>
        <v/>
      </c>
      <c r="BJ14" s="1">
        <f>SUM(BY14:CC14)</f>
        <v/>
      </c>
      <c r="BK14" s="1">
        <f>(Q14+R14)*-1*J14/G14</f>
        <v/>
      </c>
      <c r="BL14" s="1">
        <f>BJ14*Q14</f>
        <v/>
      </c>
      <c r="BM14" s="1">
        <f>BY14+BZ14+CA14+CC14</f>
        <v/>
      </c>
      <c r="BN14" s="1">
        <f>J14/G14*R14*-1</f>
        <v/>
      </c>
      <c r="BO14" s="1">
        <f>Q14*BM14</f>
        <v/>
      </c>
      <c r="BQ14" s="9" t="n">
        <v>3.14</v>
      </c>
      <c r="BR14" s="10" t="n">
        <v>0.2218110024</v>
      </c>
      <c r="BS14" s="9" t="n">
        <v>0.18104824</v>
      </c>
      <c r="BU14" s="10">
        <f>1/G14*BR14</f>
        <v/>
      </c>
      <c r="BV14" s="10">
        <f>H14/G14*BS14</f>
        <v/>
      </c>
      <c r="BW14" s="10">
        <f>BU14+BV14</f>
        <v/>
      </c>
      <c r="BY14" s="10">
        <f>BQ14</f>
        <v/>
      </c>
      <c r="BZ14" s="10">
        <f>I14/G14*BS14</f>
        <v/>
      </c>
      <c r="CA14" s="10">
        <f>K14/G14</f>
        <v/>
      </c>
      <c r="CB14" s="10">
        <f>J14/G14</f>
        <v/>
      </c>
      <c r="CC14" s="10">
        <f>BW14-SUM(BY14:CB14)</f>
        <v/>
      </c>
      <c r="CD14" s="10">
        <f>SUM(BY14:CC14)</f>
        <v/>
      </c>
    </row>
    <row r="15">
      <c r="B15" s="14" t="inlineStr">
        <is>
          <t>CA_TSC+CC90:H2</t>
        </is>
      </c>
      <c r="C15" s="13" t="inlineStr">
        <is>
          <t>Ethane</t>
        </is>
      </c>
      <c r="D15" s="13" t="n">
        <v>0</v>
      </c>
      <c r="E15" s="13" t="n">
        <v>0.1598531434</v>
      </c>
      <c r="F15" s="13" t="n">
        <v>0.009388736698</v>
      </c>
      <c r="G15" s="13" t="n">
        <v>0.05310189724</v>
      </c>
      <c r="H15" s="13" t="n">
        <v>0.1318322859</v>
      </c>
      <c r="I15" s="13" t="n">
        <v>0</v>
      </c>
      <c r="J15" s="13" t="n">
        <v>0.04188723326</v>
      </c>
      <c r="K15" s="13" t="n">
        <v>0.004654137028</v>
      </c>
      <c r="L15" s="13" t="n">
        <v>106900.9741</v>
      </c>
      <c r="M15" s="13" t="n">
        <v>58510.18581</v>
      </c>
      <c r="N15" s="13" t="n">
        <v>1.807660423</v>
      </c>
      <c r="O15" s="11">
        <f>CC15/0.22/14</f>
        <v/>
      </c>
      <c r="Q15" s="16" t="n">
        <v>99.913298</v>
      </c>
      <c r="R15" s="16" t="n">
        <v>-5.387721</v>
      </c>
      <c r="S15" s="16" t="n">
        <v>69.443859</v>
      </c>
      <c r="T15" s="16" t="n">
        <v>44.089523</v>
      </c>
      <c r="U15" s="16" t="n">
        <v>38.115627</v>
      </c>
      <c r="V15" s="11" t="n">
        <v>21.9863533</v>
      </c>
      <c r="W15" s="17" t="n"/>
      <c r="X15" s="17" t="n"/>
      <c r="Y15" s="16" t="n">
        <v>19.219858</v>
      </c>
      <c r="Z15" s="16" t="n">
        <v>4.641256</v>
      </c>
      <c r="AA15" s="16" t="n"/>
      <c r="AB15" s="17" t="n"/>
      <c r="AC15" s="17" t="n"/>
      <c r="AD15" s="17" t="n"/>
      <c r="AE15" s="17" t="n"/>
      <c r="AF15" s="17" t="n"/>
      <c r="AG15" s="17" t="n"/>
      <c r="AH15" s="16" t="n">
        <v>-3.135876</v>
      </c>
      <c r="AI15" s="16" t="n">
        <v>-4.519557</v>
      </c>
      <c r="AJ15" s="16" t="n">
        <v>796.736008</v>
      </c>
      <c r="AK15" s="16" t="n">
        <v>0</v>
      </c>
      <c r="AM15" s="1">
        <f>B15</f>
        <v/>
      </c>
      <c r="AN15" s="1">
        <f>C15</f>
        <v/>
      </c>
      <c r="AO15" s="12">
        <f>SUM(AU15:BC15)+BE15+BF15</f>
        <v/>
      </c>
      <c r="AP15" s="12">
        <f>SUM(AU15:BC15)+BH15+BI15</f>
        <v/>
      </c>
      <c r="AQ15" s="5">
        <f>AO15-AP15</f>
        <v/>
      </c>
      <c r="AR15" s="12">
        <f>SUM(AU15:BC15)+BK15+BL15</f>
        <v/>
      </c>
      <c r="AS15" s="12">
        <f>SUM(AU15:BC15)+BN15+BO15</f>
        <v/>
      </c>
      <c r="AT15" s="5">
        <f>AR15-AS15</f>
        <v/>
      </c>
      <c r="AU15" s="5">
        <f>D15/G15*Z15</f>
        <v/>
      </c>
      <c r="AV15" s="1">
        <f>E15/G15*Z15*-1</f>
        <v/>
      </c>
      <c r="AW15" s="1">
        <f>F15/G15*Y15</f>
        <v/>
      </c>
      <c r="AX15" s="1">
        <f>1/G15*V15</f>
        <v/>
      </c>
      <c r="AY15" s="1">
        <f>H15/G15*AH15</f>
        <v/>
      </c>
      <c r="AZ15" s="1">
        <f>I15/G15*AH15*-1</f>
        <v/>
      </c>
      <c r="BA15" s="1">
        <f>L15/G15/(0.9*8760)</f>
        <v/>
      </c>
      <c r="BB15" s="1">
        <f>M15/G15/(0.9*8760)</f>
        <v/>
      </c>
      <c r="BC15" s="1">
        <f>N15/G15</f>
        <v/>
      </c>
      <c r="BD15" s="1">
        <f>BZ15+CA15+CB15</f>
        <v/>
      </c>
      <c r="BE15" s="1">
        <f>(Q15+R15)*-1*J15/G15</f>
        <v/>
      </c>
      <c r="BF15" s="1">
        <f>BD15*Q15</f>
        <v/>
      </c>
      <c r="BG15" s="1">
        <f>BZ15+CA15</f>
        <v/>
      </c>
      <c r="BH15" s="1">
        <f>R15*J15*-1/G15</f>
        <v/>
      </c>
      <c r="BI15" s="1">
        <f>BG15*Q15</f>
        <v/>
      </c>
      <c r="BJ15" s="1">
        <f>SUM(BY15:CC15)</f>
        <v/>
      </c>
      <c r="BK15" s="1">
        <f>(Q15+R15)*-1*J15/G15</f>
        <v/>
      </c>
      <c r="BL15" s="1">
        <f>BJ15*Q15</f>
        <v/>
      </c>
      <c r="BM15" s="1">
        <f>BY15+BZ15+CA15+CC15</f>
        <v/>
      </c>
      <c r="BN15" s="1">
        <f>J15/G15*R15*-1</f>
        <v/>
      </c>
      <c r="BO15" s="1">
        <f>Q15*BM15</f>
        <v/>
      </c>
      <c r="BQ15" s="9" t="n">
        <v>3.14</v>
      </c>
      <c r="BR15" s="10" t="n">
        <v>0.2218110024</v>
      </c>
      <c r="BS15" s="9" t="n">
        <v>0.18104824</v>
      </c>
      <c r="BU15" s="10">
        <f>1/G15*BR15</f>
        <v/>
      </c>
      <c r="BV15" s="10">
        <f>H15/G15*BS15</f>
        <v/>
      </c>
      <c r="BW15" s="10">
        <f>BU15+BV15</f>
        <v/>
      </c>
      <c r="BY15" s="10">
        <f>BQ15</f>
        <v/>
      </c>
      <c r="BZ15" s="10">
        <f>I15/G15*BS15</f>
        <v/>
      </c>
      <c r="CA15" s="10">
        <f>K15/G15</f>
        <v/>
      </c>
      <c r="CB15" s="10">
        <f>J15/G15</f>
        <v/>
      </c>
      <c r="CC15" s="10">
        <f>BW15-SUM(BY15:CB15)</f>
        <v/>
      </c>
      <c r="CD15" s="10">
        <f>SUM(BY15:CC15)</f>
        <v/>
      </c>
    </row>
    <row r="16">
      <c r="B16" s="14" t="inlineStr">
        <is>
          <t>CA_TSC+H2in</t>
        </is>
      </c>
      <c r="C16" s="13" t="inlineStr">
        <is>
          <t>Ethane</t>
        </is>
      </c>
      <c r="D16" s="13" t="n">
        <v>0.02226644157</v>
      </c>
      <c r="E16" s="13" t="n">
        <v>0</v>
      </c>
      <c r="F16" s="13" t="n">
        <v>0</v>
      </c>
      <c r="G16" s="13" t="n">
        <v>0.05310189724</v>
      </c>
      <c r="H16" s="13" t="n">
        <v>0</v>
      </c>
      <c r="I16" s="13" t="n">
        <v>0</v>
      </c>
      <c r="J16" s="13" t="n">
        <v>0</v>
      </c>
      <c r="K16" s="13" t="n">
        <v>0.02267336695</v>
      </c>
      <c r="L16" s="13" t="n">
        <v>99124.32016</v>
      </c>
      <c r="M16" s="13" t="n">
        <v>54251.99777</v>
      </c>
      <c r="N16" s="13" t="n">
        <v>1.676159756</v>
      </c>
      <c r="O16" s="11">
        <f>CC16/0.22/14</f>
        <v/>
      </c>
      <c r="Q16" s="16" t="n">
        <v>99.913298</v>
      </c>
      <c r="R16" s="16" t="n">
        <v>-5.387721</v>
      </c>
      <c r="S16" s="16" t="n">
        <v>69.443859</v>
      </c>
      <c r="T16" s="16" t="n">
        <v>44.089523</v>
      </c>
      <c r="U16" s="16" t="n">
        <v>38.115627</v>
      </c>
      <c r="V16" s="11" t="n">
        <v>21.9863533</v>
      </c>
      <c r="W16" s="17" t="n"/>
      <c r="X16" s="17" t="n"/>
      <c r="Y16" s="16" t="n">
        <v>19.219858</v>
      </c>
      <c r="Z16" s="16" t="n">
        <v>4.641256</v>
      </c>
      <c r="AA16" s="16" t="n"/>
      <c r="AB16" s="17" t="n"/>
      <c r="AC16" s="17" t="n"/>
      <c r="AD16" s="17" t="n"/>
      <c r="AE16" s="17" t="n"/>
      <c r="AF16" s="17" t="n"/>
      <c r="AG16" s="17" t="n"/>
      <c r="AH16" s="16" t="n">
        <v>-3.135876</v>
      </c>
      <c r="AI16" s="16" t="n">
        <v>-4.519557</v>
      </c>
      <c r="AJ16" s="16" t="n">
        <v>796.736008</v>
      </c>
      <c r="AK16" s="16" t="n">
        <v>0</v>
      </c>
      <c r="AM16" s="1">
        <f>B16</f>
        <v/>
      </c>
      <c r="AN16" s="1">
        <f>C16</f>
        <v/>
      </c>
      <c r="AO16" s="12">
        <f>SUM(AU16:BC16)+BE16+BF16</f>
        <v/>
      </c>
      <c r="AP16" s="12">
        <f>SUM(AU16:BC16)+BH16+BI16</f>
        <v/>
      </c>
      <c r="AQ16" s="5">
        <f>AO16-AP16</f>
        <v/>
      </c>
      <c r="AR16" s="12">
        <f>SUM(AU16:BC16)+BK16+BL16</f>
        <v/>
      </c>
      <c r="AS16" s="12">
        <f>SUM(AU16:BC16)+BN16+BO16</f>
        <v/>
      </c>
      <c r="AT16" s="5">
        <f>AR16-AS16</f>
        <v/>
      </c>
      <c r="AU16" s="5">
        <f>D16/G16*Z16</f>
        <v/>
      </c>
      <c r="AV16" s="1">
        <f>E16/G16*Z16*-1</f>
        <v/>
      </c>
      <c r="AW16" s="1">
        <f>F16/G16*Y16</f>
        <v/>
      </c>
      <c r="AX16" s="1">
        <f>1/G16*V16</f>
        <v/>
      </c>
      <c r="AY16" s="1">
        <f>H16/G16*AH16</f>
        <v/>
      </c>
      <c r="AZ16" s="1">
        <f>I16/G16*AH16*-1</f>
        <v/>
      </c>
      <c r="BA16" s="1">
        <f>L16/G16/(0.9*8760)</f>
        <v/>
      </c>
      <c r="BB16" s="1">
        <f>M16/G16/(0.9*8760)</f>
        <v/>
      </c>
      <c r="BC16" s="1">
        <f>N16/G16</f>
        <v/>
      </c>
      <c r="BD16" s="1">
        <f>BZ16+CA16+CB16</f>
        <v/>
      </c>
      <c r="BE16" s="1">
        <f>(Q16+R16)*-1*J16/G16</f>
        <v/>
      </c>
      <c r="BF16" s="1">
        <f>BD16*Q16</f>
        <v/>
      </c>
      <c r="BG16" s="1">
        <f>BZ16+CA16</f>
        <v/>
      </c>
      <c r="BH16" s="1">
        <f>R16*J16*-1/G16</f>
        <v/>
      </c>
      <c r="BI16" s="1">
        <f>BG16*Q16</f>
        <v/>
      </c>
      <c r="BJ16" s="1">
        <f>SUM(BY16:CC16)</f>
        <v/>
      </c>
      <c r="BK16" s="1">
        <f>(Q16+R16)*-1*J16/G16</f>
        <v/>
      </c>
      <c r="BL16" s="1">
        <f>BJ16*Q16</f>
        <v/>
      </c>
      <c r="BM16" s="1">
        <f>BY16+BZ16+CA16+CC16</f>
        <v/>
      </c>
      <c r="BN16" s="1">
        <f>J16/G16*R16*-1</f>
        <v/>
      </c>
      <c r="BO16" s="1">
        <f>Q16*BM16</f>
        <v/>
      </c>
      <c r="BQ16" s="9" t="n">
        <v>3.14</v>
      </c>
      <c r="BR16" s="10" t="n">
        <v>0.2218110024</v>
      </c>
      <c r="BS16" s="9" t="n">
        <v>0.18104824</v>
      </c>
      <c r="BU16" s="10">
        <f>1/G16*BR16</f>
        <v/>
      </c>
      <c r="BV16" s="10">
        <f>H16/G16*BS16</f>
        <v/>
      </c>
      <c r="BW16" s="10">
        <f>BU16+BV16</f>
        <v/>
      </c>
      <c r="BY16" s="10">
        <f>BQ16</f>
        <v/>
      </c>
      <c r="BZ16" s="10">
        <f>I16/G16*BS16</f>
        <v/>
      </c>
      <c r="CA16" s="10">
        <f>K16/G16</f>
        <v/>
      </c>
      <c r="CB16" s="10">
        <f>J16/G16</f>
        <v/>
      </c>
      <c r="CC16" s="10">
        <f>BW16-SUM(BY16:CB16)</f>
        <v/>
      </c>
      <c r="CD16" s="10">
        <f>SUM(BY16:CC16)</f>
        <v/>
      </c>
    </row>
    <row r="17">
      <c r="B17" s="14" t="inlineStr">
        <is>
          <t>CA_TSC+H2in:CH4</t>
        </is>
      </c>
      <c r="C17" s="13" t="inlineStr">
        <is>
          <t>Ethane</t>
        </is>
      </c>
      <c r="D17" s="13" t="n">
        <v>0.1375867019</v>
      </c>
      <c r="E17" s="13" t="n">
        <v>0</v>
      </c>
      <c r="F17" s="13" t="n">
        <v>0</v>
      </c>
      <c r="G17" s="13" t="n">
        <v>0.05310189724</v>
      </c>
      <c r="H17" s="13" t="n">
        <v>0</v>
      </c>
      <c r="I17" s="13" t="n">
        <v>0.1181424966</v>
      </c>
      <c r="J17" s="13" t="n">
        <v>0</v>
      </c>
      <c r="K17" s="13" t="n">
        <v>0.001283875878</v>
      </c>
      <c r="L17" s="13" t="n">
        <v>99124.32016</v>
      </c>
      <c r="M17" s="13" t="n">
        <v>54251.99777</v>
      </c>
      <c r="N17" s="13" t="n">
        <v>1.676159756</v>
      </c>
      <c r="O17" s="11">
        <f>CC17/0.22/14</f>
        <v/>
      </c>
      <c r="Q17" s="16" t="n">
        <v>99.913298</v>
      </c>
      <c r="R17" s="16" t="n">
        <v>-5.387721</v>
      </c>
      <c r="S17" s="16" t="n">
        <v>69.443859</v>
      </c>
      <c r="T17" s="16" t="n">
        <v>44.089523</v>
      </c>
      <c r="U17" s="16" t="n">
        <v>38.115627</v>
      </c>
      <c r="V17" s="11" t="n">
        <v>21.9863533</v>
      </c>
      <c r="W17" s="17" t="n"/>
      <c r="X17" s="17" t="n"/>
      <c r="Y17" s="16" t="n">
        <v>19.219858</v>
      </c>
      <c r="Z17" s="16" t="n">
        <v>4.641256</v>
      </c>
      <c r="AA17" s="16" t="n"/>
      <c r="AB17" s="17" t="n"/>
      <c r="AC17" s="17" t="n"/>
      <c r="AD17" s="17" t="n"/>
      <c r="AE17" s="17" t="n"/>
      <c r="AF17" s="17" t="n"/>
      <c r="AG17" s="17" t="n"/>
      <c r="AH17" s="16" t="n">
        <v>-3.135876</v>
      </c>
      <c r="AI17" s="16" t="n">
        <v>-4.519557</v>
      </c>
      <c r="AJ17" s="16" t="n">
        <v>796.736008</v>
      </c>
      <c r="AK17" s="16" t="n">
        <v>0</v>
      </c>
      <c r="AM17" s="1">
        <f>B17</f>
        <v/>
      </c>
      <c r="AN17" s="1">
        <f>C17</f>
        <v/>
      </c>
      <c r="AO17" s="12">
        <f>SUM(AU17:BC17)+BE17+BF17</f>
        <v/>
      </c>
      <c r="AP17" s="12">
        <f>SUM(AU17:BC17)+BH17+BI17</f>
        <v/>
      </c>
      <c r="AQ17" s="5">
        <f>AO17-AP17</f>
        <v/>
      </c>
      <c r="AR17" s="12">
        <f>SUM(AU17:BC17)+BK17+BL17</f>
        <v/>
      </c>
      <c r="AS17" s="12">
        <f>SUM(AU17:BC17)+BN17+BO17</f>
        <v/>
      </c>
      <c r="AT17" s="5">
        <f>AR17-AS17</f>
        <v/>
      </c>
      <c r="AU17" s="5">
        <f>D17/G17*Z17</f>
        <v/>
      </c>
      <c r="AV17" s="1">
        <f>E17/G17*Z17*-1</f>
        <v/>
      </c>
      <c r="AW17" s="1">
        <f>F17/G17*Y17</f>
        <v/>
      </c>
      <c r="AX17" s="1">
        <f>1/G17*V17</f>
        <v/>
      </c>
      <c r="AY17" s="1">
        <f>H17/G17*AH17</f>
        <v/>
      </c>
      <c r="AZ17" s="1">
        <f>I17/G17*AH17*-1</f>
        <v/>
      </c>
      <c r="BA17" s="1">
        <f>L17/G17/(0.9*8760)</f>
        <v/>
      </c>
      <c r="BB17" s="1">
        <f>M17/G17/(0.9*8760)</f>
        <v/>
      </c>
      <c r="BC17" s="1">
        <f>N17/G17</f>
        <v/>
      </c>
      <c r="BD17" s="1">
        <f>BZ17+CA17+CB17</f>
        <v/>
      </c>
      <c r="BE17" s="1">
        <f>(Q17+R17)*-1*J17/G17</f>
        <v/>
      </c>
      <c r="BF17" s="1">
        <f>BD17*Q17</f>
        <v/>
      </c>
      <c r="BG17" s="1">
        <f>BZ17+CA17</f>
        <v/>
      </c>
      <c r="BH17" s="1">
        <f>R17*J17*-1/G17</f>
        <v/>
      </c>
      <c r="BI17" s="1">
        <f>BG17*Q17</f>
        <v/>
      </c>
      <c r="BJ17" s="1">
        <f>SUM(BY17:CC17)</f>
        <v/>
      </c>
      <c r="BK17" s="1">
        <f>(Q17+R17)*-1*J17/G17</f>
        <v/>
      </c>
      <c r="BL17" s="1">
        <f>BJ17*Q17</f>
        <v/>
      </c>
      <c r="BM17" s="1">
        <f>BY17+BZ17+CA17+CC17</f>
        <v/>
      </c>
      <c r="BN17" s="1">
        <f>J17/G17*R17*-1</f>
        <v/>
      </c>
      <c r="BO17" s="1">
        <f>Q17*BM17</f>
        <v/>
      </c>
      <c r="BQ17" s="9" t="n">
        <v>3.14</v>
      </c>
      <c r="BR17" s="10" t="n">
        <v>0.2218110024</v>
      </c>
      <c r="BS17" s="9" t="n">
        <v>0.18104824</v>
      </c>
      <c r="BU17" s="10">
        <f>1/G17*BR17</f>
        <v/>
      </c>
      <c r="BV17" s="10">
        <f>H17/G17*BS17</f>
        <v/>
      </c>
      <c r="BW17" s="10">
        <f>BU17+BV17</f>
        <v/>
      </c>
      <c r="BY17" s="10">
        <f>BQ17</f>
        <v/>
      </c>
      <c r="BZ17" s="10">
        <f>I17/G17*BS17</f>
        <v/>
      </c>
      <c r="CA17" s="10">
        <f>K17/G17</f>
        <v/>
      </c>
      <c r="CB17" s="10">
        <f>J17/G17</f>
        <v/>
      </c>
      <c r="CC17" s="10">
        <f>BW17-SUM(BY17:CB17)</f>
        <v/>
      </c>
      <c r="CD17" s="10">
        <f>SUM(BY17:CC17)</f>
        <v/>
      </c>
    </row>
    <row r="18">
      <c r="B18" s="14" t="inlineStr">
        <is>
          <t>SW_TSC+CC90</t>
        </is>
      </c>
      <c r="C18" s="13" t="inlineStr">
        <is>
          <t>Ethane</t>
        </is>
      </c>
      <c r="D18" s="13" t="n">
        <v>0</v>
      </c>
      <c r="E18" s="13" t="n">
        <v>0</v>
      </c>
      <c r="F18" s="13" t="n">
        <v>0.008052966438000001</v>
      </c>
      <c r="G18" s="13" t="n">
        <v>0.05310189724</v>
      </c>
      <c r="H18" s="13" t="n">
        <v>0.02270169876</v>
      </c>
      <c r="I18" s="13" t="n">
        <v>0</v>
      </c>
      <c r="J18" s="13" t="n">
        <v>0.0241051226</v>
      </c>
      <c r="K18" s="13" t="n">
        <v>0.002678346955</v>
      </c>
      <c r="L18" s="13" t="n">
        <v>106875.1697</v>
      </c>
      <c r="M18" s="13" t="n">
        <v>58496.38728</v>
      </c>
      <c r="N18" s="13" t="n">
        <v>1.807224085</v>
      </c>
      <c r="O18" s="11">
        <f>CC18/0.22/14</f>
        <v/>
      </c>
      <c r="Q18" s="16" t="n">
        <v>99.913298</v>
      </c>
      <c r="R18" s="16" t="n">
        <v>-5.321206</v>
      </c>
      <c r="S18" s="16" t="n">
        <v>65.718464</v>
      </c>
      <c r="T18" s="16" t="n">
        <v>44.094475</v>
      </c>
      <c r="U18" s="16" t="n">
        <v>41.17053</v>
      </c>
      <c r="V18" s="11" t="n">
        <v>21.9863533</v>
      </c>
      <c r="W18" s="17" t="n"/>
      <c r="X18" s="17" t="n"/>
      <c r="Y18" s="16" t="n">
        <v>20.088657</v>
      </c>
      <c r="Z18" s="16" t="n">
        <v>6.238322</v>
      </c>
      <c r="AA18" s="16" t="n"/>
      <c r="AB18" s="17" t="n"/>
      <c r="AC18" s="17" t="n"/>
      <c r="AD18" s="17" t="n"/>
      <c r="AE18" s="17" t="n"/>
      <c r="AF18" s="17" t="n"/>
      <c r="AG18" s="17" t="n"/>
      <c r="AH18" s="16" t="n">
        <v>-1.277867</v>
      </c>
      <c r="AI18" s="16" t="n">
        <v>-3.020989</v>
      </c>
      <c r="AJ18" s="16" t="n">
        <v>796.736008</v>
      </c>
      <c r="AK18" s="16" t="n">
        <v>0</v>
      </c>
      <c r="AM18" s="1">
        <f>B18</f>
        <v/>
      </c>
      <c r="AN18" s="1">
        <f>C18</f>
        <v/>
      </c>
      <c r="AO18" s="12">
        <f>SUM(AU18:BC18)+BE18+BF18</f>
        <v/>
      </c>
      <c r="AP18" s="12">
        <f>SUM(AU18:BC18)+BH18+BI18</f>
        <v/>
      </c>
      <c r="AQ18" s="5">
        <f>AO18-AP18</f>
        <v/>
      </c>
      <c r="AR18" s="12">
        <f>SUM(AU18:BC18)+BK18+BL18</f>
        <v/>
      </c>
      <c r="AS18" s="12">
        <f>SUM(AU18:BC18)+BN18+BO18</f>
        <v/>
      </c>
      <c r="AT18" s="5">
        <f>AR18-AS18</f>
        <v/>
      </c>
      <c r="AU18" s="5">
        <f>D18/G18*Z18</f>
        <v/>
      </c>
      <c r="AV18" s="1">
        <f>E18/G18*Z18*-1</f>
        <v/>
      </c>
      <c r="AW18" s="1">
        <f>F18/G18*Y18</f>
        <v/>
      </c>
      <c r="AX18" s="1">
        <f>1/G18*V18</f>
        <v/>
      </c>
      <c r="AY18" s="1">
        <f>H18/G18*AH18</f>
        <v/>
      </c>
      <c r="AZ18" s="1">
        <f>I18/G18*AH18*-1</f>
        <v/>
      </c>
      <c r="BA18" s="1">
        <f>L18/G18/(0.9*8760)</f>
        <v/>
      </c>
      <c r="BB18" s="1">
        <f>M18/G18/(0.9*8760)</f>
        <v/>
      </c>
      <c r="BC18" s="1">
        <f>N18/G18</f>
        <v/>
      </c>
      <c r="BD18" s="1">
        <f>BZ18+CA18+CB18</f>
        <v/>
      </c>
      <c r="BE18" s="1">
        <f>(Q18+R18)*-1*J18/G18</f>
        <v/>
      </c>
      <c r="BF18" s="1">
        <f>BD18*Q18</f>
        <v/>
      </c>
      <c r="BG18" s="1">
        <f>BZ18+CA18</f>
        <v/>
      </c>
      <c r="BH18" s="1">
        <f>R18*J18*-1/G18</f>
        <v/>
      </c>
      <c r="BI18" s="1">
        <f>BG18*Q18</f>
        <v/>
      </c>
      <c r="BJ18" s="1">
        <f>SUM(BY18:CC18)</f>
        <v/>
      </c>
      <c r="BK18" s="1">
        <f>(Q18+R18)*-1*J18/G18</f>
        <v/>
      </c>
      <c r="BL18" s="1">
        <f>BJ18*Q18</f>
        <v/>
      </c>
      <c r="BM18" s="1">
        <f>BY18+BZ18+CA18+CC18</f>
        <v/>
      </c>
      <c r="BN18" s="1">
        <f>J18/G18*R18*-1</f>
        <v/>
      </c>
      <c r="BO18" s="1">
        <f>Q18*BM18</f>
        <v/>
      </c>
      <c r="BQ18" s="9" t="n">
        <v>3.14</v>
      </c>
      <c r="BR18" s="10" t="n">
        <v>0.2218110024</v>
      </c>
      <c r="BS18" s="9" t="n">
        <v>0.18104824</v>
      </c>
      <c r="BU18" s="10">
        <f>1/G18*BR18</f>
        <v/>
      </c>
      <c r="BV18" s="10">
        <f>H18/G18*BS18</f>
        <v/>
      </c>
      <c r="BW18" s="10">
        <f>BU18+BV18</f>
        <v/>
      </c>
      <c r="BY18" s="10">
        <f>BQ18</f>
        <v/>
      </c>
      <c r="BZ18" s="10">
        <f>I18/G18*BS18</f>
        <v/>
      </c>
      <c r="CA18" s="10">
        <f>K18/G18</f>
        <v/>
      </c>
      <c r="CB18" s="10">
        <f>J18/G18</f>
        <v/>
      </c>
      <c r="CC18" s="10">
        <f>BW18-SUM(BY18:CB18)</f>
        <v/>
      </c>
      <c r="CD18" s="10">
        <f>SUM(BY18:CC18)</f>
        <v/>
      </c>
    </row>
    <row r="19">
      <c r="B19" s="14" t="inlineStr">
        <is>
          <t>SW_TSC:H2</t>
        </is>
      </c>
      <c r="C19" s="13" t="inlineStr">
        <is>
          <t>Ethane</t>
        </is>
      </c>
      <c r="D19" s="13" t="n">
        <v>0</v>
      </c>
      <c r="E19" s="13" t="n">
        <v>0.1598531434</v>
      </c>
      <c r="F19" s="13" t="n">
        <v>0</v>
      </c>
      <c r="G19" s="13" t="n">
        <v>0.05310189724</v>
      </c>
      <c r="H19" s="13" t="n">
        <v>0.1318322859</v>
      </c>
      <c r="I19" s="13" t="n">
        <v>0</v>
      </c>
      <c r="J19" s="13" t="n">
        <v>0</v>
      </c>
      <c r="K19" s="13" t="n">
        <v>0.04654137028</v>
      </c>
      <c r="L19" s="13" t="n">
        <v>99124.32016</v>
      </c>
      <c r="M19" s="13" t="n">
        <v>54251.99777</v>
      </c>
      <c r="N19" s="13" t="n">
        <v>1.676159756</v>
      </c>
      <c r="O19" s="11">
        <f>CC19/0.22/14</f>
        <v/>
      </c>
      <c r="Q19" s="16" t="n">
        <v>99.913298</v>
      </c>
      <c r="R19" s="16" t="n">
        <v>-5.321206</v>
      </c>
      <c r="S19" s="16" t="n">
        <v>65.718464</v>
      </c>
      <c r="T19" s="16" t="n">
        <v>44.094475</v>
      </c>
      <c r="U19" s="16" t="n">
        <v>41.17053</v>
      </c>
      <c r="V19" s="11" t="n">
        <v>21.9863533</v>
      </c>
      <c r="W19" s="17" t="n"/>
      <c r="X19" s="17" t="n"/>
      <c r="Y19" s="16" t="n">
        <v>20.088657</v>
      </c>
      <c r="Z19" s="16" t="n">
        <v>6.238322</v>
      </c>
      <c r="AA19" s="16" t="n"/>
      <c r="AB19" s="17" t="n"/>
      <c r="AC19" s="17" t="n"/>
      <c r="AD19" s="17" t="n"/>
      <c r="AE19" s="17" t="n"/>
      <c r="AF19" s="17" t="n"/>
      <c r="AG19" s="17" t="n"/>
      <c r="AH19" s="16" t="n">
        <v>-1.277867</v>
      </c>
      <c r="AI19" s="16" t="n">
        <v>-3.020989</v>
      </c>
      <c r="AJ19" s="16" t="n">
        <v>796.736008</v>
      </c>
      <c r="AK19" s="16" t="n">
        <v>0</v>
      </c>
      <c r="AM19" s="1">
        <f>B19</f>
        <v/>
      </c>
      <c r="AN19" s="1">
        <f>C19</f>
        <v/>
      </c>
      <c r="AO19" s="12">
        <f>SUM(AU19:BC19)+BE19+BF19</f>
        <v/>
      </c>
      <c r="AP19" s="12">
        <f>SUM(AU19:BC19)+BH19+BI19</f>
        <v/>
      </c>
      <c r="AQ19" s="5">
        <f>AO19-AP19</f>
        <v/>
      </c>
      <c r="AR19" s="12">
        <f>SUM(AU19:BC19)+BK19+BL19</f>
        <v/>
      </c>
      <c r="AS19" s="12">
        <f>SUM(AU19:BC19)+BN19+BO19</f>
        <v/>
      </c>
      <c r="AT19" s="5">
        <f>AR19-AS19</f>
        <v/>
      </c>
      <c r="AU19" s="5">
        <f>D19/G19*Z19</f>
        <v/>
      </c>
      <c r="AV19" s="1">
        <f>E19/G19*Z19*-1</f>
        <v/>
      </c>
      <c r="AW19" s="1">
        <f>F19/G19*Y19</f>
        <v/>
      </c>
      <c r="AX19" s="1">
        <f>1/G19*V19</f>
        <v/>
      </c>
      <c r="AY19" s="1">
        <f>H19/G19*AH19</f>
        <v/>
      </c>
      <c r="AZ19" s="1">
        <f>I19/G19*AH19*-1</f>
        <v/>
      </c>
      <c r="BA19" s="1">
        <f>L19/G19/(0.9*8760)</f>
        <v/>
      </c>
      <c r="BB19" s="1">
        <f>M19/G19/(0.9*8760)</f>
        <v/>
      </c>
      <c r="BC19" s="1">
        <f>N19/G19</f>
        <v/>
      </c>
      <c r="BD19" s="1">
        <f>BZ19+CA19+CB19</f>
        <v/>
      </c>
      <c r="BE19" s="1">
        <f>(Q19+R19)*-1*J19/G19</f>
        <v/>
      </c>
      <c r="BF19" s="1">
        <f>BD19*Q19</f>
        <v/>
      </c>
      <c r="BG19" s="1">
        <f>BZ19+CA19</f>
        <v/>
      </c>
      <c r="BH19" s="1">
        <f>R19*J19*-1/G19</f>
        <v/>
      </c>
      <c r="BI19" s="1">
        <f>BG19*Q19</f>
        <v/>
      </c>
      <c r="BJ19" s="1">
        <f>SUM(BY19:CC19)</f>
        <v/>
      </c>
      <c r="BK19" s="1">
        <f>(Q19+R19)*-1*J19/G19</f>
        <v/>
      </c>
      <c r="BL19" s="1">
        <f>BJ19*Q19</f>
        <v/>
      </c>
      <c r="BM19" s="1">
        <f>BY19+BZ19+CA19+CC19</f>
        <v/>
      </c>
      <c r="BN19" s="1">
        <f>J19/G19*R19*-1</f>
        <v/>
      </c>
      <c r="BO19" s="1">
        <f>Q19*BM19</f>
        <v/>
      </c>
      <c r="BQ19" s="9" t="n">
        <v>3.14</v>
      </c>
      <c r="BR19" s="10" t="n">
        <v>0.2218110024</v>
      </c>
      <c r="BS19" s="9" t="n">
        <v>0.18104824</v>
      </c>
      <c r="BU19" s="10">
        <f>1/G19*BR19</f>
        <v/>
      </c>
      <c r="BV19" s="10">
        <f>H19/G19*BS19</f>
        <v/>
      </c>
      <c r="BW19" s="10">
        <f>BU19+BV19</f>
        <v/>
      </c>
      <c r="BY19" s="10">
        <f>BQ19</f>
        <v/>
      </c>
      <c r="BZ19" s="10">
        <f>I19/G19*BS19</f>
        <v/>
      </c>
      <c r="CA19" s="10">
        <f>K19/G19</f>
        <v/>
      </c>
      <c r="CB19" s="10">
        <f>J19/G19</f>
        <v/>
      </c>
      <c r="CC19" s="10">
        <f>BW19-SUM(BY19:CB19)</f>
        <v/>
      </c>
      <c r="CD19" s="10">
        <f>SUM(BY19:CC19)</f>
        <v/>
      </c>
    </row>
    <row r="20">
      <c r="B20" s="14" t="inlineStr">
        <is>
          <t>SW_TSC+CC90:H2</t>
        </is>
      </c>
      <c r="C20" s="13" t="inlineStr">
        <is>
          <t>Ethane</t>
        </is>
      </c>
      <c r="D20" s="13" t="n">
        <v>0</v>
      </c>
      <c r="E20" s="13" t="n">
        <v>0.1598531434</v>
      </c>
      <c r="F20" s="13" t="n">
        <v>0.009388736698</v>
      </c>
      <c r="G20" s="13" t="n">
        <v>0.05310189724</v>
      </c>
      <c r="H20" s="13" t="n">
        <v>0.1318322859</v>
      </c>
      <c r="I20" s="13" t="n">
        <v>0</v>
      </c>
      <c r="J20" s="13" t="n">
        <v>0.04188723326</v>
      </c>
      <c r="K20" s="13" t="n">
        <v>0.004654137028</v>
      </c>
      <c r="L20" s="13" t="n">
        <v>106900.9741</v>
      </c>
      <c r="M20" s="13" t="n">
        <v>58510.18581</v>
      </c>
      <c r="N20" s="13" t="n">
        <v>1.807660423</v>
      </c>
      <c r="O20" s="11">
        <f>CC20/0.22/14</f>
        <v/>
      </c>
      <c r="Q20" s="16" t="n">
        <v>99.913298</v>
      </c>
      <c r="R20" s="16" t="n">
        <v>-5.321206</v>
      </c>
      <c r="S20" s="16" t="n">
        <v>65.718464</v>
      </c>
      <c r="T20" s="16" t="n">
        <v>44.094475</v>
      </c>
      <c r="U20" s="16" t="n">
        <v>41.17053</v>
      </c>
      <c r="V20" s="11" t="n">
        <v>21.9863533</v>
      </c>
      <c r="W20" s="17" t="n"/>
      <c r="X20" s="17" t="n"/>
      <c r="Y20" s="16" t="n">
        <v>20.088657</v>
      </c>
      <c r="Z20" s="16" t="n">
        <v>6.238322</v>
      </c>
      <c r="AA20" s="16" t="n"/>
      <c r="AB20" s="17" t="n"/>
      <c r="AC20" s="17" t="n"/>
      <c r="AD20" s="17" t="n"/>
      <c r="AE20" s="17" t="n"/>
      <c r="AF20" s="17" t="n"/>
      <c r="AG20" s="17" t="n"/>
      <c r="AH20" s="16" t="n">
        <v>-1.277867</v>
      </c>
      <c r="AI20" s="16" t="n">
        <v>-3.020989</v>
      </c>
      <c r="AJ20" s="16" t="n">
        <v>796.736008</v>
      </c>
      <c r="AK20" s="16" t="n">
        <v>0</v>
      </c>
      <c r="AM20" s="1">
        <f>B20</f>
        <v/>
      </c>
      <c r="AN20" s="1">
        <f>C20</f>
        <v/>
      </c>
      <c r="AO20" s="12">
        <f>SUM(AU20:BC20)+BE20+BF20</f>
        <v/>
      </c>
      <c r="AP20" s="12">
        <f>SUM(AU20:BC20)+BH20+BI20</f>
        <v/>
      </c>
      <c r="AQ20" s="5">
        <f>AO20-AP20</f>
        <v/>
      </c>
      <c r="AR20" s="12">
        <f>SUM(AU20:BC20)+BK20+BL20</f>
        <v/>
      </c>
      <c r="AS20" s="12">
        <f>SUM(AU20:BC20)+BN20+BO20</f>
        <v/>
      </c>
      <c r="AT20" s="5">
        <f>AR20-AS20</f>
        <v/>
      </c>
      <c r="AU20" s="5">
        <f>D20/G20*Z20</f>
        <v/>
      </c>
      <c r="AV20" s="1">
        <f>E20/G20*Z20*-1</f>
        <v/>
      </c>
      <c r="AW20" s="1">
        <f>F20/G20*Y20</f>
        <v/>
      </c>
      <c r="AX20" s="1">
        <f>1/G20*V20</f>
        <v/>
      </c>
      <c r="AY20" s="1">
        <f>H20/G20*AH20</f>
        <v/>
      </c>
      <c r="AZ20" s="1">
        <f>I20/G20*AH20*-1</f>
        <v/>
      </c>
      <c r="BA20" s="1">
        <f>L20/G20/(0.9*8760)</f>
        <v/>
      </c>
      <c r="BB20" s="1">
        <f>M20/G20/(0.9*8760)</f>
        <v/>
      </c>
      <c r="BC20" s="1">
        <f>N20/G20</f>
        <v/>
      </c>
      <c r="BD20" s="1">
        <f>BZ20+CA20+CB20</f>
        <v/>
      </c>
      <c r="BE20" s="1">
        <f>(Q20+R20)*-1*J20/G20</f>
        <v/>
      </c>
      <c r="BF20" s="1">
        <f>BD20*Q20</f>
        <v/>
      </c>
      <c r="BG20" s="1">
        <f>BZ20+CA20</f>
        <v/>
      </c>
      <c r="BH20" s="1">
        <f>R20*J20*-1/G20</f>
        <v/>
      </c>
      <c r="BI20" s="1">
        <f>BG20*Q20</f>
        <v/>
      </c>
      <c r="BJ20" s="1">
        <f>SUM(BY20:CC20)</f>
        <v/>
      </c>
      <c r="BK20" s="1">
        <f>(Q20+R20)*-1*J20/G20</f>
        <v/>
      </c>
      <c r="BL20" s="1">
        <f>BJ20*Q20</f>
        <v/>
      </c>
      <c r="BM20" s="1">
        <f>BY20+BZ20+CA20+CC20</f>
        <v/>
      </c>
      <c r="BN20" s="1">
        <f>J20/G20*R20*-1</f>
        <v/>
      </c>
      <c r="BO20" s="1">
        <f>Q20*BM20</f>
        <v/>
      </c>
      <c r="BQ20" s="9" t="n">
        <v>3.14</v>
      </c>
      <c r="BR20" s="10" t="n">
        <v>0.2218110024</v>
      </c>
      <c r="BS20" s="9" t="n">
        <v>0.18104824</v>
      </c>
      <c r="BU20" s="10">
        <f>1/G20*BR20</f>
        <v/>
      </c>
      <c r="BV20" s="10">
        <f>H20/G20*BS20</f>
        <v/>
      </c>
      <c r="BW20" s="10">
        <f>BU20+BV20</f>
        <v/>
      </c>
      <c r="BY20" s="10">
        <f>BQ20</f>
        <v/>
      </c>
      <c r="BZ20" s="10">
        <f>I20/G20*BS20</f>
        <v/>
      </c>
      <c r="CA20" s="10">
        <f>K20/G20</f>
        <v/>
      </c>
      <c r="CB20" s="10">
        <f>J20/G20</f>
        <v/>
      </c>
      <c r="CC20" s="10">
        <f>BW20-SUM(BY20:CB20)</f>
        <v/>
      </c>
      <c r="CD20" s="10">
        <f>SUM(BY20:CC20)</f>
        <v/>
      </c>
    </row>
    <row r="21">
      <c r="B21" s="14" t="inlineStr">
        <is>
          <t>SW_TSC+H2in</t>
        </is>
      </c>
      <c r="C21" s="13" t="inlineStr">
        <is>
          <t>Ethane</t>
        </is>
      </c>
      <c r="D21" s="13" t="n">
        <v>0.02226644157</v>
      </c>
      <c r="E21" s="13" t="n">
        <v>0</v>
      </c>
      <c r="F21" s="13" t="n">
        <v>0</v>
      </c>
      <c r="G21" s="13" t="n">
        <v>0.05310189724</v>
      </c>
      <c r="H21" s="13" t="n">
        <v>0</v>
      </c>
      <c r="I21" s="13" t="n">
        <v>0</v>
      </c>
      <c r="J21" s="13" t="n">
        <v>0</v>
      </c>
      <c r="K21" s="13" t="n">
        <v>0.02267336695</v>
      </c>
      <c r="L21" s="13" t="n">
        <v>99124.32016</v>
      </c>
      <c r="M21" s="13" t="n">
        <v>54251.99777</v>
      </c>
      <c r="N21" s="13" t="n">
        <v>1.676159756</v>
      </c>
      <c r="O21" s="11">
        <f>CC21/0.22/14</f>
        <v/>
      </c>
      <c r="Q21" s="16" t="n">
        <v>99.913298</v>
      </c>
      <c r="R21" s="16" t="n">
        <v>-5.321206</v>
      </c>
      <c r="S21" s="16" t="n">
        <v>65.718464</v>
      </c>
      <c r="T21" s="16" t="n">
        <v>44.094475</v>
      </c>
      <c r="U21" s="16" t="n">
        <v>41.17053</v>
      </c>
      <c r="V21" s="11" t="n">
        <v>21.9863533</v>
      </c>
      <c r="W21" s="17" t="n"/>
      <c r="X21" s="17" t="n"/>
      <c r="Y21" s="16" t="n">
        <v>20.088657</v>
      </c>
      <c r="Z21" s="16" t="n">
        <v>6.238322</v>
      </c>
      <c r="AA21" s="16" t="n"/>
      <c r="AB21" s="17" t="n"/>
      <c r="AC21" s="17" t="n"/>
      <c r="AD21" s="17" t="n"/>
      <c r="AE21" s="17" t="n"/>
      <c r="AF21" s="17" t="n"/>
      <c r="AG21" s="17" t="n"/>
      <c r="AH21" s="16" t="n">
        <v>-1.277867</v>
      </c>
      <c r="AI21" s="16" t="n">
        <v>-3.020989</v>
      </c>
      <c r="AJ21" s="16" t="n">
        <v>796.736008</v>
      </c>
      <c r="AK21" s="16" t="n">
        <v>0</v>
      </c>
      <c r="AM21" s="1">
        <f>B21</f>
        <v/>
      </c>
      <c r="AN21" s="1">
        <f>C21</f>
        <v/>
      </c>
      <c r="AO21" s="12">
        <f>SUM(AU21:BC21)+BE21+BF21</f>
        <v/>
      </c>
      <c r="AP21" s="12">
        <f>SUM(AU21:BC21)+BH21+BI21</f>
        <v/>
      </c>
      <c r="AQ21" s="5">
        <f>AO21-AP21</f>
        <v/>
      </c>
      <c r="AR21" s="12">
        <f>SUM(AU21:BC21)+BK21+BL21</f>
        <v/>
      </c>
      <c r="AS21" s="12">
        <f>SUM(AU21:BC21)+BN21+BO21</f>
        <v/>
      </c>
      <c r="AT21" s="5">
        <f>AR21-AS21</f>
        <v/>
      </c>
      <c r="AU21" s="5">
        <f>D21/G21*Z21</f>
        <v/>
      </c>
      <c r="AV21" s="1">
        <f>E21/G21*Z21*-1</f>
        <v/>
      </c>
      <c r="AW21" s="1">
        <f>F21/G21*Y21</f>
        <v/>
      </c>
      <c r="AX21" s="1">
        <f>1/G21*V21</f>
        <v/>
      </c>
      <c r="AY21" s="1">
        <f>H21/G21*AH21</f>
        <v/>
      </c>
      <c r="AZ21" s="1">
        <f>I21/G21*AH21*-1</f>
        <v/>
      </c>
      <c r="BA21" s="1">
        <f>L21/G21/(0.9*8760)</f>
        <v/>
      </c>
      <c r="BB21" s="1">
        <f>M21/G21/(0.9*8760)</f>
        <v/>
      </c>
      <c r="BC21" s="1">
        <f>N21/G21</f>
        <v/>
      </c>
      <c r="BD21" s="1">
        <f>BZ21+CA21+CB21</f>
        <v/>
      </c>
      <c r="BE21" s="1">
        <f>(Q21+R21)*-1*J21/G21</f>
        <v/>
      </c>
      <c r="BF21" s="1">
        <f>BD21*Q21</f>
        <v/>
      </c>
      <c r="BG21" s="1">
        <f>BZ21+CA21</f>
        <v/>
      </c>
      <c r="BH21" s="1">
        <f>R21*J21*-1/G21</f>
        <v/>
      </c>
      <c r="BI21" s="1">
        <f>BG21*Q21</f>
        <v/>
      </c>
      <c r="BJ21" s="1">
        <f>SUM(BY21:CC21)</f>
        <v/>
      </c>
      <c r="BK21" s="1">
        <f>(Q21+R21)*-1*J21/G21</f>
        <v/>
      </c>
      <c r="BL21" s="1">
        <f>BJ21*Q21</f>
        <v/>
      </c>
      <c r="BM21" s="1">
        <f>BY21+BZ21+CA21+CC21</f>
        <v/>
      </c>
      <c r="BN21" s="1">
        <f>J21/G21*R21*-1</f>
        <v/>
      </c>
      <c r="BO21" s="1">
        <f>Q21*BM21</f>
        <v/>
      </c>
      <c r="BQ21" s="9" t="n">
        <v>3.14</v>
      </c>
      <c r="BR21" s="10" t="n">
        <v>0.2218110024</v>
      </c>
      <c r="BS21" s="9" t="n">
        <v>0.18104824</v>
      </c>
      <c r="BU21" s="10">
        <f>1/G21*BR21</f>
        <v/>
      </c>
      <c r="BV21" s="10">
        <f>H21/G21*BS21</f>
        <v/>
      </c>
      <c r="BW21" s="10">
        <f>BU21+BV21</f>
        <v/>
      </c>
      <c r="BY21" s="10">
        <f>BQ21</f>
        <v/>
      </c>
      <c r="BZ21" s="10">
        <f>I21/G21*BS21</f>
        <v/>
      </c>
      <c r="CA21" s="10">
        <f>K21/G21</f>
        <v/>
      </c>
      <c r="CB21" s="10">
        <f>J21/G21</f>
        <v/>
      </c>
      <c r="CC21" s="10">
        <f>BW21-SUM(BY21:CB21)</f>
        <v/>
      </c>
      <c r="CD21" s="10">
        <f>SUM(BY21:CC21)</f>
        <v/>
      </c>
    </row>
    <row r="22">
      <c r="B22" s="14" t="inlineStr">
        <is>
          <t>SW_TSC+H2in:CH4</t>
        </is>
      </c>
      <c r="C22" s="13" t="inlineStr">
        <is>
          <t>Ethane</t>
        </is>
      </c>
      <c r="D22" s="13" t="n">
        <v>0.1375867019</v>
      </c>
      <c r="E22" s="13" t="n">
        <v>0</v>
      </c>
      <c r="F22" s="13" t="n">
        <v>0</v>
      </c>
      <c r="G22" s="13" t="n">
        <v>0.05310189724</v>
      </c>
      <c r="H22" s="13" t="n">
        <v>0</v>
      </c>
      <c r="I22" s="13" t="n">
        <v>0.1181424966</v>
      </c>
      <c r="J22" s="13" t="n">
        <v>0</v>
      </c>
      <c r="K22" s="13" t="n">
        <v>0.001283875878</v>
      </c>
      <c r="L22" s="13" t="n">
        <v>99124.32016</v>
      </c>
      <c r="M22" s="13" t="n">
        <v>54251.99777</v>
      </c>
      <c r="N22" s="13" t="n">
        <v>1.676159756</v>
      </c>
      <c r="O22" s="11">
        <f>CC22/0.22/14</f>
        <v/>
      </c>
      <c r="Q22" s="16" t="n">
        <v>99.913298</v>
      </c>
      <c r="R22" s="16" t="n">
        <v>-5.321206</v>
      </c>
      <c r="S22" s="16" t="n">
        <v>65.718464</v>
      </c>
      <c r="T22" s="16" t="n">
        <v>44.094475</v>
      </c>
      <c r="U22" s="16" t="n">
        <v>41.17053</v>
      </c>
      <c r="V22" s="11" t="n">
        <v>21.9863533</v>
      </c>
      <c r="W22" s="17" t="n"/>
      <c r="X22" s="17" t="n"/>
      <c r="Y22" s="16" t="n">
        <v>20.088657</v>
      </c>
      <c r="Z22" s="16" t="n">
        <v>6.238322</v>
      </c>
      <c r="AA22" s="16" t="n"/>
      <c r="AB22" s="17" t="n"/>
      <c r="AC22" s="17" t="n"/>
      <c r="AD22" s="17" t="n"/>
      <c r="AE22" s="17" t="n"/>
      <c r="AF22" s="17" t="n"/>
      <c r="AG22" s="17" t="n"/>
      <c r="AH22" s="16" t="n">
        <v>-1.277867</v>
      </c>
      <c r="AI22" s="16" t="n">
        <v>-3.020989</v>
      </c>
      <c r="AJ22" s="16" t="n">
        <v>796.736008</v>
      </c>
      <c r="AK22" s="16" t="n">
        <v>0</v>
      </c>
      <c r="AM22" s="1">
        <f>B22</f>
        <v/>
      </c>
      <c r="AN22" s="1">
        <f>C22</f>
        <v/>
      </c>
      <c r="AO22" s="12">
        <f>SUM(AU22:BC22)+BE22+BF22</f>
        <v/>
      </c>
      <c r="AP22" s="12">
        <f>SUM(AU22:BC22)+BH22+BI22</f>
        <v/>
      </c>
      <c r="AQ22" s="5">
        <f>AO22-AP22</f>
        <v/>
      </c>
      <c r="AR22" s="12">
        <f>SUM(AU22:BC22)+BK22+BL22</f>
        <v/>
      </c>
      <c r="AS22" s="12">
        <f>SUM(AU22:BC22)+BN22+BO22</f>
        <v/>
      </c>
      <c r="AT22" s="5">
        <f>AR22-AS22</f>
        <v/>
      </c>
      <c r="AU22" s="5">
        <f>D22/G22*Z22</f>
        <v/>
      </c>
      <c r="AV22" s="1">
        <f>E22/G22*Z22*-1</f>
        <v/>
      </c>
      <c r="AW22" s="1">
        <f>F22/G22*Y22</f>
        <v/>
      </c>
      <c r="AX22" s="1">
        <f>1/G22*V22</f>
        <v/>
      </c>
      <c r="AY22" s="1">
        <f>H22/G22*AH22</f>
        <v/>
      </c>
      <c r="AZ22" s="1">
        <f>I22/G22*AH22*-1</f>
        <v/>
      </c>
      <c r="BA22" s="1">
        <f>L22/G22/(0.9*8760)</f>
        <v/>
      </c>
      <c r="BB22" s="1">
        <f>M22/G22/(0.9*8760)</f>
        <v/>
      </c>
      <c r="BC22" s="1">
        <f>N22/G22</f>
        <v/>
      </c>
      <c r="BD22" s="1">
        <f>BZ22+CA22+CB22</f>
        <v/>
      </c>
      <c r="BE22" s="1">
        <f>(Q22+R22)*-1*J22/G22</f>
        <v/>
      </c>
      <c r="BF22" s="1">
        <f>BD22*Q22</f>
        <v/>
      </c>
      <c r="BG22" s="1">
        <f>BZ22+CA22</f>
        <v/>
      </c>
      <c r="BH22" s="1">
        <f>R22*J22*-1/G22</f>
        <v/>
      </c>
      <c r="BI22" s="1">
        <f>BG22*Q22</f>
        <v/>
      </c>
      <c r="BJ22" s="1">
        <f>SUM(BY22:CC22)</f>
        <v/>
      </c>
      <c r="BK22" s="1">
        <f>(Q22+R22)*-1*J22/G22</f>
        <v/>
      </c>
      <c r="BL22" s="1">
        <f>BJ22*Q22</f>
        <v/>
      </c>
      <c r="BM22" s="1">
        <f>BY22+BZ22+CA22+CC22</f>
        <v/>
      </c>
      <c r="BN22" s="1">
        <f>J22/G22*R22*-1</f>
        <v/>
      </c>
      <c r="BO22" s="1">
        <f>Q22*BM22</f>
        <v/>
      </c>
      <c r="BQ22" s="9" t="n">
        <v>3.14</v>
      </c>
      <c r="BR22" s="10" t="n">
        <v>0.2218110024</v>
      </c>
      <c r="BS22" s="9" t="n">
        <v>0.18104824</v>
      </c>
      <c r="BU22" s="10">
        <f>1/G22*BR22</f>
        <v/>
      </c>
      <c r="BV22" s="10">
        <f>H22/G22*BS22</f>
        <v/>
      </c>
      <c r="BW22" s="10">
        <f>BU22+BV22</f>
        <v/>
      </c>
      <c r="BY22" s="10">
        <f>BQ22</f>
        <v/>
      </c>
      <c r="BZ22" s="10">
        <f>I22/G22*BS22</f>
        <v/>
      </c>
      <c r="CA22" s="10">
        <f>K22/G22</f>
        <v/>
      </c>
      <c r="CB22" s="10">
        <f>J22/G22</f>
        <v/>
      </c>
      <c r="CC22" s="10">
        <f>BW22-SUM(BY22:CB22)</f>
        <v/>
      </c>
      <c r="CD22" s="10">
        <f>SUM(BY22:CC22)</f>
        <v/>
      </c>
    </row>
    <row r="23">
      <c r="B23" s="14" t="inlineStr">
        <is>
          <t>NW_TSC+CC90</t>
        </is>
      </c>
      <c r="C23" s="13" t="inlineStr">
        <is>
          <t>Ethane</t>
        </is>
      </c>
      <c r="D23" s="13" t="n">
        <v>0</v>
      </c>
      <c r="E23" s="13" t="n">
        <v>0</v>
      </c>
      <c r="F23" s="13" t="n">
        <v>0.008052966438000001</v>
      </c>
      <c r="G23" s="13" t="n">
        <v>0.05310189724</v>
      </c>
      <c r="H23" s="13" t="n">
        <v>0.02270169876</v>
      </c>
      <c r="I23" s="13" t="n">
        <v>0</v>
      </c>
      <c r="J23" s="13" t="n">
        <v>0.0241051226</v>
      </c>
      <c r="K23" s="13" t="n">
        <v>0.002678346955</v>
      </c>
      <c r="L23" s="13" t="n">
        <v>106875.1697</v>
      </c>
      <c r="M23" s="13" t="n">
        <v>58496.38728</v>
      </c>
      <c r="N23" s="13" t="n">
        <v>1.807224085</v>
      </c>
      <c r="O23" s="11">
        <f>CC23/0.22/14</f>
        <v/>
      </c>
      <c r="Q23" s="16" t="n">
        <v>99.913298</v>
      </c>
      <c r="R23" s="16" t="n">
        <v>-5.280129</v>
      </c>
      <c r="S23" s="16" t="n">
        <v>67.91567999999999</v>
      </c>
      <c r="T23" s="16" t="n">
        <v>44.074162</v>
      </c>
      <c r="U23" s="16" t="n">
        <v>42.063157</v>
      </c>
      <c r="V23" s="11" t="n">
        <v>21.9863533</v>
      </c>
      <c r="W23" s="17" t="n"/>
      <c r="X23" s="17" t="n"/>
      <c r="Y23" s="16" t="n">
        <v>19.074368</v>
      </c>
      <c r="Z23" s="16" t="n">
        <v>5.238745</v>
      </c>
      <c r="AA23" s="16" t="n"/>
      <c r="AB23" s="17" t="n"/>
      <c r="AC23" s="17" t="n"/>
      <c r="AD23" s="17" t="n"/>
      <c r="AE23" s="17" t="n"/>
      <c r="AF23" s="17" t="n"/>
      <c r="AG23" s="17" t="n"/>
      <c r="AH23" s="16" t="n">
        <v>-2.438704</v>
      </c>
      <c r="AI23" s="16" t="n">
        <v>-3.956322</v>
      </c>
      <c r="AJ23" s="16" t="n">
        <v>796.736008</v>
      </c>
      <c r="AK23" s="16" t="n">
        <v>0</v>
      </c>
      <c r="AM23" s="1">
        <f>B23</f>
        <v/>
      </c>
      <c r="AN23" s="1">
        <f>C23</f>
        <v/>
      </c>
      <c r="AO23" s="12">
        <f>SUM(AU23:BC23)+BE23+BF23</f>
        <v/>
      </c>
      <c r="AP23" s="12">
        <f>SUM(AU23:BC23)+BH23+BI23</f>
        <v/>
      </c>
      <c r="AQ23" s="5">
        <f>AO23-AP23</f>
        <v/>
      </c>
      <c r="AR23" s="12">
        <f>SUM(AU23:BC23)+BK23+BL23</f>
        <v/>
      </c>
      <c r="AS23" s="12">
        <f>SUM(AU23:BC23)+BN23+BO23</f>
        <v/>
      </c>
      <c r="AT23" s="5">
        <f>AR23-AS23</f>
        <v/>
      </c>
      <c r="AU23" s="5">
        <f>D23/G23*Z23</f>
        <v/>
      </c>
      <c r="AV23" s="1">
        <f>E23/G23*Z23*-1</f>
        <v/>
      </c>
      <c r="AW23" s="1">
        <f>F23/G23*Y23</f>
        <v/>
      </c>
      <c r="AX23" s="1">
        <f>1/G23*V23</f>
        <v/>
      </c>
      <c r="AY23" s="1">
        <f>H23/G23*AH23</f>
        <v/>
      </c>
      <c r="AZ23" s="1">
        <f>I23/G23*AH23*-1</f>
        <v/>
      </c>
      <c r="BA23" s="1">
        <f>L23/G23/(0.9*8760)</f>
        <v/>
      </c>
      <c r="BB23" s="1">
        <f>M23/G23/(0.9*8760)</f>
        <v/>
      </c>
      <c r="BC23" s="1">
        <f>N23/G23</f>
        <v/>
      </c>
      <c r="BD23" s="1">
        <f>BZ23+CA23+CB23</f>
        <v/>
      </c>
      <c r="BE23" s="1">
        <f>(Q23+R23)*-1*J23/G23</f>
        <v/>
      </c>
      <c r="BF23" s="1">
        <f>BD23*Q23</f>
        <v/>
      </c>
      <c r="BG23" s="1">
        <f>BZ23+CA23</f>
        <v/>
      </c>
      <c r="BH23" s="1">
        <f>R23*J23*-1/G23</f>
        <v/>
      </c>
      <c r="BI23" s="1">
        <f>BG23*Q23</f>
        <v/>
      </c>
      <c r="BJ23" s="1">
        <f>SUM(BY23:CC23)</f>
        <v/>
      </c>
      <c r="BK23" s="1">
        <f>(Q23+R23)*-1*J23/G23</f>
        <v/>
      </c>
      <c r="BL23" s="1">
        <f>BJ23*Q23</f>
        <v/>
      </c>
      <c r="BM23" s="1">
        <f>BY23+BZ23+CA23+CC23</f>
        <v/>
      </c>
      <c r="BN23" s="1">
        <f>J23/G23*R23*-1</f>
        <v/>
      </c>
      <c r="BO23" s="1">
        <f>Q23*BM23</f>
        <v/>
      </c>
      <c r="BQ23" s="9" t="n">
        <v>3.14</v>
      </c>
      <c r="BR23" s="10" t="n">
        <v>0.2218110024</v>
      </c>
      <c r="BS23" s="9" t="n">
        <v>0.18104824</v>
      </c>
      <c r="BU23" s="10">
        <f>1/G23*BR23</f>
        <v/>
      </c>
      <c r="BV23" s="10">
        <f>H23/G23*BS23</f>
        <v/>
      </c>
      <c r="BW23" s="10">
        <f>BU23+BV23</f>
        <v/>
      </c>
      <c r="BY23" s="10">
        <f>BQ23</f>
        <v/>
      </c>
      <c r="BZ23" s="10">
        <f>I23/G23*BS23</f>
        <v/>
      </c>
      <c r="CA23" s="10">
        <f>K23/G23</f>
        <v/>
      </c>
      <c r="CB23" s="10">
        <f>J23/G23</f>
        <v/>
      </c>
      <c r="CC23" s="10">
        <f>BW23-SUM(BY23:CB23)</f>
        <v/>
      </c>
      <c r="CD23" s="10">
        <f>SUM(BY23:CC23)</f>
        <v/>
      </c>
    </row>
    <row r="24">
      <c r="B24" s="14" t="inlineStr">
        <is>
          <t>NW_TSC:H2</t>
        </is>
      </c>
      <c r="C24" s="13" t="inlineStr">
        <is>
          <t>Ethane</t>
        </is>
      </c>
      <c r="D24" s="13" t="n">
        <v>0</v>
      </c>
      <c r="E24" s="13" t="n">
        <v>0.1598531434</v>
      </c>
      <c r="F24" s="13" t="n">
        <v>0</v>
      </c>
      <c r="G24" s="13" t="n">
        <v>0.05310189724</v>
      </c>
      <c r="H24" s="13" t="n">
        <v>0.1318322859</v>
      </c>
      <c r="I24" s="13" t="n">
        <v>0</v>
      </c>
      <c r="J24" s="13" t="n">
        <v>0</v>
      </c>
      <c r="K24" s="13" t="n">
        <v>0.04654137028</v>
      </c>
      <c r="L24" s="13" t="n">
        <v>99124.32016</v>
      </c>
      <c r="M24" s="13" t="n">
        <v>54251.99777</v>
      </c>
      <c r="N24" s="13" t="n">
        <v>1.676159756</v>
      </c>
      <c r="O24" s="11">
        <f>CC24/0.22/14</f>
        <v/>
      </c>
      <c r="Q24" s="16" t="n">
        <v>99.913298</v>
      </c>
      <c r="R24" s="16" t="n">
        <v>-5.280129</v>
      </c>
      <c r="S24" s="16" t="n">
        <v>67.91567999999999</v>
      </c>
      <c r="T24" s="16" t="n">
        <v>44.074162</v>
      </c>
      <c r="U24" s="16" t="n">
        <v>42.063157</v>
      </c>
      <c r="V24" s="11" t="n">
        <v>21.9863533</v>
      </c>
      <c r="W24" s="17" t="n"/>
      <c r="X24" s="17" t="n"/>
      <c r="Y24" s="16" t="n">
        <v>19.074368</v>
      </c>
      <c r="Z24" s="16" t="n">
        <v>5.238745</v>
      </c>
      <c r="AA24" s="16" t="n"/>
      <c r="AB24" s="17" t="n"/>
      <c r="AC24" s="17" t="n"/>
      <c r="AD24" s="17" t="n"/>
      <c r="AE24" s="17" t="n"/>
      <c r="AF24" s="17" t="n"/>
      <c r="AG24" s="17" t="n"/>
      <c r="AH24" s="16" t="n">
        <v>-2.438704</v>
      </c>
      <c r="AI24" s="16" t="n">
        <v>-3.956322</v>
      </c>
      <c r="AJ24" s="16" t="n">
        <v>796.736008</v>
      </c>
      <c r="AK24" s="16" t="n">
        <v>0</v>
      </c>
      <c r="AM24" s="1">
        <f>B24</f>
        <v/>
      </c>
      <c r="AN24" s="1">
        <f>C24</f>
        <v/>
      </c>
      <c r="AO24" s="12">
        <f>SUM(AU24:BC24)+BE24+BF24</f>
        <v/>
      </c>
      <c r="AP24" s="12">
        <f>SUM(AU24:BC24)+BH24+BI24</f>
        <v/>
      </c>
      <c r="AQ24" s="5">
        <f>AO24-AP24</f>
        <v/>
      </c>
      <c r="AR24" s="12">
        <f>SUM(AU24:BC24)+BK24+BL24</f>
        <v/>
      </c>
      <c r="AS24" s="12">
        <f>SUM(AU24:BC24)+BN24+BO24</f>
        <v/>
      </c>
      <c r="AT24" s="5">
        <f>AR24-AS24</f>
        <v/>
      </c>
      <c r="AU24" s="5">
        <f>D24/G24*Z24</f>
        <v/>
      </c>
      <c r="AV24" s="1">
        <f>E24/G24*Z24*-1</f>
        <v/>
      </c>
      <c r="AW24" s="1">
        <f>F24/G24*Y24</f>
        <v/>
      </c>
      <c r="AX24" s="1">
        <f>1/G24*V24</f>
        <v/>
      </c>
      <c r="AY24" s="1">
        <f>H24/G24*AH24</f>
        <v/>
      </c>
      <c r="AZ24" s="1">
        <f>I24/G24*AH24*-1</f>
        <v/>
      </c>
      <c r="BA24" s="1">
        <f>L24/G24/(0.9*8760)</f>
        <v/>
      </c>
      <c r="BB24" s="1">
        <f>M24/G24/(0.9*8760)</f>
        <v/>
      </c>
      <c r="BC24" s="1">
        <f>N24/G24</f>
        <v/>
      </c>
      <c r="BD24" s="1">
        <f>BZ24+CA24+CB24</f>
        <v/>
      </c>
      <c r="BE24" s="1">
        <f>(Q24+R24)*-1*J24/G24</f>
        <v/>
      </c>
      <c r="BF24" s="1">
        <f>BD24*Q24</f>
        <v/>
      </c>
      <c r="BG24" s="1">
        <f>BZ24+CA24</f>
        <v/>
      </c>
      <c r="BH24" s="1">
        <f>R24*J24*-1/G24</f>
        <v/>
      </c>
      <c r="BI24" s="1">
        <f>BG24*Q24</f>
        <v/>
      </c>
      <c r="BJ24" s="1">
        <f>SUM(BY24:CC24)</f>
        <v/>
      </c>
      <c r="BK24" s="1">
        <f>(Q24+R24)*-1*J24/G24</f>
        <v/>
      </c>
      <c r="BL24" s="1">
        <f>BJ24*Q24</f>
        <v/>
      </c>
      <c r="BM24" s="1">
        <f>BY24+BZ24+CA24+CC24</f>
        <v/>
      </c>
      <c r="BN24" s="1">
        <f>J24/G24*R24*-1</f>
        <v/>
      </c>
      <c r="BO24" s="1">
        <f>Q24*BM24</f>
        <v/>
      </c>
      <c r="BQ24" s="9" t="n">
        <v>3.14</v>
      </c>
      <c r="BR24" s="10" t="n">
        <v>0.2218110024</v>
      </c>
      <c r="BS24" s="9" t="n">
        <v>0.18104824</v>
      </c>
      <c r="BU24" s="10">
        <f>1/G24*BR24</f>
        <v/>
      </c>
      <c r="BV24" s="10">
        <f>H24/G24*BS24</f>
        <v/>
      </c>
      <c r="BW24" s="10">
        <f>BU24+BV24</f>
        <v/>
      </c>
      <c r="BY24" s="10">
        <f>BQ24</f>
        <v/>
      </c>
      <c r="BZ24" s="10">
        <f>I24/G24*BS24</f>
        <v/>
      </c>
      <c r="CA24" s="10">
        <f>K24/G24</f>
        <v/>
      </c>
      <c r="CB24" s="10">
        <f>J24/G24</f>
        <v/>
      </c>
      <c r="CC24" s="10">
        <f>BW24-SUM(BY24:CB24)</f>
        <v/>
      </c>
      <c r="CD24" s="10">
        <f>SUM(BY24:CC24)</f>
        <v/>
      </c>
    </row>
    <row r="25">
      <c r="B25" s="14" t="inlineStr">
        <is>
          <t>NW_TSC+CC90:H2</t>
        </is>
      </c>
      <c r="C25" s="13" t="inlineStr">
        <is>
          <t>Ethane</t>
        </is>
      </c>
      <c r="D25" s="13" t="n">
        <v>0</v>
      </c>
      <c r="E25" s="13" t="n">
        <v>0.1598531434</v>
      </c>
      <c r="F25" s="13" t="n">
        <v>0.009388736698</v>
      </c>
      <c r="G25" s="13" t="n">
        <v>0.05310189724</v>
      </c>
      <c r="H25" s="13" t="n">
        <v>0.1318322859</v>
      </c>
      <c r="I25" s="13" t="n">
        <v>0</v>
      </c>
      <c r="J25" s="13" t="n">
        <v>0.04188723326</v>
      </c>
      <c r="K25" s="13" t="n">
        <v>0.004654137028</v>
      </c>
      <c r="L25" s="13" t="n">
        <v>106900.9741</v>
      </c>
      <c r="M25" s="13" t="n">
        <v>58510.18581</v>
      </c>
      <c r="N25" s="13" t="n">
        <v>1.807660423</v>
      </c>
      <c r="O25" s="11">
        <f>CC25/0.22/14</f>
        <v/>
      </c>
      <c r="Q25" s="16" t="n">
        <v>99.913298</v>
      </c>
      <c r="R25" s="16" t="n">
        <v>-5.280129</v>
      </c>
      <c r="S25" s="16" t="n">
        <v>67.91567999999999</v>
      </c>
      <c r="T25" s="16" t="n">
        <v>44.074162</v>
      </c>
      <c r="U25" s="16" t="n">
        <v>42.063157</v>
      </c>
      <c r="V25" s="11" t="n">
        <v>21.9863533</v>
      </c>
      <c r="W25" s="17" t="n"/>
      <c r="X25" s="17" t="n"/>
      <c r="Y25" s="16" t="n">
        <v>19.074368</v>
      </c>
      <c r="Z25" s="16" t="n">
        <v>5.238745</v>
      </c>
      <c r="AA25" s="16" t="n"/>
      <c r="AB25" s="17" t="n"/>
      <c r="AC25" s="17" t="n"/>
      <c r="AD25" s="17" t="n"/>
      <c r="AE25" s="17" t="n"/>
      <c r="AF25" s="17" t="n"/>
      <c r="AG25" s="17" t="n"/>
      <c r="AH25" s="16" t="n">
        <v>-2.438704</v>
      </c>
      <c r="AI25" s="16" t="n">
        <v>-3.956322</v>
      </c>
      <c r="AJ25" s="16" t="n">
        <v>796.736008</v>
      </c>
      <c r="AK25" s="16" t="n">
        <v>0</v>
      </c>
      <c r="AM25" s="1">
        <f>B25</f>
        <v/>
      </c>
      <c r="AN25" s="1">
        <f>C25</f>
        <v/>
      </c>
      <c r="AO25" s="12">
        <f>SUM(AU25:BC25)+BE25+BF25</f>
        <v/>
      </c>
      <c r="AP25" s="12">
        <f>SUM(AU25:BC25)+BH25+BI25</f>
        <v/>
      </c>
      <c r="AQ25" s="5">
        <f>AO25-AP25</f>
        <v/>
      </c>
      <c r="AR25" s="12">
        <f>SUM(AU25:BC25)+BK25+BL25</f>
        <v/>
      </c>
      <c r="AS25" s="12">
        <f>SUM(AU25:BC25)+BN25+BO25</f>
        <v/>
      </c>
      <c r="AT25" s="5">
        <f>AR25-AS25</f>
        <v/>
      </c>
      <c r="AU25" s="5">
        <f>D25/G25*Z25</f>
        <v/>
      </c>
      <c r="AV25" s="1">
        <f>E25/G25*Z25*-1</f>
        <v/>
      </c>
      <c r="AW25" s="1">
        <f>F25/G25*Y25</f>
        <v/>
      </c>
      <c r="AX25" s="1">
        <f>1/G25*V25</f>
        <v/>
      </c>
      <c r="AY25" s="1">
        <f>H25/G25*AH25</f>
        <v/>
      </c>
      <c r="AZ25" s="1">
        <f>I25/G25*AH25*-1</f>
        <v/>
      </c>
      <c r="BA25" s="1">
        <f>L25/G25/(0.9*8760)</f>
        <v/>
      </c>
      <c r="BB25" s="1">
        <f>M25/G25/(0.9*8760)</f>
        <v/>
      </c>
      <c r="BC25" s="1">
        <f>N25/G25</f>
        <v/>
      </c>
      <c r="BD25" s="1">
        <f>BZ25+CA25+CB25</f>
        <v/>
      </c>
      <c r="BE25" s="1">
        <f>(Q25+R25)*-1*J25/G25</f>
        <v/>
      </c>
      <c r="BF25" s="1">
        <f>BD25*Q25</f>
        <v/>
      </c>
      <c r="BG25" s="1">
        <f>BZ25+CA25</f>
        <v/>
      </c>
      <c r="BH25" s="1">
        <f>R25*J25*-1/G25</f>
        <v/>
      </c>
      <c r="BI25" s="1">
        <f>BG25*Q25</f>
        <v/>
      </c>
      <c r="BJ25" s="1">
        <f>SUM(BY25:CC25)</f>
        <v/>
      </c>
      <c r="BK25" s="1">
        <f>(Q25+R25)*-1*J25/G25</f>
        <v/>
      </c>
      <c r="BL25" s="1">
        <f>BJ25*Q25</f>
        <v/>
      </c>
      <c r="BM25" s="1">
        <f>BY25+BZ25+CA25+CC25</f>
        <v/>
      </c>
      <c r="BN25" s="1">
        <f>J25/G25*R25*-1</f>
        <v/>
      </c>
      <c r="BO25" s="1">
        <f>Q25*BM25</f>
        <v/>
      </c>
      <c r="BQ25" s="9" t="n">
        <v>3.14</v>
      </c>
      <c r="BR25" s="10" t="n">
        <v>0.2218110024</v>
      </c>
      <c r="BS25" s="9" t="n">
        <v>0.18104824</v>
      </c>
      <c r="BU25" s="10">
        <f>1/G25*BR25</f>
        <v/>
      </c>
      <c r="BV25" s="10">
        <f>H25/G25*BS25</f>
        <v/>
      </c>
      <c r="BW25" s="10">
        <f>BU25+BV25</f>
        <v/>
      </c>
      <c r="BY25" s="10">
        <f>BQ25</f>
        <v/>
      </c>
      <c r="BZ25" s="10">
        <f>I25/G25*BS25</f>
        <v/>
      </c>
      <c r="CA25" s="10">
        <f>K25/G25</f>
        <v/>
      </c>
      <c r="CB25" s="10">
        <f>J25/G25</f>
        <v/>
      </c>
      <c r="CC25" s="10">
        <f>BW25-SUM(BY25:CB25)</f>
        <v/>
      </c>
      <c r="CD25" s="10">
        <f>SUM(BY25:CC25)</f>
        <v/>
      </c>
    </row>
    <row r="26">
      <c r="B26" s="14" t="inlineStr">
        <is>
          <t>NW_TSC+H2in</t>
        </is>
      </c>
      <c r="C26" s="13" t="inlineStr">
        <is>
          <t>Ethane</t>
        </is>
      </c>
      <c r="D26" s="13" t="n">
        <v>0.02226644157</v>
      </c>
      <c r="E26" s="13" t="n">
        <v>0</v>
      </c>
      <c r="F26" s="13" t="n">
        <v>0</v>
      </c>
      <c r="G26" s="13" t="n">
        <v>0.05310189724</v>
      </c>
      <c r="H26" s="13" t="n">
        <v>0</v>
      </c>
      <c r="I26" s="13" t="n">
        <v>0</v>
      </c>
      <c r="J26" s="13" t="n">
        <v>0</v>
      </c>
      <c r="K26" s="13" t="n">
        <v>0.02267336695</v>
      </c>
      <c r="L26" s="13" t="n">
        <v>99124.32016</v>
      </c>
      <c r="M26" s="13" t="n">
        <v>54251.99777</v>
      </c>
      <c r="N26" s="13" t="n">
        <v>1.676159756</v>
      </c>
      <c r="O26" s="11">
        <f>CC26/0.22/14</f>
        <v/>
      </c>
      <c r="Q26" s="16" t="n">
        <v>99.913298</v>
      </c>
      <c r="R26" s="16" t="n">
        <v>-5.280129</v>
      </c>
      <c r="S26" s="16" t="n">
        <v>67.91567999999999</v>
      </c>
      <c r="T26" s="16" t="n">
        <v>44.074162</v>
      </c>
      <c r="U26" s="16" t="n">
        <v>42.063157</v>
      </c>
      <c r="V26" s="11" t="n">
        <v>21.9863533</v>
      </c>
      <c r="W26" s="17" t="n"/>
      <c r="X26" s="17" t="n"/>
      <c r="Y26" s="16" t="n">
        <v>19.074368</v>
      </c>
      <c r="Z26" s="16" t="n">
        <v>5.238745</v>
      </c>
      <c r="AA26" s="16" t="n"/>
      <c r="AB26" s="17" t="n"/>
      <c r="AC26" s="17" t="n"/>
      <c r="AD26" s="17" t="n"/>
      <c r="AE26" s="17" t="n"/>
      <c r="AF26" s="17" t="n"/>
      <c r="AG26" s="17" t="n"/>
      <c r="AH26" s="16" t="n">
        <v>-2.438704</v>
      </c>
      <c r="AI26" s="16" t="n">
        <v>-3.956322</v>
      </c>
      <c r="AJ26" s="16" t="n">
        <v>796.736008</v>
      </c>
      <c r="AK26" s="16" t="n">
        <v>0</v>
      </c>
      <c r="AM26" s="1">
        <f>B26</f>
        <v/>
      </c>
      <c r="AN26" s="1">
        <f>C26</f>
        <v/>
      </c>
      <c r="AO26" s="12">
        <f>SUM(AU26:BC26)+BE26+BF26</f>
        <v/>
      </c>
      <c r="AP26" s="12">
        <f>SUM(AU26:BC26)+BH26+BI26</f>
        <v/>
      </c>
      <c r="AQ26" s="5">
        <f>AO26-AP26</f>
        <v/>
      </c>
      <c r="AR26" s="12">
        <f>SUM(AU26:BC26)+BK26+BL26</f>
        <v/>
      </c>
      <c r="AS26" s="12">
        <f>SUM(AU26:BC26)+BN26+BO26</f>
        <v/>
      </c>
      <c r="AT26" s="5">
        <f>AR26-AS26</f>
        <v/>
      </c>
      <c r="AU26" s="5">
        <f>D26/G26*Z26</f>
        <v/>
      </c>
      <c r="AV26" s="1">
        <f>E26/G26*Z26*-1</f>
        <v/>
      </c>
      <c r="AW26" s="1">
        <f>F26/G26*Y26</f>
        <v/>
      </c>
      <c r="AX26" s="1">
        <f>1/G26*V26</f>
        <v/>
      </c>
      <c r="AY26" s="1">
        <f>H26/G26*AH26</f>
        <v/>
      </c>
      <c r="AZ26" s="1">
        <f>I26/G26*AH26*-1</f>
        <v/>
      </c>
      <c r="BA26" s="1">
        <f>L26/G26/(0.9*8760)</f>
        <v/>
      </c>
      <c r="BB26" s="1">
        <f>M26/G26/(0.9*8760)</f>
        <v/>
      </c>
      <c r="BC26" s="1">
        <f>N26/G26</f>
        <v/>
      </c>
      <c r="BD26" s="1">
        <f>BZ26+CA26+CB26</f>
        <v/>
      </c>
      <c r="BE26" s="1">
        <f>(Q26+R26)*-1*J26/G26</f>
        <v/>
      </c>
      <c r="BF26" s="1">
        <f>BD26*Q26</f>
        <v/>
      </c>
      <c r="BG26" s="1">
        <f>BZ26+CA26</f>
        <v/>
      </c>
      <c r="BH26" s="1">
        <f>R26*J26*-1/G26</f>
        <v/>
      </c>
      <c r="BI26" s="1">
        <f>BG26*Q26</f>
        <v/>
      </c>
      <c r="BJ26" s="1">
        <f>SUM(BY26:CC26)</f>
        <v/>
      </c>
      <c r="BK26" s="1">
        <f>(Q26+R26)*-1*J26/G26</f>
        <v/>
      </c>
      <c r="BL26" s="1">
        <f>BJ26*Q26</f>
        <v/>
      </c>
      <c r="BM26" s="1">
        <f>BY26+BZ26+CA26+CC26</f>
        <v/>
      </c>
      <c r="BN26" s="1">
        <f>J26/G26*R26*-1</f>
        <v/>
      </c>
      <c r="BO26" s="1">
        <f>Q26*BM26</f>
        <v/>
      </c>
      <c r="BQ26" s="9" t="n">
        <v>3.14</v>
      </c>
      <c r="BR26" s="10" t="n">
        <v>0.2218110024</v>
      </c>
      <c r="BS26" s="9" t="n">
        <v>0.18104824</v>
      </c>
      <c r="BU26" s="10">
        <f>1/G26*BR26</f>
        <v/>
      </c>
      <c r="BV26" s="10">
        <f>H26/G26*BS26</f>
        <v/>
      </c>
      <c r="BW26" s="10">
        <f>BU26+BV26</f>
        <v/>
      </c>
      <c r="BY26" s="10">
        <f>BQ26</f>
        <v/>
      </c>
      <c r="BZ26" s="10">
        <f>I26/G26*BS26</f>
        <v/>
      </c>
      <c r="CA26" s="10">
        <f>K26/G26</f>
        <v/>
      </c>
      <c r="CB26" s="10">
        <f>J26/G26</f>
        <v/>
      </c>
      <c r="CC26" s="10">
        <f>BW26-SUM(BY26:CB26)</f>
        <v/>
      </c>
      <c r="CD26" s="10">
        <f>SUM(BY26:CC26)</f>
        <v/>
      </c>
    </row>
    <row r="27">
      <c r="B27" s="14" t="inlineStr">
        <is>
          <t>NW_TSC+H2in:CH4</t>
        </is>
      </c>
      <c r="C27" s="13" t="inlineStr">
        <is>
          <t>Ethane</t>
        </is>
      </c>
      <c r="D27" s="13" t="n">
        <v>0.1375867019</v>
      </c>
      <c r="E27" s="13" t="n">
        <v>0</v>
      </c>
      <c r="F27" s="13" t="n">
        <v>0</v>
      </c>
      <c r="G27" s="13" t="n">
        <v>0.05310189724</v>
      </c>
      <c r="H27" s="13" t="n">
        <v>0</v>
      </c>
      <c r="I27" s="13" t="n">
        <v>0.1181424966</v>
      </c>
      <c r="J27" s="13" t="n">
        <v>0</v>
      </c>
      <c r="K27" s="13" t="n">
        <v>0.001283875878</v>
      </c>
      <c r="L27" s="13" t="n">
        <v>99124.32016</v>
      </c>
      <c r="M27" s="13" t="n">
        <v>54251.99777</v>
      </c>
      <c r="N27" s="13" t="n">
        <v>1.676159756</v>
      </c>
      <c r="O27" s="11">
        <f>CC27/0.22/14</f>
        <v/>
      </c>
      <c r="Q27" s="16" t="n">
        <v>99.913298</v>
      </c>
      <c r="R27" s="16" t="n">
        <v>-5.280129</v>
      </c>
      <c r="S27" s="16" t="n">
        <v>67.91567999999999</v>
      </c>
      <c r="T27" s="16" t="n">
        <v>44.074162</v>
      </c>
      <c r="U27" s="16" t="n">
        <v>42.063157</v>
      </c>
      <c r="V27" s="11" t="n">
        <v>21.9863533</v>
      </c>
      <c r="W27" s="17" t="n"/>
      <c r="X27" s="17" t="n"/>
      <c r="Y27" s="16" t="n">
        <v>19.074368</v>
      </c>
      <c r="Z27" s="16" t="n">
        <v>5.238745</v>
      </c>
      <c r="AA27" s="16" t="n"/>
      <c r="AB27" s="17" t="n"/>
      <c r="AC27" s="17" t="n"/>
      <c r="AD27" s="17" t="n"/>
      <c r="AE27" s="17" t="n"/>
      <c r="AF27" s="17" t="n"/>
      <c r="AG27" s="17" t="n"/>
      <c r="AH27" s="16" t="n">
        <v>-2.438704</v>
      </c>
      <c r="AI27" s="16" t="n">
        <v>-3.956322</v>
      </c>
      <c r="AJ27" s="16" t="n">
        <v>796.736008</v>
      </c>
      <c r="AK27" s="16" t="n">
        <v>0</v>
      </c>
      <c r="AM27" s="1">
        <f>B27</f>
        <v/>
      </c>
      <c r="AN27" s="1">
        <f>C27</f>
        <v/>
      </c>
      <c r="AO27" s="12">
        <f>SUM(AU27:BC27)+BE27+BF27</f>
        <v/>
      </c>
      <c r="AP27" s="12">
        <f>SUM(AU27:BC27)+BH27+BI27</f>
        <v/>
      </c>
      <c r="AQ27" s="5">
        <f>AO27-AP27</f>
        <v/>
      </c>
      <c r="AR27" s="12">
        <f>SUM(AU27:BC27)+BK27+BL27</f>
        <v/>
      </c>
      <c r="AS27" s="12">
        <f>SUM(AU27:BC27)+BN27+BO27</f>
        <v/>
      </c>
      <c r="AT27" s="5">
        <f>AR27-AS27</f>
        <v/>
      </c>
      <c r="AU27" s="5">
        <f>D27/G27*Z27</f>
        <v/>
      </c>
      <c r="AV27" s="1">
        <f>E27/G27*Z27*-1</f>
        <v/>
      </c>
      <c r="AW27" s="1">
        <f>F27/G27*Y27</f>
        <v/>
      </c>
      <c r="AX27" s="1">
        <f>1/G27*V27</f>
        <v/>
      </c>
      <c r="AY27" s="1">
        <f>H27/G27*AH27</f>
        <v/>
      </c>
      <c r="AZ27" s="1">
        <f>I27/G27*AH27*-1</f>
        <v/>
      </c>
      <c r="BA27" s="1">
        <f>L27/G27/(0.9*8760)</f>
        <v/>
      </c>
      <c r="BB27" s="1">
        <f>M27/G27/(0.9*8760)</f>
        <v/>
      </c>
      <c r="BC27" s="1">
        <f>N27/G27</f>
        <v/>
      </c>
      <c r="BD27" s="1">
        <f>BZ27+CA27+CB27</f>
        <v/>
      </c>
      <c r="BE27" s="1">
        <f>(Q27+R27)*-1*J27/G27</f>
        <v/>
      </c>
      <c r="BF27" s="1">
        <f>BD27*Q27</f>
        <v/>
      </c>
      <c r="BG27" s="1">
        <f>BZ27+CA27</f>
        <v/>
      </c>
      <c r="BH27" s="1">
        <f>R27*J27*-1/G27</f>
        <v/>
      </c>
      <c r="BI27" s="1">
        <f>BG27*Q27</f>
        <v/>
      </c>
      <c r="BJ27" s="1">
        <f>SUM(BY27:CC27)</f>
        <v/>
      </c>
      <c r="BK27" s="1">
        <f>(Q27+R27)*-1*J27/G27</f>
        <v/>
      </c>
      <c r="BL27" s="1">
        <f>BJ27*Q27</f>
        <v/>
      </c>
      <c r="BM27" s="1">
        <f>BY27+BZ27+CA27+CC27</f>
        <v/>
      </c>
      <c r="BN27" s="1">
        <f>J27/G27*R27*-1</f>
        <v/>
      </c>
      <c r="BO27" s="1">
        <f>Q27*BM27</f>
        <v/>
      </c>
      <c r="BQ27" s="9" t="n">
        <v>3.14</v>
      </c>
      <c r="BR27" s="10" t="n">
        <v>0.2218110024</v>
      </c>
      <c r="BS27" s="9" t="n">
        <v>0.18104824</v>
      </c>
      <c r="BU27" s="10">
        <f>1/G27*BR27</f>
        <v/>
      </c>
      <c r="BV27" s="10">
        <f>H27/G27*BS27</f>
        <v/>
      </c>
      <c r="BW27" s="10">
        <f>BU27+BV27</f>
        <v/>
      </c>
      <c r="BY27" s="10">
        <f>BQ27</f>
        <v/>
      </c>
      <c r="BZ27" s="10">
        <f>I27/G27*BS27</f>
        <v/>
      </c>
      <c r="CA27" s="10">
        <f>K27/G27</f>
        <v/>
      </c>
      <c r="CB27" s="10">
        <f>J27/G27</f>
        <v/>
      </c>
      <c r="CC27" s="10">
        <f>BW27-SUM(BY27:CB27)</f>
        <v/>
      </c>
      <c r="CD27" s="10">
        <f>SUM(BY27:CC27)</f>
        <v/>
      </c>
    </row>
    <row r="28">
      <c r="B28" s="14" t="inlineStr">
        <is>
          <t>TX_TSC+CC90</t>
        </is>
      </c>
      <c r="C28" s="13" t="inlineStr">
        <is>
          <t>Ethane</t>
        </is>
      </c>
      <c r="D28" s="13" t="n">
        <v>0</v>
      </c>
      <c r="E28" s="13" t="n">
        <v>0</v>
      </c>
      <c r="F28" s="13" t="n">
        <v>0.008052966438000001</v>
      </c>
      <c r="G28" s="13" t="n">
        <v>0.05310189724</v>
      </c>
      <c r="H28" s="13" t="n">
        <v>0.02270169876</v>
      </c>
      <c r="I28" s="13" t="n">
        <v>0</v>
      </c>
      <c r="J28" s="13" t="n">
        <v>0.0241051226</v>
      </c>
      <c r="K28" s="13" t="n">
        <v>0.002678346955</v>
      </c>
      <c r="L28" s="13" t="n">
        <v>106875.1697</v>
      </c>
      <c r="M28" s="13" t="n">
        <v>58496.38728</v>
      </c>
      <c r="N28" s="13" t="n">
        <v>1.807224085</v>
      </c>
      <c r="O28" s="11">
        <f>CC28/0.22/14</f>
        <v/>
      </c>
      <c r="Q28" s="16" t="n">
        <v>99.913298</v>
      </c>
      <c r="R28" s="16" t="n">
        <v>-4.998843</v>
      </c>
      <c r="S28" s="16" t="n">
        <v>65.086749</v>
      </c>
      <c r="T28" s="16" t="n">
        <v>44.879451</v>
      </c>
      <c r="U28" s="16" t="n">
        <v>38.220582</v>
      </c>
      <c r="V28" s="11" t="n">
        <v>21.9863533</v>
      </c>
      <c r="W28" s="17" t="n"/>
      <c r="X28" s="17" t="n"/>
      <c r="Y28" s="16" t="n">
        <v>20.95841</v>
      </c>
      <c r="Z28" s="16" t="n">
        <v>6.059849</v>
      </c>
      <c r="AA28" s="16" t="n"/>
      <c r="AB28" s="17" t="n"/>
      <c r="AC28" s="17" t="n"/>
      <c r="AD28" s="17" t="n"/>
      <c r="AE28" s="17" t="n"/>
      <c r="AF28" s="17" t="n"/>
      <c r="AG28" s="17" t="n"/>
      <c r="AH28" s="16" t="n">
        <v>-1.481188</v>
      </c>
      <c r="AI28" s="16" t="n">
        <v>-3.21388</v>
      </c>
      <c r="AJ28" s="16" t="n">
        <v>796.736008</v>
      </c>
      <c r="AK28" s="16" t="n">
        <v>796.736008</v>
      </c>
      <c r="AM28" s="1">
        <f>B28</f>
        <v/>
      </c>
      <c r="AN28" s="1">
        <f>C28</f>
        <v/>
      </c>
      <c r="AO28" s="12">
        <f>SUM(AU28:BC28)+BE28+BF28</f>
        <v/>
      </c>
      <c r="AP28" s="12">
        <f>SUM(AU28:BC28)+BH28+BI28</f>
        <v/>
      </c>
      <c r="AQ28" s="5">
        <f>AO28-AP28</f>
        <v/>
      </c>
      <c r="AR28" s="12">
        <f>SUM(AU28:BC28)+BK28+BL28</f>
        <v/>
      </c>
      <c r="AS28" s="12">
        <f>SUM(AU28:BC28)+BN28+BO28</f>
        <v/>
      </c>
      <c r="AT28" s="5">
        <f>AR28-AS28</f>
        <v/>
      </c>
      <c r="AU28" s="5">
        <f>D28/G28*Z28</f>
        <v/>
      </c>
      <c r="AV28" s="1">
        <f>E28/G28*Z28*-1</f>
        <v/>
      </c>
      <c r="AW28" s="1">
        <f>F28/G28*Y28</f>
        <v/>
      </c>
      <c r="AX28" s="1">
        <f>1/G28*V28</f>
        <v/>
      </c>
      <c r="AY28" s="1">
        <f>H28/G28*AH28</f>
        <v/>
      </c>
      <c r="AZ28" s="1">
        <f>I28/G28*AH28*-1</f>
        <v/>
      </c>
      <c r="BA28" s="1">
        <f>L28/G28/(0.9*8760)</f>
        <v/>
      </c>
      <c r="BB28" s="1">
        <f>M28/G28/(0.9*8760)</f>
        <v/>
      </c>
      <c r="BC28" s="1">
        <f>N28/G28</f>
        <v/>
      </c>
      <c r="BD28" s="1">
        <f>BZ28+CA28+CB28</f>
        <v/>
      </c>
      <c r="BE28" s="1">
        <f>(Q28+R28)*-1*J28/G28</f>
        <v/>
      </c>
      <c r="BF28" s="1">
        <f>BD28*Q28</f>
        <v/>
      </c>
      <c r="BG28" s="1">
        <f>BZ28+CA28</f>
        <v/>
      </c>
      <c r="BH28" s="1">
        <f>R28*J28*-1/G28</f>
        <v/>
      </c>
      <c r="BI28" s="1">
        <f>BG28*Q28</f>
        <v/>
      </c>
      <c r="BJ28" s="1">
        <f>SUM(BY28:CC28)</f>
        <v/>
      </c>
      <c r="BK28" s="1">
        <f>(Q28+R28)*-1*J28/G28</f>
        <v/>
      </c>
      <c r="BL28" s="1">
        <f>BJ28*Q28</f>
        <v/>
      </c>
      <c r="BM28" s="1">
        <f>BY28+BZ28+CA28+CC28</f>
        <v/>
      </c>
      <c r="BN28" s="1">
        <f>J28/G28*R28*-1</f>
        <v/>
      </c>
      <c r="BO28" s="1">
        <f>Q28*BM28</f>
        <v/>
      </c>
      <c r="BQ28" s="9" t="n">
        <v>3.14</v>
      </c>
      <c r="BR28" s="10" t="n">
        <v>0.2218110024</v>
      </c>
      <c r="BS28" s="9" t="n">
        <v>0.18104824</v>
      </c>
      <c r="BU28" s="10">
        <f>1/G28*BR28</f>
        <v/>
      </c>
      <c r="BV28" s="10">
        <f>H28/G28*BS28</f>
        <v/>
      </c>
      <c r="BW28" s="10">
        <f>BU28+BV28</f>
        <v/>
      </c>
      <c r="BY28" s="10">
        <f>BQ28</f>
        <v/>
      </c>
      <c r="BZ28" s="10">
        <f>I28/G28*BS28</f>
        <v/>
      </c>
      <c r="CA28" s="10">
        <f>K28/G28</f>
        <v/>
      </c>
      <c r="CB28" s="10">
        <f>J28/G28</f>
        <v/>
      </c>
      <c r="CC28" s="10">
        <f>BW28-SUM(BY28:CB28)</f>
        <v/>
      </c>
      <c r="CD28" s="10">
        <f>SUM(BY28:CC28)</f>
        <v/>
      </c>
    </row>
    <row r="29">
      <c r="B29" s="14" t="inlineStr">
        <is>
          <t>TX_TSC:H2</t>
        </is>
      </c>
      <c r="C29" s="13" t="inlineStr">
        <is>
          <t>Ethane</t>
        </is>
      </c>
      <c r="D29" s="13" t="n">
        <v>0</v>
      </c>
      <c r="E29" s="13" t="n">
        <v>0.1598531434</v>
      </c>
      <c r="F29" s="13" t="n">
        <v>0</v>
      </c>
      <c r="G29" s="13" t="n">
        <v>0.05310189724</v>
      </c>
      <c r="H29" s="13" t="n">
        <v>0.1318322859</v>
      </c>
      <c r="I29" s="13" t="n">
        <v>0</v>
      </c>
      <c r="J29" s="13" t="n">
        <v>0</v>
      </c>
      <c r="K29" s="13" t="n">
        <v>0.04654137028</v>
      </c>
      <c r="L29" s="13" t="n">
        <v>99124.32016</v>
      </c>
      <c r="M29" s="13" t="n">
        <v>54251.99777</v>
      </c>
      <c r="N29" s="13" t="n">
        <v>1.676159756</v>
      </c>
      <c r="O29" s="11">
        <f>CC29/0.22/14</f>
        <v/>
      </c>
      <c r="Q29" s="16" t="n">
        <v>99.913298</v>
      </c>
      <c r="R29" s="16" t="n">
        <v>-4.998843</v>
      </c>
      <c r="S29" s="16" t="n">
        <v>65.086749</v>
      </c>
      <c r="T29" s="16" t="n">
        <v>44.879451</v>
      </c>
      <c r="U29" s="16" t="n">
        <v>38.220582</v>
      </c>
      <c r="V29" s="11" t="n">
        <v>21.9863533</v>
      </c>
      <c r="W29" s="17" t="n"/>
      <c r="X29" s="17" t="n"/>
      <c r="Y29" s="16" t="n">
        <v>20.95841</v>
      </c>
      <c r="Z29" s="16" t="n">
        <v>6.059849</v>
      </c>
      <c r="AA29" s="16" t="n"/>
      <c r="AB29" s="17" t="n"/>
      <c r="AC29" s="17" t="n"/>
      <c r="AD29" s="17" t="n"/>
      <c r="AE29" s="17" t="n"/>
      <c r="AF29" s="17" t="n"/>
      <c r="AG29" s="17" t="n"/>
      <c r="AH29" s="16" t="n">
        <v>-1.481188</v>
      </c>
      <c r="AI29" s="16" t="n">
        <v>-3.21388</v>
      </c>
      <c r="AJ29" s="16" t="n">
        <v>796.736008</v>
      </c>
      <c r="AK29" s="16" t="n">
        <v>796.736008</v>
      </c>
      <c r="AM29" s="1">
        <f>B29</f>
        <v/>
      </c>
      <c r="AN29" s="1">
        <f>C29</f>
        <v/>
      </c>
      <c r="AO29" s="12">
        <f>SUM(AU29:BC29)+BE29+BF29</f>
        <v/>
      </c>
      <c r="AP29" s="12">
        <f>SUM(AU29:BC29)+BH29+BI29</f>
        <v/>
      </c>
      <c r="AQ29" s="5">
        <f>AO29-AP29</f>
        <v/>
      </c>
      <c r="AR29" s="12">
        <f>SUM(AU29:BC29)+BK29+BL29</f>
        <v/>
      </c>
      <c r="AS29" s="12">
        <f>SUM(AU29:BC29)+BN29+BO29</f>
        <v/>
      </c>
      <c r="AT29" s="5">
        <f>AR29-AS29</f>
        <v/>
      </c>
      <c r="AU29" s="5">
        <f>D29/G29*Z29</f>
        <v/>
      </c>
      <c r="AV29" s="1">
        <f>E29/G29*Z29*-1</f>
        <v/>
      </c>
      <c r="AW29" s="1">
        <f>F29/G29*Y29</f>
        <v/>
      </c>
      <c r="AX29" s="1">
        <f>1/G29*V29</f>
        <v/>
      </c>
      <c r="AY29" s="1">
        <f>H29/G29*AH29</f>
        <v/>
      </c>
      <c r="AZ29" s="1">
        <f>I29/G29*AH29*-1</f>
        <v/>
      </c>
      <c r="BA29" s="1">
        <f>L29/G29/(0.9*8760)</f>
        <v/>
      </c>
      <c r="BB29" s="1">
        <f>M29/G29/(0.9*8760)</f>
        <v/>
      </c>
      <c r="BC29" s="1">
        <f>N29/G29</f>
        <v/>
      </c>
      <c r="BD29" s="1">
        <f>BZ29+CA29+CB29</f>
        <v/>
      </c>
      <c r="BE29" s="1">
        <f>(Q29+R29)*-1*J29/G29</f>
        <v/>
      </c>
      <c r="BF29" s="1">
        <f>BD29*Q29</f>
        <v/>
      </c>
      <c r="BG29" s="1">
        <f>BZ29+CA29</f>
        <v/>
      </c>
      <c r="BH29" s="1">
        <f>R29*J29*-1/G29</f>
        <v/>
      </c>
      <c r="BI29" s="1">
        <f>BG29*Q29</f>
        <v/>
      </c>
      <c r="BJ29" s="1">
        <f>SUM(BY29:CC29)</f>
        <v/>
      </c>
      <c r="BK29" s="1">
        <f>(Q29+R29)*-1*J29/G29</f>
        <v/>
      </c>
      <c r="BL29" s="1">
        <f>BJ29*Q29</f>
        <v/>
      </c>
      <c r="BM29" s="1">
        <f>BY29+BZ29+CA29+CC29</f>
        <v/>
      </c>
      <c r="BN29" s="1">
        <f>J29/G29*R29*-1</f>
        <v/>
      </c>
      <c r="BO29" s="1">
        <f>Q29*BM29</f>
        <v/>
      </c>
      <c r="BQ29" s="9" t="n">
        <v>3.14</v>
      </c>
      <c r="BR29" s="10" t="n">
        <v>0.2218110024</v>
      </c>
      <c r="BS29" s="9" t="n">
        <v>0.18104824</v>
      </c>
      <c r="BU29" s="10">
        <f>1/G29*BR29</f>
        <v/>
      </c>
      <c r="BV29" s="10">
        <f>H29/G29*BS29</f>
        <v/>
      </c>
      <c r="BW29" s="10">
        <f>BU29+BV29</f>
        <v/>
      </c>
      <c r="BY29" s="10">
        <f>BQ29</f>
        <v/>
      </c>
      <c r="BZ29" s="10">
        <f>I29/G29*BS29</f>
        <v/>
      </c>
      <c r="CA29" s="10">
        <f>K29/G29</f>
        <v/>
      </c>
      <c r="CB29" s="10">
        <f>J29/G29</f>
        <v/>
      </c>
      <c r="CC29" s="10">
        <f>BW29-SUM(BY29:CB29)</f>
        <v/>
      </c>
      <c r="CD29" s="10">
        <f>SUM(BY29:CC29)</f>
        <v/>
      </c>
    </row>
    <row r="30">
      <c r="B30" s="14" t="inlineStr">
        <is>
          <t>TX_TSC+CC90:H2</t>
        </is>
      </c>
      <c r="C30" s="13" t="inlineStr">
        <is>
          <t>Ethane</t>
        </is>
      </c>
      <c r="D30" s="13" t="n">
        <v>0</v>
      </c>
      <c r="E30" s="13" t="n">
        <v>0.1598531434</v>
      </c>
      <c r="F30" s="13" t="n">
        <v>0.009388736698</v>
      </c>
      <c r="G30" s="13" t="n">
        <v>0.05310189724</v>
      </c>
      <c r="H30" s="13" t="n">
        <v>0.1318322859</v>
      </c>
      <c r="I30" s="13" t="n">
        <v>0</v>
      </c>
      <c r="J30" s="13" t="n">
        <v>0.04188723326</v>
      </c>
      <c r="K30" s="13" t="n">
        <v>0.004654137028</v>
      </c>
      <c r="L30" s="13" t="n">
        <v>106900.9741</v>
      </c>
      <c r="M30" s="13" t="n">
        <v>58510.18581</v>
      </c>
      <c r="N30" s="13" t="n">
        <v>1.807660423</v>
      </c>
      <c r="O30" s="11">
        <f>CC30/0.22/14</f>
        <v/>
      </c>
      <c r="Q30" s="16" t="n">
        <v>99.913298</v>
      </c>
      <c r="R30" s="16" t="n">
        <v>-4.998843</v>
      </c>
      <c r="S30" s="16" t="n">
        <v>65.086749</v>
      </c>
      <c r="T30" s="16" t="n">
        <v>44.879451</v>
      </c>
      <c r="U30" s="16" t="n">
        <v>38.220582</v>
      </c>
      <c r="V30" s="11" t="n">
        <v>21.9863533</v>
      </c>
      <c r="W30" s="17" t="n"/>
      <c r="X30" s="17" t="n"/>
      <c r="Y30" s="16" t="n">
        <v>20.95841</v>
      </c>
      <c r="Z30" s="16" t="n">
        <v>6.059849</v>
      </c>
      <c r="AA30" s="16" t="n"/>
      <c r="AB30" s="17" t="n"/>
      <c r="AC30" s="17" t="n"/>
      <c r="AD30" s="17" t="n"/>
      <c r="AE30" s="17" t="n"/>
      <c r="AF30" s="17" t="n"/>
      <c r="AG30" s="17" t="n"/>
      <c r="AH30" s="16" t="n">
        <v>-1.481188</v>
      </c>
      <c r="AI30" s="16" t="n">
        <v>-3.21388</v>
      </c>
      <c r="AJ30" s="16" t="n">
        <v>796.736008</v>
      </c>
      <c r="AK30" s="16" t="n">
        <v>796.736008</v>
      </c>
      <c r="AM30" s="1">
        <f>B30</f>
        <v/>
      </c>
      <c r="AN30" s="1">
        <f>C30</f>
        <v/>
      </c>
      <c r="AO30" s="12">
        <f>SUM(AU30:BC30)+BE30+BF30</f>
        <v/>
      </c>
      <c r="AP30" s="12">
        <f>SUM(AU30:BC30)+BH30+BI30</f>
        <v/>
      </c>
      <c r="AQ30" s="5">
        <f>AO30-AP30</f>
        <v/>
      </c>
      <c r="AR30" s="12">
        <f>SUM(AU30:BC30)+BK30+BL30</f>
        <v/>
      </c>
      <c r="AS30" s="12">
        <f>SUM(AU30:BC30)+BN30+BO30</f>
        <v/>
      </c>
      <c r="AT30" s="5">
        <f>AR30-AS30</f>
        <v/>
      </c>
      <c r="AU30" s="5">
        <f>D30/G30*Z30</f>
        <v/>
      </c>
      <c r="AV30" s="1">
        <f>E30/G30*Z30*-1</f>
        <v/>
      </c>
      <c r="AW30" s="1">
        <f>F30/G30*Y30</f>
        <v/>
      </c>
      <c r="AX30" s="1">
        <f>1/G30*V30</f>
        <v/>
      </c>
      <c r="AY30" s="1">
        <f>H30/G30*AH30</f>
        <v/>
      </c>
      <c r="AZ30" s="1">
        <f>I30/G30*AH30*-1</f>
        <v/>
      </c>
      <c r="BA30" s="1">
        <f>L30/G30/(0.9*8760)</f>
        <v/>
      </c>
      <c r="BB30" s="1">
        <f>M30/G30/(0.9*8760)</f>
        <v/>
      </c>
      <c r="BC30" s="1">
        <f>N30/G30</f>
        <v/>
      </c>
      <c r="BD30" s="1">
        <f>BZ30+CA30+CB30</f>
        <v/>
      </c>
      <c r="BE30" s="1">
        <f>(Q30+R30)*-1*J30/G30</f>
        <v/>
      </c>
      <c r="BF30" s="1">
        <f>BD30*Q30</f>
        <v/>
      </c>
      <c r="BG30" s="1">
        <f>BZ30+CA30</f>
        <v/>
      </c>
      <c r="BH30" s="1">
        <f>R30*J30*-1/G30</f>
        <v/>
      </c>
      <c r="BI30" s="1">
        <f>BG30*Q30</f>
        <v/>
      </c>
      <c r="BJ30" s="1">
        <f>SUM(BY30:CC30)</f>
        <v/>
      </c>
      <c r="BK30" s="1">
        <f>(Q30+R30)*-1*J30/G30</f>
        <v/>
      </c>
      <c r="BL30" s="1">
        <f>BJ30*Q30</f>
        <v/>
      </c>
      <c r="BM30" s="1">
        <f>BY30+BZ30+CA30+CC30</f>
        <v/>
      </c>
      <c r="BN30" s="1">
        <f>J30/G30*R30*-1</f>
        <v/>
      </c>
      <c r="BO30" s="1">
        <f>Q30*BM30</f>
        <v/>
      </c>
      <c r="BQ30" s="9" t="n">
        <v>3.14</v>
      </c>
      <c r="BR30" s="10" t="n">
        <v>0.2218110024</v>
      </c>
      <c r="BS30" s="9" t="n">
        <v>0.18104824</v>
      </c>
      <c r="BU30" s="10">
        <f>1/G30*BR30</f>
        <v/>
      </c>
      <c r="BV30" s="10">
        <f>H30/G30*BS30</f>
        <v/>
      </c>
      <c r="BW30" s="10">
        <f>BU30+BV30</f>
        <v/>
      </c>
      <c r="BY30" s="10">
        <f>BQ30</f>
        <v/>
      </c>
      <c r="BZ30" s="10">
        <f>I30/G30*BS30</f>
        <v/>
      </c>
      <c r="CA30" s="10">
        <f>K30/G30</f>
        <v/>
      </c>
      <c r="CB30" s="10">
        <f>J30/G30</f>
        <v/>
      </c>
      <c r="CC30" s="10">
        <f>BW30-SUM(BY30:CB30)</f>
        <v/>
      </c>
      <c r="CD30" s="10">
        <f>SUM(BY30:CC30)</f>
        <v/>
      </c>
    </row>
    <row r="31">
      <c r="B31" s="14" t="inlineStr">
        <is>
          <t>TX_TSC+H2in</t>
        </is>
      </c>
      <c r="C31" s="13" t="inlineStr">
        <is>
          <t>Ethane</t>
        </is>
      </c>
      <c r="D31" s="13" t="n">
        <v>0.02226644157</v>
      </c>
      <c r="E31" s="13" t="n">
        <v>0</v>
      </c>
      <c r="F31" s="13" t="n">
        <v>0</v>
      </c>
      <c r="G31" s="13" t="n">
        <v>0.05310189724</v>
      </c>
      <c r="H31" s="13" t="n">
        <v>0</v>
      </c>
      <c r="I31" s="13" t="n">
        <v>0</v>
      </c>
      <c r="J31" s="13" t="n">
        <v>0</v>
      </c>
      <c r="K31" s="13" t="n">
        <v>0.02267336695</v>
      </c>
      <c r="L31" s="13" t="n">
        <v>99124.32016</v>
      </c>
      <c r="M31" s="13" t="n">
        <v>54251.99777</v>
      </c>
      <c r="N31" s="13" t="n">
        <v>1.676159756</v>
      </c>
      <c r="O31" s="11">
        <f>CC31/0.22/14</f>
        <v/>
      </c>
      <c r="Q31" s="16" t="n">
        <v>99.913298</v>
      </c>
      <c r="R31" s="16" t="n">
        <v>-4.998843</v>
      </c>
      <c r="S31" s="16" t="n">
        <v>65.086749</v>
      </c>
      <c r="T31" s="16" t="n">
        <v>44.879451</v>
      </c>
      <c r="U31" s="16" t="n">
        <v>38.220582</v>
      </c>
      <c r="V31" s="11" t="n">
        <v>21.9863533</v>
      </c>
      <c r="W31" s="17" t="n"/>
      <c r="X31" s="17" t="n"/>
      <c r="Y31" s="16" t="n">
        <v>20.95841</v>
      </c>
      <c r="Z31" s="16" t="n">
        <v>6.059849</v>
      </c>
      <c r="AA31" s="16" t="n"/>
      <c r="AB31" s="17" t="n"/>
      <c r="AC31" s="17" t="n"/>
      <c r="AD31" s="17" t="n"/>
      <c r="AE31" s="17" t="n"/>
      <c r="AF31" s="17" t="n"/>
      <c r="AG31" s="17" t="n"/>
      <c r="AH31" s="16" t="n">
        <v>-1.481188</v>
      </c>
      <c r="AI31" s="16" t="n">
        <v>-3.21388</v>
      </c>
      <c r="AJ31" s="16" t="n">
        <v>796.736008</v>
      </c>
      <c r="AK31" s="16" t="n">
        <v>796.736008</v>
      </c>
      <c r="AM31" s="1">
        <f>B31</f>
        <v/>
      </c>
      <c r="AN31" s="1">
        <f>C31</f>
        <v/>
      </c>
      <c r="AO31" s="12">
        <f>SUM(AU31:BC31)+BE31+BF31</f>
        <v/>
      </c>
      <c r="AP31" s="12">
        <f>SUM(AU31:BC31)+BH31+BI31</f>
        <v/>
      </c>
      <c r="AQ31" s="5">
        <f>AO31-AP31</f>
        <v/>
      </c>
      <c r="AR31" s="12">
        <f>SUM(AU31:BC31)+BK31+BL31</f>
        <v/>
      </c>
      <c r="AS31" s="12">
        <f>SUM(AU31:BC31)+BN31+BO31</f>
        <v/>
      </c>
      <c r="AT31" s="5">
        <f>AR31-AS31</f>
        <v/>
      </c>
      <c r="AU31" s="5">
        <f>D31/G31*Z31</f>
        <v/>
      </c>
      <c r="AV31" s="1">
        <f>E31/G31*Z31*-1</f>
        <v/>
      </c>
      <c r="AW31" s="1">
        <f>F31/G31*Y31</f>
        <v/>
      </c>
      <c r="AX31" s="1">
        <f>1/G31*V31</f>
        <v/>
      </c>
      <c r="AY31" s="1">
        <f>H31/G31*AH31</f>
        <v/>
      </c>
      <c r="AZ31" s="1">
        <f>I31/G31*AH31*-1</f>
        <v/>
      </c>
      <c r="BA31" s="1">
        <f>L31/G31/(0.9*8760)</f>
        <v/>
      </c>
      <c r="BB31" s="1">
        <f>M31/G31/(0.9*8760)</f>
        <v/>
      </c>
      <c r="BC31" s="1">
        <f>N31/G31</f>
        <v/>
      </c>
      <c r="BD31" s="1">
        <f>BZ31+CA31+CB31</f>
        <v/>
      </c>
      <c r="BE31" s="1">
        <f>(Q31+R31)*-1*J31/G31</f>
        <v/>
      </c>
      <c r="BF31" s="1">
        <f>BD31*Q31</f>
        <v/>
      </c>
      <c r="BG31" s="1">
        <f>BZ31+CA31</f>
        <v/>
      </c>
      <c r="BH31" s="1">
        <f>R31*J31*-1/G31</f>
        <v/>
      </c>
      <c r="BI31" s="1">
        <f>BG31*Q31</f>
        <v/>
      </c>
      <c r="BJ31" s="1">
        <f>SUM(BY31:CC31)</f>
        <v/>
      </c>
      <c r="BK31" s="1">
        <f>(Q31+R31)*-1*J31/G31</f>
        <v/>
      </c>
      <c r="BL31" s="1">
        <f>BJ31*Q31</f>
        <v/>
      </c>
      <c r="BM31" s="1">
        <f>BY31+BZ31+CA31+CC31</f>
        <v/>
      </c>
      <c r="BN31" s="1">
        <f>J31/G31*R31*-1</f>
        <v/>
      </c>
      <c r="BO31" s="1">
        <f>Q31*BM31</f>
        <v/>
      </c>
      <c r="BQ31" s="9" t="n">
        <v>3.14</v>
      </c>
      <c r="BR31" s="10" t="n">
        <v>0.2218110024</v>
      </c>
      <c r="BS31" s="9" t="n">
        <v>0.18104824</v>
      </c>
      <c r="BU31" s="10">
        <f>1/G31*BR31</f>
        <v/>
      </c>
      <c r="BV31" s="10">
        <f>H31/G31*BS31</f>
        <v/>
      </c>
      <c r="BW31" s="10">
        <f>BU31+BV31</f>
        <v/>
      </c>
      <c r="BY31" s="10">
        <f>BQ31</f>
        <v/>
      </c>
      <c r="BZ31" s="10">
        <f>I31/G31*BS31</f>
        <v/>
      </c>
      <c r="CA31" s="10">
        <f>K31/G31</f>
        <v/>
      </c>
      <c r="CB31" s="10">
        <f>J31/G31</f>
        <v/>
      </c>
      <c r="CC31" s="10">
        <f>BW31-SUM(BY31:CB31)</f>
        <v/>
      </c>
      <c r="CD31" s="10">
        <f>SUM(BY31:CC31)</f>
        <v/>
      </c>
    </row>
    <row r="32">
      <c r="B32" s="14" t="inlineStr">
        <is>
          <t>TX_TSC+H2in:CH4</t>
        </is>
      </c>
      <c r="C32" s="13" t="inlineStr">
        <is>
          <t>Ethane</t>
        </is>
      </c>
      <c r="D32" s="13" t="n">
        <v>0.1375867019</v>
      </c>
      <c r="E32" s="13" t="n">
        <v>0</v>
      </c>
      <c r="F32" s="13" t="n">
        <v>0</v>
      </c>
      <c r="G32" s="13" t="n">
        <v>0.05310189724</v>
      </c>
      <c r="H32" s="13" t="n">
        <v>0</v>
      </c>
      <c r="I32" s="13" t="n">
        <v>0.1181424966</v>
      </c>
      <c r="J32" s="13" t="n">
        <v>0</v>
      </c>
      <c r="K32" s="13" t="n">
        <v>0.001283875878</v>
      </c>
      <c r="L32" s="13" t="n">
        <v>99124.32016</v>
      </c>
      <c r="M32" s="13" t="n">
        <v>54251.99777</v>
      </c>
      <c r="N32" s="13" t="n">
        <v>1.676159756</v>
      </c>
      <c r="O32" s="11">
        <f>CC32/0.22/14</f>
        <v/>
      </c>
      <c r="Q32" s="16" t="n">
        <v>99.913298</v>
      </c>
      <c r="R32" s="16" t="n">
        <v>-4.998843</v>
      </c>
      <c r="S32" s="16" t="n">
        <v>65.086749</v>
      </c>
      <c r="T32" s="16" t="n">
        <v>44.879451</v>
      </c>
      <c r="U32" s="16" t="n">
        <v>38.220582</v>
      </c>
      <c r="V32" s="11" t="n">
        <v>21.9863533</v>
      </c>
      <c r="W32" s="17" t="n"/>
      <c r="X32" s="17" t="n"/>
      <c r="Y32" s="16" t="n">
        <v>20.95841</v>
      </c>
      <c r="Z32" s="16" t="n">
        <v>6.059849</v>
      </c>
      <c r="AA32" s="16" t="n"/>
      <c r="AB32" s="17" t="n"/>
      <c r="AC32" s="17" t="n"/>
      <c r="AD32" s="17" t="n"/>
      <c r="AE32" s="17" t="n"/>
      <c r="AF32" s="17" t="n"/>
      <c r="AG32" s="17" t="n"/>
      <c r="AH32" s="16" t="n">
        <v>-1.481188</v>
      </c>
      <c r="AI32" s="16" t="n">
        <v>-3.21388</v>
      </c>
      <c r="AJ32" s="16" t="n">
        <v>796.736008</v>
      </c>
      <c r="AK32" s="16" t="n">
        <v>796.736008</v>
      </c>
      <c r="AM32" s="1">
        <f>B32</f>
        <v/>
      </c>
      <c r="AN32" s="1">
        <f>C32</f>
        <v/>
      </c>
      <c r="AO32" s="12">
        <f>SUM(AU32:BC32)+BE32+BF32</f>
        <v/>
      </c>
      <c r="AP32" s="12">
        <f>SUM(AU32:BC32)+BH32+BI32</f>
        <v/>
      </c>
      <c r="AQ32" s="5">
        <f>AO32-AP32</f>
        <v/>
      </c>
      <c r="AR32" s="12">
        <f>SUM(AU32:BC32)+BK32+BL32</f>
        <v/>
      </c>
      <c r="AS32" s="12">
        <f>SUM(AU32:BC32)+BN32+BO32</f>
        <v/>
      </c>
      <c r="AT32" s="5">
        <f>AR32-AS32</f>
        <v/>
      </c>
      <c r="AU32" s="5">
        <f>D32/G32*Z32</f>
        <v/>
      </c>
      <c r="AV32" s="1">
        <f>E32/G32*Z32*-1</f>
        <v/>
      </c>
      <c r="AW32" s="1">
        <f>F32/G32*Y32</f>
        <v/>
      </c>
      <c r="AX32" s="1">
        <f>1/G32*V32</f>
        <v/>
      </c>
      <c r="AY32" s="1">
        <f>H32/G32*AH32</f>
        <v/>
      </c>
      <c r="AZ32" s="1">
        <f>I32/G32*AH32*-1</f>
        <v/>
      </c>
      <c r="BA32" s="1">
        <f>L32/G32/(0.9*8760)</f>
        <v/>
      </c>
      <c r="BB32" s="1">
        <f>M32/G32/(0.9*8760)</f>
        <v/>
      </c>
      <c r="BC32" s="1">
        <f>N32/G32</f>
        <v/>
      </c>
      <c r="BD32" s="1">
        <f>BZ32+CA32+CB32</f>
        <v/>
      </c>
      <c r="BE32" s="1">
        <f>(Q32+R32)*-1*J32/G32</f>
        <v/>
      </c>
      <c r="BF32" s="1">
        <f>BD32*Q32</f>
        <v/>
      </c>
      <c r="BG32" s="1">
        <f>BZ32+CA32</f>
        <v/>
      </c>
      <c r="BH32" s="1">
        <f>R32*J32*-1/G32</f>
        <v/>
      </c>
      <c r="BI32" s="1">
        <f>BG32*Q32</f>
        <v/>
      </c>
      <c r="BJ32" s="1">
        <f>SUM(BY32:CC32)</f>
        <v/>
      </c>
      <c r="BK32" s="1">
        <f>(Q32+R32)*-1*J32/G32</f>
        <v/>
      </c>
      <c r="BL32" s="1">
        <f>BJ32*Q32</f>
        <v/>
      </c>
      <c r="BM32" s="1">
        <f>BY32+BZ32+CA32+CC32</f>
        <v/>
      </c>
      <c r="BN32" s="1">
        <f>J32/G32*R32*-1</f>
        <v/>
      </c>
      <c r="BO32" s="1">
        <f>Q32*BM32</f>
        <v/>
      </c>
      <c r="BQ32" s="9" t="n">
        <v>3.14</v>
      </c>
      <c r="BR32" s="10" t="n">
        <v>0.2218110024</v>
      </c>
      <c r="BS32" s="9" t="n">
        <v>0.18104824</v>
      </c>
      <c r="BU32" s="10">
        <f>1/G32*BR32</f>
        <v/>
      </c>
      <c r="BV32" s="10">
        <f>H32/G32*BS32</f>
        <v/>
      </c>
      <c r="BW32" s="10">
        <f>BU32+BV32</f>
        <v/>
      </c>
      <c r="BY32" s="10">
        <f>BQ32</f>
        <v/>
      </c>
      <c r="BZ32" s="10">
        <f>I32/G32*BS32</f>
        <v/>
      </c>
      <c r="CA32" s="10">
        <f>K32/G32</f>
        <v/>
      </c>
      <c r="CB32" s="10">
        <f>J32/G32</f>
        <v/>
      </c>
      <c r="CC32" s="10">
        <f>BW32-SUM(BY32:CB32)</f>
        <v/>
      </c>
      <c r="CD32" s="10">
        <f>SUM(BY32:CC32)</f>
        <v/>
      </c>
    </row>
    <row r="33">
      <c r="B33" s="14" t="inlineStr">
        <is>
          <t>NCEN_TSC+CC90</t>
        </is>
      </c>
      <c r="C33" s="13" t="inlineStr">
        <is>
          <t>Ethane</t>
        </is>
      </c>
      <c r="D33" s="13" t="n">
        <v>0</v>
      </c>
      <c r="E33" s="13" t="n">
        <v>0</v>
      </c>
      <c r="F33" s="13" t="n">
        <v>0.008052966438000001</v>
      </c>
      <c r="G33" s="13" t="n">
        <v>0.05310189724</v>
      </c>
      <c r="H33" s="13" t="n">
        <v>0.02270169876</v>
      </c>
      <c r="I33" s="13" t="n">
        <v>0</v>
      </c>
      <c r="J33" s="13" t="n">
        <v>0.0241051226</v>
      </c>
      <c r="K33" s="13" t="n">
        <v>0.002678346955</v>
      </c>
      <c r="L33" s="13" t="n">
        <v>106875.1697</v>
      </c>
      <c r="M33" s="13" t="n">
        <v>58496.38728</v>
      </c>
      <c r="N33" s="13" t="n">
        <v>1.807224085</v>
      </c>
      <c r="O33" s="11">
        <f>CC33/0.22/14</f>
        <v/>
      </c>
      <c r="Q33" s="16" t="n">
        <v>99.913298</v>
      </c>
      <c r="R33" s="16" t="n">
        <v>-6.08881</v>
      </c>
      <c r="S33" s="16" t="n">
        <v>66.12049500000001</v>
      </c>
      <c r="T33" s="16" t="n">
        <v>43.630616</v>
      </c>
      <c r="U33" s="16" t="n">
        <v>43.105329</v>
      </c>
      <c r="V33" s="11" t="n">
        <v>21.9863533</v>
      </c>
      <c r="W33" s="17" t="n"/>
      <c r="X33" s="17" t="n"/>
      <c r="Y33" s="16" t="n">
        <v>22.136932</v>
      </c>
      <c r="Z33" s="16" t="n">
        <v>6.801534</v>
      </c>
      <c r="AA33" s="16" t="n"/>
      <c r="AB33" s="17" t="n"/>
      <c r="AC33" s="17" t="n"/>
      <c r="AD33" s="17" t="n"/>
      <c r="AE33" s="17" t="n"/>
      <c r="AF33" s="17" t="n"/>
      <c r="AG33" s="17" t="n"/>
      <c r="AH33" s="16" t="n">
        <v>-0.824778</v>
      </c>
      <c r="AI33" s="16" t="n">
        <v>-3.075704</v>
      </c>
      <c r="AJ33" s="16" t="n">
        <v>796.736008</v>
      </c>
      <c r="AK33" s="16" t="n">
        <v>796.736008</v>
      </c>
      <c r="AM33" s="1">
        <f>B33</f>
        <v/>
      </c>
      <c r="AN33" s="1">
        <f>C33</f>
        <v/>
      </c>
      <c r="AO33" s="12">
        <f>SUM(AU33:BC33)+BE33+BF33</f>
        <v/>
      </c>
      <c r="AP33" s="12">
        <f>SUM(AU33:BC33)+BH33+BI33</f>
        <v/>
      </c>
      <c r="AQ33" s="5">
        <f>AO33-AP33</f>
        <v/>
      </c>
      <c r="AR33" s="12">
        <f>SUM(AU33:BC33)+BK33+BL33</f>
        <v/>
      </c>
      <c r="AS33" s="12">
        <f>SUM(AU33:BC33)+BN33+BO33</f>
        <v/>
      </c>
      <c r="AT33" s="5">
        <f>AR33-AS33</f>
        <v/>
      </c>
      <c r="AU33" s="5">
        <f>D33/G33*Z33</f>
        <v/>
      </c>
      <c r="AV33" s="1">
        <f>E33/G33*Z33*-1</f>
        <v/>
      </c>
      <c r="AW33" s="1">
        <f>F33/G33*Y33</f>
        <v/>
      </c>
      <c r="AX33" s="1">
        <f>1/G33*V33</f>
        <v/>
      </c>
      <c r="AY33" s="1">
        <f>H33/G33*AH33</f>
        <v/>
      </c>
      <c r="AZ33" s="1">
        <f>I33/G33*AH33*-1</f>
        <v/>
      </c>
      <c r="BA33" s="1">
        <f>L33/G33/(0.9*8760)</f>
        <v/>
      </c>
      <c r="BB33" s="1">
        <f>M33/G33/(0.9*8760)</f>
        <v/>
      </c>
      <c r="BC33" s="1">
        <f>N33/G33</f>
        <v/>
      </c>
      <c r="BD33" s="1">
        <f>BZ33+CA33+CB33</f>
        <v/>
      </c>
      <c r="BE33" s="1">
        <f>(Q33+R33)*-1*J33/G33</f>
        <v/>
      </c>
      <c r="BF33" s="1">
        <f>BD33*Q33</f>
        <v/>
      </c>
      <c r="BG33" s="1">
        <f>BZ33+CA33</f>
        <v/>
      </c>
      <c r="BH33" s="1">
        <f>R33*J33*-1/G33</f>
        <v/>
      </c>
      <c r="BI33" s="1">
        <f>BG33*Q33</f>
        <v/>
      </c>
      <c r="BJ33" s="1">
        <f>SUM(BY33:CC33)</f>
        <v/>
      </c>
      <c r="BK33" s="1">
        <f>(Q33+R33)*-1*J33/G33</f>
        <v/>
      </c>
      <c r="BL33" s="1">
        <f>BJ33*Q33</f>
        <v/>
      </c>
      <c r="BM33" s="1">
        <f>BY33+BZ33+CA33+CC33</f>
        <v/>
      </c>
      <c r="BN33" s="1">
        <f>J33/G33*R33*-1</f>
        <v/>
      </c>
      <c r="BO33" s="1">
        <f>Q33*BM33</f>
        <v/>
      </c>
      <c r="BQ33" s="9" t="n">
        <v>3.14</v>
      </c>
      <c r="BR33" s="10" t="n">
        <v>0.2218110024</v>
      </c>
      <c r="BS33" s="9" t="n">
        <v>0.18104824</v>
      </c>
      <c r="BU33" s="10">
        <f>1/G33*BR33</f>
        <v/>
      </c>
      <c r="BV33" s="10">
        <f>H33/G33*BS33</f>
        <v/>
      </c>
      <c r="BW33" s="10">
        <f>BU33+BV33</f>
        <v/>
      </c>
      <c r="BY33" s="10">
        <f>BQ33</f>
        <v/>
      </c>
      <c r="BZ33" s="10">
        <f>I33/G33*BS33</f>
        <v/>
      </c>
      <c r="CA33" s="10">
        <f>K33/G33</f>
        <v/>
      </c>
      <c r="CB33" s="10">
        <f>J33/G33</f>
        <v/>
      </c>
      <c r="CC33" s="10">
        <f>BW33-SUM(BY33:CB33)</f>
        <v/>
      </c>
      <c r="CD33" s="10">
        <f>SUM(BY33:CC33)</f>
        <v/>
      </c>
    </row>
    <row r="34">
      <c r="B34" s="14" t="inlineStr">
        <is>
          <t>NCEN_TSC:H2</t>
        </is>
      </c>
      <c r="C34" s="13" t="inlineStr">
        <is>
          <t>Ethane</t>
        </is>
      </c>
      <c r="D34" s="13" t="n">
        <v>0</v>
      </c>
      <c r="E34" s="13" t="n">
        <v>0.1598531434</v>
      </c>
      <c r="F34" s="13" t="n">
        <v>0</v>
      </c>
      <c r="G34" s="13" t="n">
        <v>0.05310189724</v>
      </c>
      <c r="H34" s="13" t="n">
        <v>0.1318322859</v>
      </c>
      <c r="I34" s="13" t="n">
        <v>0</v>
      </c>
      <c r="J34" s="13" t="n">
        <v>0</v>
      </c>
      <c r="K34" s="13" t="n">
        <v>0.04654137028</v>
      </c>
      <c r="L34" s="13" t="n">
        <v>99124.32016</v>
      </c>
      <c r="M34" s="13" t="n">
        <v>54251.99777</v>
      </c>
      <c r="N34" s="13" t="n">
        <v>1.676159756</v>
      </c>
      <c r="O34" s="11">
        <f>CC34/0.22/14</f>
        <v/>
      </c>
      <c r="Q34" s="16" t="n">
        <v>99.913298</v>
      </c>
      <c r="R34" s="16" t="n">
        <v>-6.08881</v>
      </c>
      <c r="S34" s="16" t="n">
        <v>66.12049500000001</v>
      </c>
      <c r="T34" s="16" t="n">
        <v>43.630616</v>
      </c>
      <c r="U34" s="16" t="n">
        <v>43.105329</v>
      </c>
      <c r="V34" s="11" t="n">
        <v>21.9863533</v>
      </c>
      <c r="W34" s="17" t="n"/>
      <c r="X34" s="17" t="n"/>
      <c r="Y34" s="16" t="n">
        <v>22.136932</v>
      </c>
      <c r="Z34" s="16" t="n">
        <v>6.801534</v>
      </c>
      <c r="AA34" s="16" t="n"/>
      <c r="AB34" s="17" t="n"/>
      <c r="AC34" s="17" t="n"/>
      <c r="AD34" s="17" t="n"/>
      <c r="AE34" s="17" t="n"/>
      <c r="AF34" s="17" t="n"/>
      <c r="AG34" s="17" t="n"/>
      <c r="AH34" s="16" t="n">
        <v>-0.824778</v>
      </c>
      <c r="AI34" s="16" t="n">
        <v>-3.075704</v>
      </c>
      <c r="AJ34" s="16" t="n">
        <v>796.736008</v>
      </c>
      <c r="AK34" s="16" t="n">
        <v>796.736008</v>
      </c>
      <c r="AM34" s="1">
        <f>B34</f>
        <v/>
      </c>
      <c r="AN34" s="1">
        <f>C34</f>
        <v/>
      </c>
      <c r="AO34" s="12">
        <f>SUM(AU34:BC34)+BE34+BF34</f>
        <v/>
      </c>
      <c r="AP34" s="12">
        <f>SUM(AU34:BC34)+BH34+BI34</f>
        <v/>
      </c>
      <c r="AQ34" s="5">
        <f>AO34-AP34</f>
        <v/>
      </c>
      <c r="AR34" s="12">
        <f>SUM(AU34:BC34)+BK34+BL34</f>
        <v/>
      </c>
      <c r="AS34" s="12">
        <f>SUM(AU34:BC34)+BN34+BO34</f>
        <v/>
      </c>
      <c r="AT34" s="5">
        <f>AR34-AS34</f>
        <v/>
      </c>
      <c r="AU34" s="5">
        <f>D34/G34*Z34</f>
        <v/>
      </c>
      <c r="AV34" s="1">
        <f>E34/G34*Z34*-1</f>
        <v/>
      </c>
      <c r="AW34" s="1">
        <f>F34/G34*Y34</f>
        <v/>
      </c>
      <c r="AX34" s="1">
        <f>1/G34*V34</f>
        <v/>
      </c>
      <c r="AY34" s="1">
        <f>H34/G34*AH34</f>
        <v/>
      </c>
      <c r="AZ34" s="1">
        <f>I34/G34*AH34*-1</f>
        <v/>
      </c>
      <c r="BA34" s="1">
        <f>L34/G34/(0.9*8760)</f>
        <v/>
      </c>
      <c r="BB34" s="1">
        <f>M34/G34/(0.9*8760)</f>
        <v/>
      </c>
      <c r="BC34" s="1">
        <f>N34/G34</f>
        <v/>
      </c>
      <c r="BD34" s="1">
        <f>BZ34+CA34+CB34</f>
        <v/>
      </c>
      <c r="BE34" s="1">
        <f>(Q34+R34)*-1*J34/G34</f>
        <v/>
      </c>
      <c r="BF34" s="1">
        <f>BD34*Q34</f>
        <v/>
      </c>
      <c r="BG34" s="1">
        <f>BZ34+CA34</f>
        <v/>
      </c>
      <c r="BH34" s="1">
        <f>R34*J34*-1/G34</f>
        <v/>
      </c>
      <c r="BI34" s="1">
        <f>BG34*Q34</f>
        <v/>
      </c>
      <c r="BJ34" s="1">
        <f>SUM(BY34:CC34)</f>
        <v/>
      </c>
      <c r="BK34" s="1">
        <f>(Q34+R34)*-1*J34/G34</f>
        <v/>
      </c>
      <c r="BL34" s="1">
        <f>BJ34*Q34</f>
        <v/>
      </c>
      <c r="BM34" s="1">
        <f>BY34+BZ34+CA34+CC34</f>
        <v/>
      </c>
      <c r="BN34" s="1">
        <f>J34/G34*R34*-1</f>
        <v/>
      </c>
      <c r="BO34" s="1">
        <f>Q34*BM34</f>
        <v/>
      </c>
      <c r="BQ34" s="9" t="n">
        <v>3.14</v>
      </c>
      <c r="BR34" s="10" t="n">
        <v>0.2218110024</v>
      </c>
      <c r="BS34" s="9" t="n">
        <v>0.18104824</v>
      </c>
      <c r="BU34" s="10">
        <f>1/G34*BR34</f>
        <v/>
      </c>
      <c r="BV34" s="10">
        <f>H34/G34*BS34</f>
        <v/>
      </c>
      <c r="BW34" s="10">
        <f>BU34+BV34</f>
        <v/>
      </c>
      <c r="BY34" s="10">
        <f>BQ34</f>
        <v/>
      </c>
      <c r="BZ34" s="10">
        <f>I34/G34*BS34</f>
        <v/>
      </c>
      <c r="CA34" s="10">
        <f>K34/G34</f>
        <v/>
      </c>
      <c r="CB34" s="10">
        <f>J34/G34</f>
        <v/>
      </c>
      <c r="CC34" s="10">
        <f>BW34-SUM(BY34:CB34)</f>
        <v/>
      </c>
      <c r="CD34" s="10">
        <f>SUM(BY34:CC34)</f>
        <v/>
      </c>
    </row>
    <row r="35">
      <c r="B35" s="14" t="inlineStr">
        <is>
          <t>NCEN_TSC+CC90:H2</t>
        </is>
      </c>
      <c r="C35" s="13" t="inlineStr">
        <is>
          <t>Ethane</t>
        </is>
      </c>
      <c r="D35" s="13" t="n">
        <v>0</v>
      </c>
      <c r="E35" s="13" t="n">
        <v>0.1598531434</v>
      </c>
      <c r="F35" s="13" t="n">
        <v>0.009388736698</v>
      </c>
      <c r="G35" s="13" t="n">
        <v>0.05310189724</v>
      </c>
      <c r="H35" s="13" t="n">
        <v>0.1318322859</v>
      </c>
      <c r="I35" s="13" t="n">
        <v>0</v>
      </c>
      <c r="J35" s="13" t="n">
        <v>0.04188723326</v>
      </c>
      <c r="K35" s="13" t="n">
        <v>0.004654137028</v>
      </c>
      <c r="L35" s="13" t="n">
        <v>106900.9741</v>
      </c>
      <c r="M35" s="13" t="n">
        <v>58510.18581</v>
      </c>
      <c r="N35" s="13" t="n">
        <v>1.807660423</v>
      </c>
      <c r="O35" s="11">
        <f>CC35/0.22/14</f>
        <v/>
      </c>
      <c r="Q35" s="16" t="n">
        <v>99.913298</v>
      </c>
      <c r="R35" s="16" t="n">
        <v>-6.08881</v>
      </c>
      <c r="S35" s="16" t="n">
        <v>66.12049500000001</v>
      </c>
      <c r="T35" s="16" t="n">
        <v>43.630616</v>
      </c>
      <c r="U35" s="16" t="n">
        <v>43.105329</v>
      </c>
      <c r="V35" s="11" t="n">
        <v>21.9863533</v>
      </c>
      <c r="W35" s="17" t="n"/>
      <c r="X35" s="17" t="n"/>
      <c r="Y35" s="16" t="n">
        <v>22.136932</v>
      </c>
      <c r="Z35" s="16" t="n">
        <v>6.801534</v>
      </c>
      <c r="AA35" s="16" t="n"/>
      <c r="AB35" s="17" t="n"/>
      <c r="AC35" s="17" t="n"/>
      <c r="AD35" s="17" t="n"/>
      <c r="AE35" s="17" t="n"/>
      <c r="AF35" s="17" t="n"/>
      <c r="AG35" s="17" t="n"/>
      <c r="AH35" s="16" t="n">
        <v>-0.824778</v>
      </c>
      <c r="AI35" s="16" t="n">
        <v>-3.075704</v>
      </c>
      <c r="AJ35" s="16" t="n">
        <v>796.736008</v>
      </c>
      <c r="AK35" s="16" t="n">
        <v>796.736008</v>
      </c>
      <c r="AM35" s="1">
        <f>B35</f>
        <v/>
      </c>
      <c r="AN35" s="1">
        <f>C35</f>
        <v/>
      </c>
      <c r="AO35" s="12">
        <f>SUM(AU35:BC35)+BE35+BF35</f>
        <v/>
      </c>
      <c r="AP35" s="12">
        <f>SUM(AU35:BC35)+BH35+BI35</f>
        <v/>
      </c>
      <c r="AQ35" s="5">
        <f>AO35-AP35</f>
        <v/>
      </c>
      <c r="AR35" s="12">
        <f>SUM(AU35:BC35)+BK35+BL35</f>
        <v/>
      </c>
      <c r="AS35" s="12">
        <f>SUM(AU35:BC35)+BN35+BO35</f>
        <v/>
      </c>
      <c r="AT35" s="5">
        <f>AR35-AS35</f>
        <v/>
      </c>
      <c r="AU35" s="5">
        <f>D35/G35*Z35</f>
        <v/>
      </c>
      <c r="AV35" s="1">
        <f>E35/G35*Z35*-1</f>
        <v/>
      </c>
      <c r="AW35" s="1">
        <f>F35/G35*Y35</f>
        <v/>
      </c>
      <c r="AX35" s="1">
        <f>1/G35*V35</f>
        <v/>
      </c>
      <c r="AY35" s="1">
        <f>H35/G35*AH35</f>
        <v/>
      </c>
      <c r="AZ35" s="1">
        <f>I35/G35*AH35*-1</f>
        <v/>
      </c>
      <c r="BA35" s="1">
        <f>L35/G35/(0.9*8760)</f>
        <v/>
      </c>
      <c r="BB35" s="1">
        <f>M35/G35/(0.9*8760)</f>
        <v/>
      </c>
      <c r="BC35" s="1">
        <f>N35/G35</f>
        <v/>
      </c>
      <c r="BD35" s="1">
        <f>BZ35+CA35+CB35</f>
        <v/>
      </c>
      <c r="BE35" s="1">
        <f>(Q35+R35)*-1*J35/G35</f>
        <v/>
      </c>
      <c r="BF35" s="1">
        <f>BD35*Q35</f>
        <v/>
      </c>
      <c r="BG35" s="1">
        <f>BZ35+CA35</f>
        <v/>
      </c>
      <c r="BH35" s="1">
        <f>R35*J35*-1/G35</f>
        <v/>
      </c>
      <c r="BI35" s="1">
        <f>BG35*Q35</f>
        <v/>
      </c>
      <c r="BJ35" s="1">
        <f>SUM(BY35:CC35)</f>
        <v/>
      </c>
      <c r="BK35" s="1">
        <f>(Q35+R35)*-1*J35/G35</f>
        <v/>
      </c>
      <c r="BL35" s="1">
        <f>BJ35*Q35</f>
        <v/>
      </c>
      <c r="BM35" s="1">
        <f>BY35+BZ35+CA35+CC35</f>
        <v/>
      </c>
      <c r="BN35" s="1">
        <f>J35/G35*R35*-1</f>
        <v/>
      </c>
      <c r="BO35" s="1">
        <f>Q35*BM35</f>
        <v/>
      </c>
      <c r="BQ35" s="9" t="n">
        <v>3.14</v>
      </c>
      <c r="BR35" s="10" t="n">
        <v>0.2218110024</v>
      </c>
      <c r="BS35" s="9" t="n">
        <v>0.18104824</v>
      </c>
      <c r="BU35" s="10">
        <f>1/G35*BR35</f>
        <v/>
      </c>
      <c r="BV35" s="10">
        <f>H35/G35*BS35</f>
        <v/>
      </c>
      <c r="BW35" s="10">
        <f>BU35+BV35</f>
        <v/>
      </c>
      <c r="BY35" s="10">
        <f>BQ35</f>
        <v/>
      </c>
      <c r="BZ35" s="10">
        <f>I35/G35*BS35</f>
        <v/>
      </c>
      <c r="CA35" s="10">
        <f>K35/G35</f>
        <v/>
      </c>
      <c r="CB35" s="10">
        <f>J35/G35</f>
        <v/>
      </c>
      <c r="CC35" s="10">
        <f>BW35-SUM(BY35:CB35)</f>
        <v/>
      </c>
      <c r="CD35" s="10">
        <f>SUM(BY35:CC35)</f>
        <v/>
      </c>
    </row>
    <row r="36">
      <c r="B36" s="14" t="inlineStr">
        <is>
          <t>NCEN_TSC+H2in</t>
        </is>
      </c>
      <c r="C36" s="13" t="inlineStr">
        <is>
          <t>Ethane</t>
        </is>
      </c>
      <c r="D36" s="13" t="n">
        <v>0.02226644157</v>
      </c>
      <c r="E36" s="13" t="n">
        <v>0</v>
      </c>
      <c r="F36" s="13" t="n">
        <v>0</v>
      </c>
      <c r="G36" s="13" t="n">
        <v>0.05310189724</v>
      </c>
      <c r="H36" s="13" t="n">
        <v>0</v>
      </c>
      <c r="I36" s="13" t="n">
        <v>0</v>
      </c>
      <c r="J36" s="13" t="n">
        <v>0</v>
      </c>
      <c r="K36" s="13" t="n">
        <v>0.02267336695</v>
      </c>
      <c r="L36" s="13" t="n">
        <v>99124.32016</v>
      </c>
      <c r="M36" s="13" t="n">
        <v>54251.99777</v>
      </c>
      <c r="N36" s="13" t="n">
        <v>1.676159756</v>
      </c>
      <c r="O36" s="11">
        <f>CC36/0.22/14</f>
        <v/>
      </c>
      <c r="Q36" s="16" t="n">
        <v>99.913298</v>
      </c>
      <c r="R36" s="16" t="n">
        <v>-6.08881</v>
      </c>
      <c r="S36" s="16" t="n">
        <v>66.12049500000001</v>
      </c>
      <c r="T36" s="16" t="n">
        <v>43.630616</v>
      </c>
      <c r="U36" s="16" t="n">
        <v>43.105329</v>
      </c>
      <c r="V36" s="11" t="n">
        <v>21.9863533</v>
      </c>
      <c r="W36" s="17" t="n"/>
      <c r="X36" s="17" t="n"/>
      <c r="Y36" s="16" t="n">
        <v>22.136932</v>
      </c>
      <c r="Z36" s="16" t="n">
        <v>6.801534</v>
      </c>
      <c r="AA36" s="16" t="n"/>
      <c r="AB36" s="17" t="n"/>
      <c r="AC36" s="17" t="n"/>
      <c r="AD36" s="17" t="n"/>
      <c r="AE36" s="17" t="n"/>
      <c r="AF36" s="17" t="n"/>
      <c r="AG36" s="17" t="n"/>
      <c r="AH36" s="16" t="n">
        <v>-0.824778</v>
      </c>
      <c r="AI36" s="16" t="n">
        <v>-3.075704</v>
      </c>
      <c r="AJ36" s="16" t="n">
        <v>796.736008</v>
      </c>
      <c r="AK36" s="16" t="n">
        <v>796.736008</v>
      </c>
      <c r="AM36" s="1">
        <f>B36</f>
        <v/>
      </c>
      <c r="AN36" s="1">
        <f>C36</f>
        <v/>
      </c>
      <c r="AO36" s="12">
        <f>SUM(AU36:BC36)+BE36+BF36</f>
        <v/>
      </c>
      <c r="AP36" s="12">
        <f>SUM(AU36:BC36)+BH36+BI36</f>
        <v/>
      </c>
      <c r="AQ36" s="5">
        <f>AO36-AP36</f>
        <v/>
      </c>
      <c r="AR36" s="12">
        <f>SUM(AU36:BC36)+BK36+BL36</f>
        <v/>
      </c>
      <c r="AS36" s="12">
        <f>SUM(AU36:BC36)+BN36+BO36</f>
        <v/>
      </c>
      <c r="AT36" s="5">
        <f>AR36-AS36</f>
        <v/>
      </c>
      <c r="AU36" s="5">
        <f>D36/G36*Z36</f>
        <v/>
      </c>
      <c r="AV36" s="1">
        <f>E36/G36*Z36*-1</f>
        <v/>
      </c>
      <c r="AW36" s="1">
        <f>F36/G36*Y36</f>
        <v/>
      </c>
      <c r="AX36" s="1">
        <f>1/G36*V36</f>
        <v/>
      </c>
      <c r="AY36" s="1">
        <f>H36/G36*AH36</f>
        <v/>
      </c>
      <c r="AZ36" s="1">
        <f>I36/G36*AH36*-1</f>
        <v/>
      </c>
      <c r="BA36" s="1">
        <f>L36/G36/(0.9*8760)</f>
        <v/>
      </c>
      <c r="BB36" s="1">
        <f>M36/G36/(0.9*8760)</f>
        <v/>
      </c>
      <c r="BC36" s="1">
        <f>N36/G36</f>
        <v/>
      </c>
      <c r="BD36" s="1">
        <f>BZ36+CA36+CB36</f>
        <v/>
      </c>
      <c r="BE36" s="1">
        <f>(Q36+R36)*-1*J36/G36</f>
        <v/>
      </c>
      <c r="BF36" s="1">
        <f>BD36*Q36</f>
        <v/>
      </c>
      <c r="BG36" s="1">
        <f>BZ36+CA36</f>
        <v/>
      </c>
      <c r="BH36" s="1">
        <f>R36*J36*-1/G36</f>
        <v/>
      </c>
      <c r="BI36" s="1">
        <f>BG36*Q36</f>
        <v/>
      </c>
      <c r="BJ36" s="1">
        <f>SUM(BY36:CC36)</f>
        <v/>
      </c>
      <c r="BK36" s="1">
        <f>(Q36+R36)*-1*J36/G36</f>
        <v/>
      </c>
      <c r="BL36" s="1">
        <f>BJ36*Q36</f>
        <v/>
      </c>
      <c r="BM36" s="1">
        <f>BY36+BZ36+CA36+CC36</f>
        <v/>
      </c>
      <c r="BN36" s="1">
        <f>J36/G36*R36*-1</f>
        <v/>
      </c>
      <c r="BO36" s="1">
        <f>Q36*BM36</f>
        <v/>
      </c>
      <c r="BQ36" s="9" t="n">
        <v>3.14</v>
      </c>
      <c r="BR36" s="10" t="n">
        <v>0.2218110024</v>
      </c>
      <c r="BS36" s="9" t="n">
        <v>0.18104824</v>
      </c>
      <c r="BU36" s="10">
        <f>1/G36*BR36</f>
        <v/>
      </c>
      <c r="BV36" s="10">
        <f>H36/G36*BS36</f>
        <v/>
      </c>
      <c r="BW36" s="10">
        <f>BU36+BV36</f>
        <v/>
      </c>
      <c r="BY36" s="10">
        <f>BQ36</f>
        <v/>
      </c>
      <c r="BZ36" s="10">
        <f>I36/G36*BS36</f>
        <v/>
      </c>
      <c r="CA36" s="10">
        <f>K36/G36</f>
        <v/>
      </c>
      <c r="CB36" s="10">
        <f>J36/G36</f>
        <v/>
      </c>
      <c r="CC36" s="10">
        <f>BW36-SUM(BY36:CB36)</f>
        <v/>
      </c>
      <c r="CD36" s="10">
        <f>SUM(BY36:CC36)</f>
        <v/>
      </c>
    </row>
    <row r="37">
      <c r="B37" s="14" t="inlineStr">
        <is>
          <t>NCEN_TSC+H2in:CH4</t>
        </is>
      </c>
      <c r="C37" s="13" t="inlineStr">
        <is>
          <t>Ethane</t>
        </is>
      </c>
      <c r="D37" s="13" t="n">
        <v>0.1375867019</v>
      </c>
      <c r="E37" s="13" t="n">
        <v>0</v>
      </c>
      <c r="F37" s="13" t="n">
        <v>0</v>
      </c>
      <c r="G37" s="13" t="n">
        <v>0.05310189724</v>
      </c>
      <c r="H37" s="13" t="n">
        <v>0</v>
      </c>
      <c r="I37" s="13" t="n">
        <v>0.1181424966</v>
      </c>
      <c r="J37" s="13" t="n">
        <v>0</v>
      </c>
      <c r="K37" s="13" t="n">
        <v>0.001283875878</v>
      </c>
      <c r="L37" s="13" t="n">
        <v>99124.32016</v>
      </c>
      <c r="M37" s="13" t="n">
        <v>54251.99777</v>
      </c>
      <c r="N37" s="13" t="n">
        <v>1.676159756</v>
      </c>
      <c r="O37" s="11">
        <f>CC37/0.22/14</f>
        <v/>
      </c>
      <c r="Q37" s="16" t="n">
        <v>99.913298</v>
      </c>
      <c r="R37" s="16" t="n">
        <v>-6.08881</v>
      </c>
      <c r="S37" s="16" t="n">
        <v>66.12049500000001</v>
      </c>
      <c r="T37" s="16" t="n">
        <v>43.630616</v>
      </c>
      <c r="U37" s="16" t="n">
        <v>43.105329</v>
      </c>
      <c r="V37" s="11" t="n">
        <v>21.9863533</v>
      </c>
      <c r="W37" s="17" t="n"/>
      <c r="X37" s="17" t="n"/>
      <c r="Y37" s="16" t="n">
        <v>22.136932</v>
      </c>
      <c r="Z37" s="16" t="n">
        <v>6.801534</v>
      </c>
      <c r="AA37" s="16" t="n"/>
      <c r="AB37" s="17" t="n"/>
      <c r="AC37" s="17" t="n"/>
      <c r="AD37" s="17" t="n"/>
      <c r="AE37" s="17" t="n"/>
      <c r="AF37" s="17" t="n"/>
      <c r="AG37" s="17" t="n"/>
      <c r="AH37" s="16" t="n">
        <v>-0.824778</v>
      </c>
      <c r="AI37" s="16" t="n">
        <v>-3.075704</v>
      </c>
      <c r="AJ37" s="16" t="n">
        <v>796.736008</v>
      </c>
      <c r="AK37" s="16" t="n">
        <v>796.736008</v>
      </c>
      <c r="AM37" s="1">
        <f>B37</f>
        <v/>
      </c>
      <c r="AN37" s="1">
        <f>C37</f>
        <v/>
      </c>
      <c r="AO37" s="12">
        <f>SUM(AU37:BC37)+BE37+BF37</f>
        <v/>
      </c>
      <c r="AP37" s="12">
        <f>SUM(AU37:BC37)+BH37+BI37</f>
        <v/>
      </c>
      <c r="AQ37" s="5">
        <f>AO37-AP37</f>
        <v/>
      </c>
      <c r="AR37" s="12">
        <f>SUM(AU37:BC37)+BK37+BL37</f>
        <v/>
      </c>
      <c r="AS37" s="12">
        <f>SUM(AU37:BC37)+BN37+BO37</f>
        <v/>
      </c>
      <c r="AT37" s="5">
        <f>AR37-AS37</f>
        <v/>
      </c>
      <c r="AU37" s="5">
        <f>D37/G37*Z37</f>
        <v/>
      </c>
      <c r="AV37" s="1">
        <f>E37/G37*Z37*-1</f>
        <v/>
      </c>
      <c r="AW37" s="1">
        <f>F37/G37*Y37</f>
        <v/>
      </c>
      <c r="AX37" s="1">
        <f>1/G37*V37</f>
        <v/>
      </c>
      <c r="AY37" s="1">
        <f>H37/G37*AH37</f>
        <v/>
      </c>
      <c r="AZ37" s="1">
        <f>I37/G37*AH37*-1</f>
        <v/>
      </c>
      <c r="BA37" s="1">
        <f>L37/G37/(0.9*8760)</f>
        <v/>
      </c>
      <c r="BB37" s="1">
        <f>M37/G37/(0.9*8760)</f>
        <v/>
      </c>
      <c r="BC37" s="1">
        <f>N37/G37</f>
        <v/>
      </c>
      <c r="BD37" s="1">
        <f>BZ37+CA37+CB37</f>
        <v/>
      </c>
      <c r="BE37" s="1">
        <f>(Q37+R37)*-1*J37/G37</f>
        <v/>
      </c>
      <c r="BF37" s="1">
        <f>BD37*Q37</f>
        <v/>
      </c>
      <c r="BG37" s="1">
        <f>BZ37+CA37</f>
        <v/>
      </c>
      <c r="BH37" s="1">
        <f>R37*J37*-1/G37</f>
        <v/>
      </c>
      <c r="BI37" s="1">
        <f>BG37*Q37</f>
        <v/>
      </c>
      <c r="BJ37" s="1">
        <f>SUM(BY37:CC37)</f>
        <v/>
      </c>
      <c r="BK37" s="1">
        <f>(Q37+R37)*-1*J37/G37</f>
        <v/>
      </c>
      <c r="BL37" s="1">
        <f>BJ37*Q37</f>
        <v/>
      </c>
      <c r="BM37" s="1">
        <f>BY37+BZ37+CA37+CC37</f>
        <v/>
      </c>
      <c r="BN37" s="1">
        <f>J37/G37*R37*-1</f>
        <v/>
      </c>
      <c r="BO37" s="1">
        <f>Q37*BM37</f>
        <v/>
      </c>
      <c r="BQ37" s="9" t="n">
        <v>3.14</v>
      </c>
      <c r="BR37" s="10" t="n">
        <v>0.2218110024</v>
      </c>
      <c r="BS37" s="9" t="n">
        <v>0.18104824</v>
      </c>
      <c r="BU37" s="10">
        <f>1/G37*BR37</f>
        <v/>
      </c>
      <c r="BV37" s="10">
        <f>H37/G37*BS37</f>
        <v/>
      </c>
      <c r="BW37" s="10">
        <f>BU37+BV37</f>
        <v/>
      </c>
      <c r="BY37" s="10">
        <f>BQ37</f>
        <v/>
      </c>
      <c r="BZ37" s="10">
        <f>I37/G37*BS37</f>
        <v/>
      </c>
      <c r="CA37" s="10">
        <f>K37/G37</f>
        <v/>
      </c>
      <c r="CB37" s="10">
        <f>J37/G37</f>
        <v/>
      </c>
      <c r="CC37" s="10">
        <f>BW37-SUM(BY37:CB37)</f>
        <v/>
      </c>
      <c r="CD37" s="10">
        <f>SUM(BY37:CC37)</f>
        <v/>
      </c>
    </row>
    <row r="38">
      <c r="B38" s="14" t="inlineStr">
        <is>
          <t>CEN_TSC+CC90</t>
        </is>
      </c>
      <c r="C38" s="13" t="inlineStr">
        <is>
          <t>Ethane</t>
        </is>
      </c>
      <c r="D38" s="13" t="n">
        <v>0</v>
      </c>
      <c r="E38" s="13" t="n">
        <v>0</v>
      </c>
      <c r="F38" s="13" t="n">
        <v>0.008052966438000001</v>
      </c>
      <c r="G38" s="13" t="n">
        <v>0.05310189724</v>
      </c>
      <c r="H38" s="13" t="n">
        <v>0.02270169876</v>
      </c>
      <c r="I38" s="13" t="n">
        <v>0</v>
      </c>
      <c r="J38" s="13" t="n">
        <v>0.0241051226</v>
      </c>
      <c r="K38" s="13" t="n">
        <v>0.002678346955</v>
      </c>
      <c r="L38" s="13" t="n">
        <v>106875.1697</v>
      </c>
      <c r="M38" s="13" t="n">
        <v>58496.38728</v>
      </c>
      <c r="N38" s="13" t="n">
        <v>1.807224085</v>
      </c>
      <c r="O38" s="11">
        <f>CC38/0.22/14</f>
        <v/>
      </c>
      <c r="Q38" s="16" t="n">
        <v>99.913298</v>
      </c>
      <c r="R38" s="16" t="n">
        <v>-6.197641</v>
      </c>
      <c r="S38" s="16" t="n">
        <v>65.135812</v>
      </c>
      <c r="T38" s="16" t="n">
        <v>43.37233</v>
      </c>
      <c r="U38" s="16" t="n">
        <v>42.438418</v>
      </c>
      <c r="V38" s="11" t="n">
        <v>21.9863533</v>
      </c>
      <c r="W38" s="17" t="n"/>
      <c r="X38" s="17" t="n"/>
      <c r="Y38" s="16" t="n">
        <v>21.530919</v>
      </c>
      <c r="Z38" s="16" t="n">
        <v>6.288532</v>
      </c>
      <c r="AA38" s="16" t="n"/>
      <c r="AB38" s="17" t="n"/>
      <c r="AC38" s="17" t="n"/>
      <c r="AD38" s="17" t="n"/>
      <c r="AE38" s="17" t="n"/>
      <c r="AF38" s="17" t="n"/>
      <c r="AG38" s="17" t="n"/>
      <c r="AH38" s="16" t="n">
        <v>-1.431457</v>
      </c>
      <c r="AI38" s="16" t="n">
        <v>-3.351826</v>
      </c>
      <c r="AJ38" s="16" t="n">
        <v>796.736008</v>
      </c>
      <c r="AK38" s="16" t="n">
        <v>796.736008</v>
      </c>
      <c r="AM38" s="1">
        <f>B38</f>
        <v/>
      </c>
      <c r="AN38" s="1">
        <f>C38</f>
        <v/>
      </c>
      <c r="AO38" s="12">
        <f>SUM(AU38:BC38)+BE38+BF38</f>
        <v/>
      </c>
      <c r="AP38" s="12">
        <f>SUM(AU38:BC38)+BH38+BI38</f>
        <v/>
      </c>
      <c r="AQ38" s="5">
        <f>AO38-AP38</f>
        <v/>
      </c>
      <c r="AR38" s="12">
        <f>SUM(AU38:BC38)+BK38+BL38</f>
        <v/>
      </c>
      <c r="AS38" s="12">
        <f>SUM(AU38:BC38)+BN38+BO38</f>
        <v/>
      </c>
      <c r="AT38" s="5">
        <f>AR38-AS38</f>
        <v/>
      </c>
      <c r="AU38" s="5">
        <f>D38/G38*Z38</f>
        <v/>
      </c>
      <c r="AV38" s="1">
        <f>E38/G38*Z38*-1</f>
        <v/>
      </c>
      <c r="AW38" s="1">
        <f>F38/G38*Y38</f>
        <v/>
      </c>
      <c r="AX38" s="1">
        <f>1/G38*V38</f>
        <v/>
      </c>
      <c r="AY38" s="1">
        <f>H38/G38*AH38</f>
        <v/>
      </c>
      <c r="AZ38" s="1">
        <f>I38/G38*AH38*-1</f>
        <v/>
      </c>
      <c r="BA38" s="1">
        <f>L38/G38/(0.9*8760)</f>
        <v/>
      </c>
      <c r="BB38" s="1">
        <f>M38/G38/(0.9*8760)</f>
        <v/>
      </c>
      <c r="BC38" s="1">
        <f>N38/G38</f>
        <v/>
      </c>
      <c r="BD38" s="1">
        <f>BZ38+CA38+CB38</f>
        <v/>
      </c>
      <c r="BE38" s="1">
        <f>(Q38+R38)*-1*J38/G38</f>
        <v/>
      </c>
      <c r="BF38" s="1">
        <f>BD38*Q38</f>
        <v/>
      </c>
      <c r="BG38" s="1">
        <f>BZ38+CA38</f>
        <v/>
      </c>
      <c r="BH38" s="1">
        <f>R38*J38*-1/G38</f>
        <v/>
      </c>
      <c r="BI38" s="1">
        <f>BG38*Q38</f>
        <v/>
      </c>
      <c r="BJ38" s="1">
        <f>SUM(BY38:CC38)</f>
        <v/>
      </c>
      <c r="BK38" s="1">
        <f>(Q38+R38)*-1*J38/G38</f>
        <v/>
      </c>
      <c r="BL38" s="1">
        <f>BJ38*Q38</f>
        <v/>
      </c>
      <c r="BM38" s="1">
        <f>BY38+BZ38+CA38+CC38</f>
        <v/>
      </c>
      <c r="BN38" s="1">
        <f>J38/G38*R38*-1</f>
        <v/>
      </c>
      <c r="BO38" s="1">
        <f>Q38*BM38</f>
        <v/>
      </c>
      <c r="BQ38" s="9" t="n">
        <v>3.14</v>
      </c>
      <c r="BR38" s="10" t="n">
        <v>0.2218110024</v>
      </c>
      <c r="BS38" s="9" t="n">
        <v>0.18104824</v>
      </c>
      <c r="BU38" s="10">
        <f>1/G38*BR38</f>
        <v/>
      </c>
      <c r="BV38" s="10">
        <f>H38/G38*BS38</f>
        <v/>
      </c>
      <c r="BW38" s="10">
        <f>BU38+BV38</f>
        <v/>
      </c>
      <c r="BY38" s="10">
        <f>BQ38</f>
        <v/>
      </c>
      <c r="BZ38" s="10">
        <f>I38/G38*BS38</f>
        <v/>
      </c>
      <c r="CA38" s="10">
        <f>K38/G38</f>
        <v/>
      </c>
      <c r="CB38" s="10">
        <f>J38/G38</f>
        <v/>
      </c>
      <c r="CC38" s="10">
        <f>BW38-SUM(BY38:CB38)</f>
        <v/>
      </c>
      <c r="CD38" s="10">
        <f>SUM(BY38:CC38)</f>
        <v/>
      </c>
    </row>
    <row r="39">
      <c r="B39" s="14" t="inlineStr">
        <is>
          <t>CEN_TSC:H2</t>
        </is>
      </c>
      <c r="C39" s="13" t="inlineStr">
        <is>
          <t>Ethane</t>
        </is>
      </c>
      <c r="D39" s="13" t="n">
        <v>0</v>
      </c>
      <c r="E39" s="13" t="n">
        <v>0.1598531434</v>
      </c>
      <c r="F39" s="13" t="n">
        <v>0</v>
      </c>
      <c r="G39" s="13" t="n">
        <v>0.05310189724</v>
      </c>
      <c r="H39" s="13" t="n">
        <v>0.1318322859</v>
      </c>
      <c r="I39" s="13" t="n">
        <v>0</v>
      </c>
      <c r="J39" s="13" t="n">
        <v>0</v>
      </c>
      <c r="K39" s="13" t="n">
        <v>0.04654137028</v>
      </c>
      <c r="L39" s="13" t="n">
        <v>99124.32016</v>
      </c>
      <c r="M39" s="13" t="n">
        <v>54251.99777</v>
      </c>
      <c r="N39" s="13" t="n">
        <v>1.676159756</v>
      </c>
      <c r="O39" s="11">
        <f>CC39/0.22/14</f>
        <v/>
      </c>
      <c r="Q39" s="16" t="n">
        <v>99.913298</v>
      </c>
      <c r="R39" s="16" t="n">
        <v>-6.197641</v>
      </c>
      <c r="S39" s="16" t="n">
        <v>65.135812</v>
      </c>
      <c r="T39" s="16" t="n">
        <v>43.37233</v>
      </c>
      <c r="U39" s="16" t="n">
        <v>42.438418</v>
      </c>
      <c r="V39" s="11" t="n">
        <v>21.9863533</v>
      </c>
      <c r="W39" s="17" t="n"/>
      <c r="X39" s="17" t="n"/>
      <c r="Y39" s="16" t="n">
        <v>21.530919</v>
      </c>
      <c r="Z39" s="16" t="n">
        <v>6.288532</v>
      </c>
      <c r="AA39" s="16" t="n"/>
      <c r="AB39" s="17" t="n"/>
      <c r="AC39" s="17" t="n"/>
      <c r="AD39" s="17" t="n"/>
      <c r="AE39" s="17" t="n"/>
      <c r="AF39" s="17" t="n"/>
      <c r="AG39" s="17" t="n"/>
      <c r="AH39" s="16" t="n">
        <v>-1.431457</v>
      </c>
      <c r="AI39" s="16" t="n">
        <v>-3.351826</v>
      </c>
      <c r="AJ39" s="16" t="n">
        <v>796.736008</v>
      </c>
      <c r="AK39" s="16" t="n">
        <v>796.736008</v>
      </c>
      <c r="AM39" s="1">
        <f>B39</f>
        <v/>
      </c>
      <c r="AN39" s="1">
        <f>C39</f>
        <v/>
      </c>
      <c r="AO39" s="12">
        <f>SUM(AU39:BC39)+BE39+BF39</f>
        <v/>
      </c>
      <c r="AP39" s="12">
        <f>SUM(AU39:BC39)+BH39+BI39</f>
        <v/>
      </c>
      <c r="AQ39" s="5">
        <f>AO39-AP39</f>
        <v/>
      </c>
      <c r="AR39" s="12">
        <f>SUM(AU39:BC39)+BK39+BL39</f>
        <v/>
      </c>
      <c r="AS39" s="12">
        <f>SUM(AU39:BC39)+BN39+BO39</f>
        <v/>
      </c>
      <c r="AT39" s="5">
        <f>AR39-AS39</f>
        <v/>
      </c>
      <c r="AU39" s="5">
        <f>D39/G39*Z39</f>
        <v/>
      </c>
      <c r="AV39" s="1">
        <f>E39/G39*Z39*-1</f>
        <v/>
      </c>
      <c r="AW39" s="1">
        <f>F39/G39*Y39</f>
        <v/>
      </c>
      <c r="AX39" s="1">
        <f>1/G39*V39</f>
        <v/>
      </c>
      <c r="AY39" s="1">
        <f>H39/G39*AH39</f>
        <v/>
      </c>
      <c r="AZ39" s="1">
        <f>I39/G39*AH39*-1</f>
        <v/>
      </c>
      <c r="BA39" s="1">
        <f>L39/G39/(0.9*8760)</f>
        <v/>
      </c>
      <c r="BB39" s="1">
        <f>M39/G39/(0.9*8760)</f>
        <v/>
      </c>
      <c r="BC39" s="1">
        <f>N39/G39</f>
        <v/>
      </c>
      <c r="BD39" s="1">
        <f>BZ39+CA39+CB39</f>
        <v/>
      </c>
      <c r="BE39" s="1">
        <f>(Q39+R39)*-1*J39/G39</f>
        <v/>
      </c>
      <c r="BF39" s="1">
        <f>BD39*Q39</f>
        <v/>
      </c>
      <c r="BG39" s="1">
        <f>BZ39+CA39</f>
        <v/>
      </c>
      <c r="BH39" s="1">
        <f>R39*J39*-1/G39</f>
        <v/>
      </c>
      <c r="BI39" s="1">
        <f>BG39*Q39</f>
        <v/>
      </c>
      <c r="BJ39" s="1">
        <f>SUM(BY39:CC39)</f>
        <v/>
      </c>
      <c r="BK39" s="1">
        <f>(Q39+R39)*-1*J39/G39</f>
        <v/>
      </c>
      <c r="BL39" s="1">
        <f>BJ39*Q39</f>
        <v/>
      </c>
      <c r="BM39" s="1">
        <f>BY39+BZ39+CA39+CC39</f>
        <v/>
      </c>
      <c r="BN39" s="1">
        <f>J39/G39*R39*-1</f>
        <v/>
      </c>
      <c r="BO39" s="1">
        <f>Q39*BM39</f>
        <v/>
      </c>
      <c r="BQ39" s="9" t="n">
        <v>3.14</v>
      </c>
      <c r="BR39" s="10" t="n">
        <v>0.2218110024</v>
      </c>
      <c r="BS39" s="9" t="n">
        <v>0.18104824</v>
      </c>
      <c r="BU39" s="10">
        <f>1/G39*BR39</f>
        <v/>
      </c>
      <c r="BV39" s="10">
        <f>H39/G39*BS39</f>
        <v/>
      </c>
      <c r="BW39" s="10">
        <f>BU39+BV39</f>
        <v/>
      </c>
      <c r="BY39" s="10">
        <f>BQ39</f>
        <v/>
      </c>
      <c r="BZ39" s="10">
        <f>I39/G39*BS39</f>
        <v/>
      </c>
      <c r="CA39" s="10">
        <f>K39/G39</f>
        <v/>
      </c>
      <c r="CB39" s="10">
        <f>J39/G39</f>
        <v/>
      </c>
      <c r="CC39" s="10">
        <f>BW39-SUM(BY39:CB39)</f>
        <v/>
      </c>
      <c r="CD39" s="10">
        <f>SUM(BY39:CC39)</f>
        <v/>
      </c>
    </row>
    <row r="40">
      <c r="B40" s="14" t="inlineStr">
        <is>
          <t>CEN_TSC+CC90:H2</t>
        </is>
      </c>
      <c r="C40" s="13" t="inlineStr">
        <is>
          <t>Ethane</t>
        </is>
      </c>
      <c r="D40" s="13" t="n">
        <v>0</v>
      </c>
      <c r="E40" s="13" t="n">
        <v>0.1598531434</v>
      </c>
      <c r="F40" s="13" t="n">
        <v>0.009388736698</v>
      </c>
      <c r="G40" s="13" t="n">
        <v>0.05310189724</v>
      </c>
      <c r="H40" s="13" t="n">
        <v>0.1318322859</v>
      </c>
      <c r="I40" s="13" t="n">
        <v>0</v>
      </c>
      <c r="J40" s="13" t="n">
        <v>0.04188723326</v>
      </c>
      <c r="K40" s="13" t="n">
        <v>0.004654137028</v>
      </c>
      <c r="L40" s="13" t="n">
        <v>106900.9741</v>
      </c>
      <c r="M40" s="13" t="n">
        <v>58510.18581</v>
      </c>
      <c r="N40" s="13" t="n">
        <v>1.807660423</v>
      </c>
      <c r="O40" s="11">
        <f>CC40/0.22/14</f>
        <v/>
      </c>
      <c r="Q40" s="16" t="n">
        <v>99.913298</v>
      </c>
      <c r="R40" s="16" t="n">
        <v>-6.197641</v>
      </c>
      <c r="S40" s="16" t="n">
        <v>65.135812</v>
      </c>
      <c r="T40" s="16" t="n">
        <v>43.37233</v>
      </c>
      <c r="U40" s="16" t="n">
        <v>42.438418</v>
      </c>
      <c r="V40" s="11" t="n">
        <v>21.9863533</v>
      </c>
      <c r="W40" s="17" t="n"/>
      <c r="X40" s="17" t="n"/>
      <c r="Y40" s="16" t="n">
        <v>21.530919</v>
      </c>
      <c r="Z40" s="16" t="n">
        <v>6.288532</v>
      </c>
      <c r="AA40" s="16" t="n"/>
      <c r="AB40" s="17" t="n"/>
      <c r="AC40" s="17" t="n"/>
      <c r="AD40" s="17" t="n"/>
      <c r="AE40" s="17" t="n"/>
      <c r="AF40" s="17" t="n"/>
      <c r="AG40" s="17" t="n"/>
      <c r="AH40" s="16" t="n">
        <v>-1.431457</v>
      </c>
      <c r="AI40" s="16" t="n">
        <v>-3.351826</v>
      </c>
      <c r="AJ40" s="16" t="n">
        <v>796.736008</v>
      </c>
      <c r="AK40" s="16" t="n">
        <v>796.736008</v>
      </c>
      <c r="AM40" s="1">
        <f>B40</f>
        <v/>
      </c>
      <c r="AN40" s="1">
        <f>C40</f>
        <v/>
      </c>
      <c r="AO40" s="12">
        <f>SUM(AU40:BC40)+BE40+BF40</f>
        <v/>
      </c>
      <c r="AP40" s="12">
        <f>SUM(AU40:BC40)+BH40+BI40</f>
        <v/>
      </c>
      <c r="AQ40" s="5">
        <f>AO40-AP40</f>
        <v/>
      </c>
      <c r="AR40" s="12">
        <f>SUM(AU40:BC40)+BK40+BL40</f>
        <v/>
      </c>
      <c r="AS40" s="12">
        <f>SUM(AU40:BC40)+BN40+BO40</f>
        <v/>
      </c>
      <c r="AT40" s="5">
        <f>AR40-AS40</f>
        <v/>
      </c>
      <c r="AU40" s="5">
        <f>D40/G40*Z40</f>
        <v/>
      </c>
      <c r="AV40" s="1">
        <f>E40/G40*Z40*-1</f>
        <v/>
      </c>
      <c r="AW40" s="1">
        <f>F40/G40*Y40</f>
        <v/>
      </c>
      <c r="AX40" s="1">
        <f>1/G40*V40</f>
        <v/>
      </c>
      <c r="AY40" s="1">
        <f>H40/G40*AH40</f>
        <v/>
      </c>
      <c r="AZ40" s="1">
        <f>I40/G40*AH40*-1</f>
        <v/>
      </c>
      <c r="BA40" s="1">
        <f>L40/G40/(0.9*8760)</f>
        <v/>
      </c>
      <c r="BB40" s="1">
        <f>M40/G40/(0.9*8760)</f>
        <v/>
      </c>
      <c r="BC40" s="1">
        <f>N40/G40</f>
        <v/>
      </c>
      <c r="BD40" s="1">
        <f>BZ40+CA40+CB40</f>
        <v/>
      </c>
      <c r="BE40" s="1">
        <f>(Q40+R40)*-1*J40/G40</f>
        <v/>
      </c>
      <c r="BF40" s="1">
        <f>BD40*Q40</f>
        <v/>
      </c>
      <c r="BG40" s="1">
        <f>BZ40+CA40</f>
        <v/>
      </c>
      <c r="BH40" s="1">
        <f>R40*J40*-1/G40</f>
        <v/>
      </c>
      <c r="BI40" s="1">
        <f>BG40*Q40</f>
        <v/>
      </c>
      <c r="BJ40" s="1">
        <f>SUM(BY40:CC40)</f>
        <v/>
      </c>
      <c r="BK40" s="1">
        <f>(Q40+R40)*-1*J40/G40</f>
        <v/>
      </c>
      <c r="BL40" s="1">
        <f>BJ40*Q40</f>
        <v/>
      </c>
      <c r="BM40" s="1">
        <f>BY40+BZ40+CA40+CC40</f>
        <v/>
      </c>
      <c r="BN40" s="1">
        <f>J40/G40*R40*-1</f>
        <v/>
      </c>
      <c r="BO40" s="1">
        <f>Q40*BM40</f>
        <v/>
      </c>
      <c r="BQ40" s="9" t="n">
        <v>3.14</v>
      </c>
      <c r="BR40" s="10" t="n">
        <v>0.2218110024</v>
      </c>
      <c r="BS40" s="9" t="n">
        <v>0.18104824</v>
      </c>
      <c r="BU40" s="10">
        <f>1/G40*BR40</f>
        <v/>
      </c>
      <c r="BV40" s="10">
        <f>H40/G40*BS40</f>
        <v/>
      </c>
      <c r="BW40" s="10">
        <f>BU40+BV40</f>
        <v/>
      </c>
      <c r="BY40" s="10">
        <f>BQ40</f>
        <v/>
      </c>
      <c r="BZ40" s="10">
        <f>I40/G40*BS40</f>
        <v/>
      </c>
      <c r="CA40" s="10">
        <f>K40/G40</f>
        <v/>
      </c>
      <c r="CB40" s="10">
        <f>J40/G40</f>
        <v/>
      </c>
      <c r="CC40" s="10">
        <f>BW40-SUM(BY40:CB40)</f>
        <v/>
      </c>
      <c r="CD40" s="10">
        <f>SUM(BY40:CC40)</f>
        <v/>
      </c>
    </row>
    <row r="41">
      <c r="B41" s="14" t="inlineStr">
        <is>
          <t>CEN_TSC+H2in</t>
        </is>
      </c>
      <c r="C41" s="13" t="inlineStr">
        <is>
          <t>Ethane</t>
        </is>
      </c>
      <c r="D41" s="13" t="n">
        <v>0.02226644157</v>
      </c>
      <c r="E41" s="13" t="n">
        <v>0</v>
      </c>
      <c r="F41" s="13" t="n">
        <v>0</v>
      </c>
      <c r="G41" s="13" t="n">
        <v>0.05310189724</v>
      </c>
      <c r="H41" s="13" t="n">
        <v>0</v>
      </c>
      <c r="I41" s="13" t="n">
        <v>0</v>
      </c>
      <c r="J41" s="13" t="n">
        <v>0</v>
      </c>
      <c r="K41" s="13" t="n">
        <v>0.02267336695</v>
      </c>
      <c r="L41" s="13" t="n">
        <v>99124.32016</v>
      </c>
      <c r="M41" s="13" t="n">
        <v>54251.99777</v>
      </c>
      <c r="N41" s="13" t="n">
        <v>1.676159756</v>
      </c>
      <c r="O41" s="11">
        <f>CC41/0.22/14</f>
        <v/>
      </c>
      <c r="Q41" s="16" t="n">
        <v>99.913298</v>
      </c>
      <c r="R41" s="16" t="n">
        <v>-6.197641</v>
      </c>
      <c r="S41" s="16" t="n">
        <v>65.135812</v>
      </c>
      <c r="T41" s="16" t="n">
        <v>43.37233</v>
      </c>
      <c r="U41" s="16" t="n">
        <v>42.438418</v>
      </c>
      <c r="V41" s="11" t="n">
        <v>21.9863533</v>
      </c>
      <c r="W41" s="17" t="n"/>
      <c r="X41" s="17" t="n"/>
      <c r="Y41" s="16" t="n">
        <v>21.530919</v>
      </c>
      <c r="Z41" s="16" t="n">
        <v>6.288532</v>
      </c>
      <c r="AA41" s="16" t="n"/>
      <c r="AB41" s="17" t="n"/>
      <c r="AC41" s="17" t="n"/>
      <c r="AD41" s="17" t="n"/>
      <c r="AE41" s="17" t="n"/>
      <c r="AF41" s="17" t="n"/>
      <c r="AG41" s="17" t="n"/>
      <c r="AH41" s="16" t="n">
        <v>-1.431457</v>
      </c>
      <c r="AI41" s="16" t="n">
        <v>-3.351826</v>
      </c>
      <c r="AJ41" s="16" t="n">
        <v>796.736008</v>
      </c>
      <c r="AK41" s="16" t="n">
        <v>796.736008</v>
      </c>
      <c r="AM41" s="1">
        <f>B41</f>
        <v/>
      </c>
      <c r="AN41" s="1">
        <f>C41</f>
        <v/>
      </c>
      <c r="AO41" s="12">
        <f>SUM(AU41:BC41)+BE41+BF41</f>
        <v/>
      </c>
      <c r="AP41" s="12">
        <f>SUM(AU41:BC41)+BH41+BI41</f>
        <v/>
      </c>
      <c r="AQ41" s="5">
        <f>AO41-AP41</f>
        <v/>
      </c>
      <c r="AR41" s="12">
        <f>SUM(AU41:BC41)+BK41+BL41</f>
        <v/>
      </c>
      <c r="AS41" s="12">
        <f>SUM(AU41:BC41)+BN41+BO41</f>
        <v/>
      </c>
      <c r="AT41" s="5">
        <f>AR41-AS41</f>
        <v/>
      </c>
      <c r="AU41" s="5">
        <f>D41/G41*Z41</f>
        <v/>
      </c>
      <c r="AV41" s="1">
        <f>E41/G41*Z41*-1</f>
        <v/>
      </c>
      <c r="AW41" s="1">
        <f>F41/G41*Y41</f>
        <v/>
      </c>
      <c r="AX41" s="1">
        <f>1/G41*V41</f>
        <v/>
      </c>
      <c r="AY41" s="1">
        <f>H41/G41*AH41</f>
        <v/>
      </c>
      <c r="AZ41" s="1">
        <f>I41/G41*AH41*-1</f>
        <v/>
      </c>
      <c r="BA41" s="1">
        <f>L41/G41/(0.9*8760)</f>
        <v/>
      </c>
      <c r="BB41" s="1">
        <f>M41/G41/(0.9*8760)</f>
        <v/>
      </c>
      <c r="BC41" s="1">
        <f>N41/G41</f>
        <v/>
      </c>
      <c r="BD41" s="1">
        <f>BZ41+CA41+CB41</f>
        <v/>
      </c>
      <c r="BE41" s="1">
        <f>(Q41+R41)*-1*J41/G41</f>
        <v/>
      </c>
      <c r="BF41" s="1">
        <f>BD41*Q41</f>
        <v/>
      </c>
      <c r="BG41" s="1">
        <f>BZ41+CA41</f>
        <v/>
      </c>
      <c r="BH41" s="1">
        <f>R41*J41*-1/G41</f>
        <v/>
      </c>
      <c r="BI41" s="1">
        <f>BG41*Q41</f>
        <v/>
      </c>
      <c r="BJ41" s="1">
        <f>SUM(BY41:CC41)</f>
        <v/>
      </c>
      <c r="BK41" s="1">
        <f>(Q41+R41)*-1*J41/G41</f>
        <v/>
      </c>
      <c r="BL41" s="1">
        <f>BJ41*Q41</f>
        <v/>
      </c>
      <c r="BM41" s="1">
        <f>BY41+BZ41+CA41+CC41</f>
        <v/>
      </c>
      <c r="BN41" s="1">
        <f>J41/G41*R41*-1</f>
        <v/>
      </c>
      <c r="BO41" s="1">
        <f>Q41*BM41</f>
        <v/>
      </c>
      <c r="BQ41" s="9" t="n">
        <v>3.14</v>
      </c>
      <c r="BR41" s="10" t="n">
        <v>0.2218110024</v>
      </c>
      <c r="BS41" s="9" t="n">
        <v>0.18104824</v>
      </c>
      <c r="BU41" s="10">
        <f>1/G41*BR41</f>
        <v/>
      </c>
      <c r="BV41" s="10">
        <f>H41/G41*BS41</f>
        <v/>
      </c>
      <c r="BW41" s="10">
        <f>BU41+BV41</f>
        <v/>
      </c>
      <c r="BY41" s="10">
        <f>BQ41</f>
        <v/>
      </c>
      <c r="BZ41" s="10">
        <f>I41/G41*BS41</f>
        <v/>
      </c>
      <c r="CA41" s="10">
        <f>K41/G41</f>
        <v/>
      </c>
      <c r="CB41" s="10">
        <f>J41/G41</f>
        <v/>
      </c>
      <c r="CC41" s="10">
        <f>BW41-SUM(BY41:CB41)</f>
        <v/>
      </c>
      <c r="CD41" s="10">
        <f>SUM(BY41:CC41)</f>
        <v/>
      </c>
    </row>
    <row r="42">
      <c r="B42" s="14" t="inlineStr">
        <is>
          <t>CEN_TSC+H2in:CH4</t>
        </is>
      </c>
      <c r="C42" s="13" t="inlineStr">
        <is>
          <t>Ethane</t>
        </is>
      </c>
      <c r="D42" s="13" t="n">
        <v>0.1375867019</v>
      </c>
      <c r="E42" s="13" t="n">
        <v>0</v>
      </c>
      <c r="F42" s="13" t="n">
        <v>0</v>
      </c>
      <c r="G42" s="13" t="n">
        <v>0.05310189724</v>
      </c>
      <c r="H42" s="13" t="n">
        <v>0</v>
      </c>
      <c r="I42" s="13" t="n">
        <v>0.1181424966</v>
      </c>
      <c r="J42" s="13" t="n">
        <v>0</v>
      </c>
      <c r="K42" s="13" t="n">
        <v>0.001283875878</v>
      </c>
      <c r="L42" s="13" t="n">
        <v>99124.32016</v>
      </c>
      <c r="M42" s="13" t="n">
        <v>54251.99777</v>
      </c>
      <c r="N42" s="13" t="n">
        <v>1.676159756</v>
      </c>
      <c r="O42" s="11">
        <f>CC42/0.22/14</f>
        <v/>
      </c>
      <c r="Q42" s="16" t="n">
        <v>99.913298</v>
      </c>
      <c r="R42" s="16" t="n">
        <v>-6.197641</v>
      </c>
      <c r="S42" s="16" t="n">
        <v>65.135812</v>
      </c>
      <c r="T42" s="16" t="n">
        <v>43.37233</v>
      </c>
      <c r="U42" s="16" t="n">
        <v>42.438418</v>
      </c>
      <c r="V42" s="11" t="n">
        <v>21.9863533</v>
      </c>
      <c r="W42" s="17" t="n"/>
      <c r="X42" s="17" t="n"/>
      <c r="Y42" s="16" t="n">
        <v>21.530919</v>
      </c>
      <c r="Z42" s="16" t="n">
        <v>6.288532</v>
      </c>
      <c r="AA42" s="16" t="n"/>
      <c r="AB42" s="17" t="n"/>
      <c r="AC42" s="17" t="n"/>
      <c r="AD42" s="17" t="n"/>
      <c r="AE42" s="17" t="n"/>
      <c r="AF42" s="17" t="n"/>
      <c r="AG42" s="17" t="n"/>
      <c r="AH42" s="16" t="n">
        <v>-1.431457</v>
      </c>
      <c r="AI42" s="16" t="n">
        <v>-3.351826</v>
      </c>
      <c r="AJ42" s="16" t="n">
        <v>796.736008</v>
      </c>
      <c r="AK42" s="16" t="n">
        <v>796.736008</v>
      </c>
      <c r="AM42" s="1">
        <f>B42</f>
        <v/>
      </c>
      <c r="AN42" s="1">
        <f>C42</f>
        <v/>
      </c>
      <c r="AO42" s="12">
        <f>SUM(AU42:BC42)+BE42+BF42</f>
        <v/>
      </c>
      <c r="AP42" s="12">
        <f>SUM(AU42:BC42)+BH42+BI42</f>
        <v/>
      </c>
      <c r="AQ42" s="5">
        <f>AO42-AP42</f>
        <v/>
      </c>
      <c r="AR42" s="12">
        <f>SUM(AU42:BC42)+BK42+BL42</f>
        <v/>
      </c>
      <c r="AS42" s="12">
        <f>SUM(AU42:BC42)+BN42+BO42</f>
        <v/>
      </c>
      <c r="AT42" s="5">
        <f>AR42-AS42</f>
        <v/>
      </c>
      <c r="AU42" s="5">
        <f>D42/G42*Z42</f>
        <v/>
      </c>
      <c r="AV42" s="1">
        <f>E42/G42*Z42*-1</f>
        <v/>
      </c>
      <c r="AW42" s="1">
        <f>F42/G42*Y42</f>
        <v/>
      </c>
      <c r="AX42" s="1">
        <f>1/G42*V42</f>
        <v/>
      </c>
      <c r="AY42" s="1">
        <f>H42/G42*AH42</f>
        <v/>
      </c>
      <c r="AZ42" s="1">
        <f>I42/G42*AH42*-1</f>
        <v/>
      </c>
      <c r="BA42" s="1">
        <f>L42/G42/(0.9*8760)</f>
        <v/>
      </c>
      <c r="BB42" s="1">
        <f>M42/G42/(0.9*8760)</f>
        <v/>
      </c>
      <c r="BC42" s="1">
        <f>N42/G42</f>
        <v/>
      </c>
      <c r="BD42" s="1">
        <f>BZ42+CA42+CB42</f>
        <v/>
      </c>
      <c r="BE42" s="1">
        <f>(Q42+R42)*-1*J42/G42</f>
        <v/>
      </c>
      <c r="BF42" s="1">
        <f>BD42*Q42</f>
        <v/>
      </c>
      <c r="BG42" s="1">
        <f>BZ42+CA42</f>
        <v/>
      </c>
      <c r="BH42" s="1">
        <f>R42*J42*-1/G42</f>
        <v/>
      </c>
      <c r="BI42" s="1">
        <f>BG42*Q42</f>
        <v/>
      </c>
      <c r="BJ42" s="1">
        <f>SUM(BY42:CC42)</f>
        <v/>
      </c>
      <c r="BK42" s="1">
        <f>(Q42+R42)*-1*J42/G42</f>
        <v/>
      </c>
      <c r="BL42" s="1">
        <f>BJ42*Q42</f>
        <v/>
      </c>
      <c r="BM42" s="1">
        <f>BY42+BZ42+CA42+CC42</f>
        <v/>
      </c>
      <c r="BN42" s="1">
        <f>J42/G42*R42*-1</f>
        <v/>
      </c>
      <c r="BO42" s="1">
        <f>Q42*BM42</f>
        <v/>
      </c>
      <c r="BQ42" s="9" t="n">
        <v>3.14</v>
      </c>
      <c r="BR42" s="10" t="n">
        <v>0.2218110024</v>
      </c>
      <c r="BS42" s="9" t="n">
        <v>0.18104824</v>
      </c>
      <c r="BU42" s="10">
        <f>1/G42*BR42</f>
        <v/>
      </c>
      <c r="BV42" s="10">
        <f>H42/G42*BS42</f>
        <v/>
      </c>
      <c r="BW42" s="10">
        <f>BU42+BV42</f>
        <v/>
      </c>
      <c r="BY42" s="10">
        <f>BQ42</f>
        <v/>
      </c>
      <c r="BZ42" s="10">
        <f>I42/G42*BS42</f>
        <v/>
      </c>
      <c r="CA42" s="10">
        <f>K42/G42</f>
        <v/>
      </c>
      <c r="CB42" s="10">
        <f>J42/G42</f>
        <v/>
      </c>
      <c r="CC42" s="10">
        <f>BW42-SUM(BY42:CB42)</f>
        <v/>
      </c>
      <c r="CD42" s="10">
        <f>SUM(BY42:CC42)</f>
        <v/>
      </c>
    </row>
    <row r="43">
      <c r="B43" s="14" t="inlineStr">
        <is>
          <t>SE_TSC+CC90</t>
        </is>
      </c>
      <c r="C43" s="13" t="inlineStr">
        <is>
          <t>Ethane</t>
        </is>
      </c>
      <c r="D43" s="13" t="n">
        <v>0</v>
      </c>
      <c r="E43" s="13" t="n">
        <v>0</v>
      </c>
      <c r="F43" s="13" t="n">
        <v>0.008052966438000001</v>
      </c>
      <c r="G43" s="13" t="n">
        <v>0.05310189724</v>
      </c>
      <c r="H43" s="13" t="n">
        <v>0.02270169876</v>
      </c>
      <c r="I43" s="13" t="n">
        <v>0</v>
      </c>
      <c r="J43" s="13" t="n">
        <v>0.0241051226</v>
      </c>
      <c r="K43" s="13" t="n">
        <v>0.002678346955</v>
      </c>
      <c r="L43" s="13" t="n">
        <v>106875.1697</v>
      </c>
      <c r="M43" s="13" t="n">
        <v>58496.38728</v>
      </c>
      <c r="N43" s="13" t="n">
        <v>1.807224085</v>
      </c>
      <c r="O43" s="11">
        <f>CC43/0.22/14</f>
        <v/>
      </c>
      <c r="Q43" s="16" t="n">
        <v>99.913298</v>
      </c>
      <c r="R43" s="16" t="n">
        <v>-6.084348</v>
      </c>
      <c r="S43" s="16" t="n">
        <v>64.97039700000001</v>
      </c>
      <c r="T43" s="16" t="n">
        <v>43.861592</v>
      </c>
      <c r="U43" s="16" t="n">
        <v>39.255601</v>
      </c>
      <c r="V43" s="11" t="n">
        <v>21.9863533</v>
      </c>
      <c r="W43" s="17" t="n"/>
      <c r="X43" s="17" t="n"/>
      <c r="Y43" s="16" t="n">
        <v>21.109138</v>
      </c>
      <c r="Z43" s="16" t="n">
        <v>6.240639</v>
      </c>
      <c r="AA43" s="16" t="n"/>
      <c r="AB43" s="17" t="n"/>
      <c r="AC43" s="17" t="n"/>
      <c r="AD43" s="17" t="n"/>
      <c r="AE43" s="17" t="n"/>
      <c r="AF43" s="17" t="n"/>
      <c r="AG43" s="17" t="n"/>
      <c r="AH43" s="16" t="n">
        <v>-1.452344</v>
      </c>
      <c r="AI43" s="16" t="n">
        <v>-3.071509</v>
      </c>
      <c r="AJ43" s="16" t="n">
        <v>796.736008</v>
      </c>
      <c r="AK43" s="16" t="n">
        <v>796.736008</v>
      </c>
      <c r="AM43" s="1">
        <f>B43</f>
        <v/>
      </c>
      <c r="AN43" s="1">
        <f>C43</f>
        <v/>
      </c>
      <c r="AO43" s="12">
        <f>SUM(AU43:BC43)+BE43+BF43</f>
        <v/>
      </c>
      <c r="AP43" s="12">
        <f>SUM(AU43:BC43)+BH43+BI43</f>
        <v/>
      </c>
      <c r="AQ43" s="5">
        <f>AO43-AP43</f>
        <v/>
      </c>
      <c r="AR43" s="12">
        <f>SUM(AU43:BC43)+BK43+BL43</f>
        <v/>
      </c>
      <c r="AS43" s="12">
        <f>SUM(AU43:BC43)+BN43+BO43</f>
        <v/>
      </c>
      <c r="AT43" s="5">
        <f>AR43-AS43</f>
        <v/>
      </c>
      <c r="AU43" s="5">
        <f>D43/G43*Z43</f>
        <v/>
      </c>
      <c r="AV43" s="1">
        <f>E43/G43*Z43*-1</f>
        <v/>
      </c>
      <c r="AW43" s="1">
        <f>F43/G43*Y43</f>
        <v/>
      </c>
      <c r="AX43" s="1">
        <f>1/G43*V43</f>
        <v/>
      </c>
      <c r="AY43" s="1">
        <f>H43/G43*AH43</f>
        <v/>
      </c>
      <c r="AZ43" s="1">
        <f>I43/G43*AH43*-1</f>
        <v/>
      </c>
      <c r="BA43" s="1">
        <f>L43/G43/(0.9*8760)</f>
        <v/>
      </c>
      <c r="BB43" s="1">
        <f>M43/G43/(0.9*8760)</f>
        <v/>
      </c>
      <c r="BC43" s="1">
        <f>N43/G43</f>
        <v/>
      </c>
      <c r="BD43" s="1">
        <f>BZ43+CA43+CB43</f>
        <v/>
      </c>
      <c r="BE43" s="1">
        <f>(Q43+R43)*-1*J43/G43</f>
        <v/>
      </c>
      <c r="BF43" s="1">
        <f>BD43*Q43</f>
        <v/>
      </c>
      <c r="BG43" s="1">
        <f>BZ43+CA43</f>
        <v/>
      </c>
      <c r="BH43" s="1">
        <f>R43*J43*-1/G43</f>
        <v/>
      </c>
      <c r="BI43" s="1">
        <f>BG43*Q43</f>
        <v/>
      </c>
      <c r="BJ43" s="1">
        <f>SUM(BY43:CC43)</f>
        <v/>
      </c>
      <c r="BK43" s="1">
        <f>(Q43+R43)*-1*J43/G43</f>
        <v/>
      </c>
      <c r="BL43" s="1">
        <f>BJ43*Q43</f>
        <v/>
      </c>
      <c r="BM43" s="1">
        <f>BY43+BZ43+CA43+CC43</f>
        <v/>
      </c>
      <c r="BN43" s="1">
        <f>J43/G43*R43*-1</f>
        <v/>
      </c>
      <c r="BO43" s="1">
        <f>Q43*BM43</f>
        <v/>
      </c>
      <c r="BQ43" s="9" t="n">
        <v>3.14</v>
      </c>
      <c r="BR43" s="10" t="n">
        <v>0.2218110024</v>
      </c>
      <c r="BS43" s="9" t="n">
        <v>0.18104824</v>
      </c>
      <c r="BU43" s="10">
        <f>1/G43*BR43</f>
        <v/>
      </c>
      <c r="BV43" s="10">
        <f>H43/G43*BS43</f>
        <v/>
      </c>
      <c r="BW43" s="10">
        <f>BU43+BV43</f>
        <v/>
      </c>
      <c r="BY43" s="10">
        <f>BQ43</f>
        <v/>
      </c>
      <c r="BZ43" s="10">
        <f>I43/G43*BS43</f>
        <v/>
      </c>
      <c r="CA43" s="10">
        <f>K43/G43</f>
        <v/>
      </c>
      <c r="CB43" s="10">
        <f>J43/G43</f>
        <v/>
      </c>
      <c r="CC43" s="10">
        <f>BW43-SUM(BY43:CB43)</f>
        <v/>
      </c>
      <c r="CD43" s="10">
        <f>SUM(BY43:CC43)</f>
        <v/>
      </c>
    </row>
    <row r="44">
      <c r="B44" s="14" t="inlineStr">
        <is>
          <t>SE_TSC:H2</t>
        </is>
      </c>
      <c r="C44" s="13" t="inlineStr">
        <is>
          <t>Ethane</t>
        </is>
      </c>
      <c r="D44" s="13" t="n">
        <v>0</v>
      </c>
      <c r="E44" s="13" t="n">
        <v>0.1598531434</v>
      </c>
      <c r="F44" s="13" t="n">
        <v>0</v>
      </c>
      <c r="G44" s="13" t="n">
        <v>0.05310189724</v>
      </c>
      <c r="H44" s="13" t="n">
        <v>0.1318322859</v>
      </c>
      <c r="I44" s="13" t="n">
        <v>0</v>
      </c>
      <c r="J44" s="13" t="n">
        <v>0</v>
      </c>
      <c r="K44" s="13" t="n">
        <v>0.04654137028</v>
      </c>
      <c r="L44" s="13" t="n">
        <v>99124.32016</v>
      </c>
      <c r="M44" s="13" t="n">
        <v>54251.99777</v>
      </c>
      <c r="N44" s="13" t="n">
        <v>1.676159756</v>
      </c>
      <c r="O44" s="11">
        <f>CC44/0.22/14</f>
        <v/>
      </c>
      <c r="Q44" s="16" t="n">
        <v>99.913298</v>
      </c>
      <c r="R44" s="16" t="n">
        <v>-6.084348</v>
      </c>
      <c r="S44" s="16" t="n">
        <v>64.97039700000001</v>
      </c>
      <c r="T44" s="16" t="n">
        <v>43.861592</v>
      </c>
      <c r="U44" s="16" t="n">
        <v>39.255601</v>
      </c>
      <c r="V44" s="11" t="n">
        <v>21.9863533</v>
      </c>
      <c r="W44" s="17" t="n"/>
      <c r="X44" s="17" t="n"/>
      <c r="Y44" s="16" t="n">
        <v>21.109138</v>
      </c>
      <c r="Z44" s="16" t="n">
        <v>6.240639</v>
      </c>
      <c r="AA44" s="16" t="n"/>
      <c r="AB44" s="17" t="n"/>
      <c r="AC44" s="17" t="n"/>
      <c r="AD44" s="17" t="n"/>
      <c r="AE44" s="17" t="n"/>
      <c r="AF44" s="17" t="n"/>
      <c r="AG44" s="17" t="n"/>
      <c r="AH44" s="16" t="n">
        <v>-1.452344</v>
      </c>
      <c r="AI44" s="16" t="n">
        <v>-3.071509</v>
      </c>
      <c r="AJ44" s="16" t="n">
        <v>796.736008</v>
      </c>
      <c r="AK44" s="16" t="n">
        <v>796.736008</v>
      </c>
      <c r="AM44" s="1">
        <f>B44</f>
        <v/>
      </c>
      <c r="AN44" s="1">
        <f>C44</f>
        <v/>
      </c>
      <c r="AO44" s="12">
        <f>SUM(AU44:BC44)+BE44+BF44</f>
        <v/>
      </c>
      <c r="AP44" s="12">
        <f>SUM(AU44:BC44)+BH44+BI44</f>
        <v/>
      </c>
      <c r="AQ44" s="5">
        <f>AO44-AP44</f>
        <v/>
      </c>
      <c r="AR44" s="12">
        <f>SUM(AU44:BC44)+BK44+BL44</f>
        <v/>
      </c>
      <c r="AS44" s="12">
        <f>SUM(AU44:BC44)+BN44+BO44</f>
        <v/>
      </c>
      <c r="AT44" s="5">
        <f>AR44-AS44</f>
        <v/>
      </c>
      <c r="AU44" s="5">
        <f>D44/G44*Z44</f>
        <v/>
      </c>
      <c r="AV44" s="1">
        <f>E44/G44*Z44*-1</f>
        <v/>
      </c>
      <c r="AW44" s="1">
        <f>F44/G44*Y44</f>
        <v/>
      </c>
      <c r="AX44" s="1">
        <f>1/G44*V44</f>
        <v/>
      </c>
      <c r="AY44" s="1">
        <f>H44/G44*AH44</f>
        <v/>
      </c>
      <c r="AZ44" s="1">
        <f>I44/G44*AH44*-1</f>
        <v/>
      </c>
      <c r="BA44" s="1">
        <f>L44/G44/(0.9*8760)</f>
        <v/>
      </c>
      <c r="BB44" s="1">
        <f>M44/G44/(0.9*8760)</f>
        <v/>
      </c>
      <c r="BC44" s="1">
        <f>N44/G44</f>
        <v/>
      </c>
      <c r="BD44" s="1">
        <f>BZ44+CA44+CB44</f>
        <v/>
      </c>
      <c r="BE44" s="1">
        <f>(Q44+R44)*-1*J44/G44</f>
        <v/>
      </c>
      <c r="BF44" s="1">
        <f>BD44*Q44</f>
        <v/>
      </c>
      <c r="BG44" s="1">
        <f>BZ44+CA44</f>
        <v/>
      </c>
      <c r="BH44" s="1">
        <f>R44*J44*-1/G44</f>
        <v/>
      </c>
      <c r="BI44" s="1">
        <f>BG44*Q44</f>
        <v/>
      </c>
      <c r="BJ44" s="1">
        <f>SUM(BY44:CC44)</f>
        <v/>
      </c>
      <c r="BK44" s="1">
        <f>(Q44+R44)*-1*J44/G44</f>
        <v/>
      </c>
      <c r="BL44" s="1">
        <f>BJ44*Q44</f>
        <v/>
      </c>
      <c r="BM44" s="1">
        <f>BY44+BZ44+CA44+CC44</f>
        <v/>
      </c>
      <c r="BN44" s="1">
        <f>J44/G44*R44*-1</f>
        <v/>
      </c>
      <c r="BO44" s="1">
        <f>Q44*BM44</f>
        <v/>
      </c>
      <c r="BQ44" s="9" t="n">
        <v>3.14</v>
      </c>
      <c r="BR44" s="10" t="n">
        <v>0.2218110024</v>
      </c>
      <c r="BS44" s="9" t="n">
        <v>0.18104824</v>
      </c>
      <c r="BU44" s="10">
        <f>1/G44*BR44</f>
        <v/>
      </c>
      <c r="BV44" s="10">
        <f>H44/G44*BS44</f>
        <v/>
      </c>
      <c r="BW44" s="10">
        <f>BU44+BV44</f>
        <v/>
      </c>
      <c r="BY44" s="10">
        <f>BQ44</f>
        <v/>
      </c>
      <c r="BZ44" s="10">
        <f>I44/G44*BS44</f>
        <v/>
      </c>
      <c r="CA44" s="10">
        <f>K44/G44</f>
        <v/>
      </c>
      <c r="CB44" s="10">
        <f>J44/G44</f>
        <v/>
      </c>
      <c r="CC44" s="10">
        <f>BW44-SUM(BY44:CB44)</f>
        <v/>
      </c>
      <c r="CD44" s="10">
        <f>SUM(BY44:CC44)</f>
        <v/>
      </c>
    </row>
    <row r="45">
      <c r="B45" s="14" t="inlineStr">
        <is>
          <t>SE_TSC+CC90:H2</t>
        </is>
      </c>
      <c r="C45" s="13" t="inlineStr">
        <is>
          <t>Ethane</t>
        </is>
      </c>
      <c r="D45" s="13" t="n">
        <v>0</v>
      </c>
      <c r="E45" s="13" t="n">
        <v>0.1598531434</v>
      </c>
      <c r="F45" s="13" t="n">
        <v>0.009388736698</v>
      </c>
      <c r="G45" s="13" t="n">
        <v>0.05310189724</v>
      </c>
      <c r="H45" s="13" t="n">
        <v>0.1318322859</v>
      </c>
      <c r="I45" s="13" t="n">
        <v>0</v>
      </c>
      <c r="J45" s="13" t="n">
        <v>0.04188723326</v>
      </c>
      <c r="K45" s="13" t="n">
        <v>0.004654137028</v>
      </c>
      <c r="L45" s="13" t="n">
        <v>106900.9741</v>
      </c>
      <c r="M45" s="13" t="n">
        <v>58510.18581</v>
      </c>
      <c r="N45" s="13" t="n">
        <v>1.807660423</v>
      </c>
      <c r="O45" s="11">
        <f>CC45/0.22/14</f>
        <v/>
      </c>
      <c r="Q45" s="16" t="n">
        <v>99.913298</v>
      </c>
      <c r="R45" s="16" t="n">
        <v>-6.084348</v>
      </c>
      <c r="S45" s="16" t="n">
        <v>64.97039700000001</v>
      </c>
      <c r="T45" s="16" t="n">
        <v>43.861592</v>
      </c>
      <c r="U45" s="16" t="n">
        <v>39.255601</v>
      </c>
      <c r="V45" s="11" t="n">
        <v>21.9863533</v>
      </c>
      <c r="W45" s="17" t="n"/>
      <c r="X45" s="17" t="n"/>
      <c r="Y45" s="16" t="n">
        <v>21.109138</v>
      </c>
      <c r="Z45" s="16" t="n">
        <v>6.240639</v>
      </c>
      <c r="AA45" s="16" t="n"/>
      <c r="AB45" s="17" t="n"/>
      <c r="AC45" s="17" t="n"/>
      <c r="AD45" s="17" t="n"/>
      <c r="AE45" s="17" t="n"/>
      <c r="AF45" s="17" t="n"/>
      <c r="AG45" s="17" t="n"/>
      <c r="AH45" s="16" t="n">
        <v>-1.452344</v>
      </c>
      <c r="AI45" s="16" t="n">
        <v>-3.071509</v>
      </c>
      <c r="AJ45" s="16" t="n">
        <v>796.736008</v>
      </c>
      <c r="AK45" s="16" t="n">
        <v>796.736008</v>
      </c>
      <c r="AM45" s="1">
        <f>B45</f>
        <v/>
      </c>
      <c r="AN45" s="1">
        <f>C45</f>
        <v/>
      </c>
      <c r="AO45" s="12">
        <f>SUM(AU45:BC45)+BE45+BF45</f>
        <v/>
      </c>
      <c r="AP45" s="12">
        <f>SUM(AU45:BC45)+BH45+BI45</f>
        <v/>
      </c>
      <c r="AQ45" s="5">
        <f>AO45-AP45</f>
        <v/>
      </c>
      <c r="AR45" s="12">
        <f>SUM(AU45:BC45)+BK45+BL45</f>
        <v/>
      </c>
      <c r="AS45" s="12">
        <f>SUM(AU45:BC45)+BN45+BO45</f>
        <v/>
      </c>
      <c r="AT45" s="5">
        <f>AR45-AS45</f>
        <v/>
      </c>
      <c r="AU45" s="5">
        <f>D45/G45*Z45</f>
        <v/>
      </c>
      <c r="AV45" s="1">
        <f>E45/G45*Z45*-1</f>
        <v/>
      </c>
      <c r="AW45" s="1">
        <f>F45/G45*Y45</f>
        <v/>
      </c>
      <c r="AX45" s="1">
        <f>1/G45*V45</f>
        <v/>
      </c>
      <c r="AY45" s="1">
        <f>H45/G45*AH45</f>
        <v/>
      </c>
      <c r="AZ45" s="1">
        <f>I45/G45*AH45*-1</f>
        <v/>
      </c>
      <c r="BA45" s="1">
        <f>L45/G45/(0.9*8760)</f>
        <v/>
      </c>
      <c r="BB45" s="1">
        <f>M45/G45/(0.9*8760)</f>
        <v/>
      </c>
      <c r="BC45" s="1">
        <f>N45/G45</f>
        <v/>
      </c>
      <c r="BD45" s="1">
        <f>BZ45+CA45+CB45</f>
        <v/>
      </c>
      <c r="BE45" s="1">
        <f>(Q45+R45)*-1*J45/G45</f>
        <v/>
      </c>
      <c r="BF45" s="1">
        <f>BD45*Q45</f>
        <v/>
      </c>
      <c r="BG45" s="1">
        <f>BZ45+CA45</f>
        <v/>
      </c>
      <c r="BH45" s="1">
        <f>R45*J45*-1/G45</f>
        <v/>
      </c>
      <c r="BI45" s="1">
        <f>BG45*Q45</f>
        <v/>
      </c>
      <c r="BJ45" s="1">
        <f>SUM(BY45:CC45)</f>
        <v/>
      </c>
      <c r="BK45" s="1">
        <f>(Q45+R45)*-1*J45/G45</f>
        <v/>
      </c>
      <c r="BL45" s="1">
        <f>BJ45*Q45</f>
        <v/>
      </c>
      <c r="BM45" s="1">
        <f>BY45+BZ45+CA45+CC45</f>
        <v/>
      </c>
      <c r="BN45" s="1">
        <f>J45/G45*R45*-1</f>
        <v/>
      </c>
      <c r="BO45" s="1">
        <f>Q45*BM45</f>
        <v/>
      </c>
      <c r="BQ45" s="9" t="n">
        <v>3.14</v>
      </c>
      <c r="BR45" s="10" t="n">
        <v>0.2218110024</v>
      </c>
      <c r="BS45" s="9" t="n">
        <v>0.18104824</v>
      </c>
      <c r="BU45" s="10">
        <f>1/G45*BR45</f>
        <v/>
      </c>
      <c r="BV45" s="10">
        <f>H45/G45*BS45</f>
        <v/>
      </c>
      <c r="BW45" s="10">
        <f>BU45+BV45</f>
        <v/>
      </c>
      <c r="BY45" s="10">
        <f>BQ45</f>
        <v/>
      </c>
      <c r="BZ45" s="10">
        <f>I45/G45*BS45</f>
        <v/>
      </c>
      <c r="CA45" s="10">
        <f>K45/G45</f>
        <v/>
      </c>
      <c r="CB45" s="10">
        <f>J45/G45</f>
        <v/>
      </c>
      <c r="CC45" s="10">
        <f>BW45-SUM(BY45:CB45)</f>
        <v/>
      </c>
      <c r="CD45" s="10">
        <f>SUM(BY45:CC45)</f>
        <v/>
      </c>
    </row>
    <row r="46">
      <c r="B46" s="14" t="inlineStr">
        <is>
          <t>SE_TSC+H2in</t>
        </is>
      </c>
      <c r="C46" s="13" t="inlineStr">
        <is>
          <t>Ethane</t>
        </is>
      </c>
      <c r="D46" s="13" t="n">
        <v>0.02226644157</v>
      </c>
      <c r="E46" s="13" t="n">
        <v>0</v>
      </c>
      <c r="F46" s="13" t="n">
        <v>0</v>
      </c>
      <c r="G46" s="13" t="n">
        <v>0.05310189724</v>
      </c>
      <c r="H46" s="13" t="n">
        <v>0</v>
      </c>
      <c r="I46" s="13" t="n">
        <v>0</v>
      </c>
      <c r="J46" s="13" t="n">
        <v>0</v>
      </c>
      <c r="K46" s="13" t="n">
        <v>0.02267336695</v>
      </c>
      <c r="L46" s="13" t="n">
        <v>99124.32016</v>
      </c>
      <c r="M46" s="13" t="n">
        <v>54251.99777</v>
      </c>
      <c r="N46" s="13" t="n">
        <v>1.676159756</v>
      </c>
      <c r="O46" s="11">
        <f>CC46/0.22/14</f>
        <v/>
      </c>
      <c r="Q46" s="16" t="n">
        <v>99.913298</v>
      </c>
      <c r="R46" s="16" t="n">
        <v>-6.084348</v>
      </c>
      <c r="S46" s="16" t="n">
        <v>64.97039700000001</v>
      </c>
      <c r="T46" s="16" t="n">
        <v>43.861592</v>
      </c>
      <c r="U46" s="16" t="n">
        <v>39.255601</v>
      </c>
      <c r="V46" s="11" t="n">
        <v>21.9863533</v>
      </c>
      <c r="W46" s="17" t="n"/>
      <c r="X46" s="17" t="n"/>
      <c r="Y46" s="16" t="n">
        <v>21.109138</v>
      </c>
      <c r="Z46" s="16" t="n">
        <v>6.240639</v>
      </c>
      <c r="AA46" s="16" t="n"/>
      <c r="AB46" s="17" t="n"/>
      <c r="AC46" s="17" t="n"/>
      <c r="AD46" s="17" t="n"/>
      <c r="AE46" s="17" t="n"/>
      <c r="AF46" s="17" t="n"/>
      <c r="AG46" s="17" t="n"/>
      <c r="AH46" s="16" t="n">
        <v>-1.452344</v>
      </c>
      <c r="AI46" s="16" t="n">
        <v>-3.071509</v>
      </c>
      <c r="AJ46" s="16" t="n">
        <v>796.736008</v>
      </c>
      <c r="AK46" s="16" t="n">
        <v>796.736008</v>
      </c>
      <c r="AM46" s="1">
        <f>B46</f>
        <v/>
      </c>
      <c r="AN46" s="1">
        <f>C46</f>
        <v/>
      </c>
      <c r="AO46" s="12">
        <f>SUM(AU46:BC46)+BE46+BF46</f>
        <v/>
      </c>
      <c r="AP46" s="12">
        <f>SUM(AU46:BC46)+BH46+BI46</f>
        <v/>
      </c>
      <c r="AQ46" s="5">
        <f>AO46-AP46</f>
        <v/>
      </c>
      <c r="AR46" s="12">
        <f>SUM(AU46:BC46)+BK46+BL46</f>
        <v/>
      </c>
      <c r="AS46" s="12">
        <f>SUM(AU46:BC46)+BN46+BO46</f>
        <v/>
      </c>
      <c r="AT46" s="5">
        <f>AR46-AS46</f>
        <v/>
      </c>
      <c r="AU46" s="5">
        <f>D46/G46*Z46</f>
        <v/>
      </c>
      <c r="AV46" s="1">
        <f>E46/G46*Z46*-1</f>
        <v/>
      </c>
      <c r="AW46" s="1">
        <f>F46/G46*Y46</f>
        <v/>
      </c>
      <c r="AX46" s="1">
        <f>1/G46*V46</f>
        <v/>
      </c>
      <c r="AY46" s="1">
        <f>H46/G46*AH46</f>
        <v/>
      </c>
      <c r="AZ46" s="1">
        <f>I46/G46*AH46*-1</f>
        <v/>
      </c>
      <c r="BA46" s="1">
        <f>L46/G46/(0.9*8760)</f>
        <v/>
      </c>
      <c r="BB46" s="1">
        <f>M46/G46/(0.9*8760)</f>
        <v/>
      </c>
      <c r="BC46" s="1">
        <f>N46/G46</f>
        <v/>
      </c>
      <c r="BD46" s="1">
        <f>BZ46+CA46+CB46</f>
        <v/>
      </c>
      <c r="BE46" s="1">
        <f>(Q46+R46)*-1*J46/G46</f>
        <v/>
      </c>
      <c r="BF46" s="1">
        <f>BD46*Q46</f>
        <v/>
      </c>
      <c r="BG46" s="1">
        <f>BZ46+CA46</f>
        <v/>
      </c>
      <c r="BH46" s="1">
        <f>R46*J46*-1/G46</f>
        <v/>
      </c>
      <c r="BI46" s="1">
        <f>BG46*Q46</f>
        <v/>
      </c>
      <c r="BJ46" s="1">
        <f>SUM(BY46:CC46)</f>
        <v/>
      </c>
      <c r="BK46" s="1">
        <f>(Q46+R46)*-1*J46/G46</f>
        <v/>
      </c>
      <c r="BL46" s="1">
        <f>BJ46*Q46</f>
        <v/>
      </c>
      <c r="BM46" s="1">
        <f>BY46+BZ46+CA46+CC46</f>
        <v/>
      </c>
      <c r="BN46" s="1">
        <f>J46/G46*R46*-1</f>
        <v/>
      </c>
      <c r="BO46" s="1">
        <f>Q46*BM46</f>
        <v/>
      </c>
      <c r="BQ46" s="9" t="n">
        <v>3.14</v>
      </c>
      <c r="BR46" s="10" t="n">
        <v>0.2218110024</v>
      </c>
      <c r="BS46" s="9" t="n">
        <v>0.18104824</v>
      </c>
      <c r="BU46" s="10">
        <f>1/G46*BR46</f>
        <v/>
      </c>
      <c r="BV46" s="10">
        <f>H46/G46*BS46</f>
        <v/>
      </c>
      <c r="BW46" s="10">
        <f>BU46+BV46</f>
        <v/>
      </c>
      <c r="BY46" s="10">
        <f>BQ46</f>
        <v/>
      </c>
      <c r="BZ46" s="10">
        <f>I46/G46*BS46</f>
        <v/>
      </c>
      <c r="CA46" s="10">
        <f>K46/G46</f>
        <v/>
      </c>
      <c r="CB46" s="10">
        <f>J46/G46</f>
        <v/>
      </c>
      <c r="CC46" s="10">
        <f>BW46-SUM(BY46:CB46)</f>
        <v/>
      </c>
      <c r="CD46" s="10">
        <f>SUM(BY46:CC46)</f>
        <v/>
      </c>
    </row>
    <row r="47">
      <c r="B47" s="14" t="inlineStr">
        <is>
          <t>SE_TSC+H2in:CH4</t>
        </is>
      </c>
      <c r="C47" s="13" t="inlineStr">
        <is>
          <t>Ethane</t>
        </is>
      </c>
      <c r="D47" s="13" t="n">
        <v>0.1375867019</v>
      </c>
      <c r="E47" s="13" t="n">
        <v>0</v>
      </c>
      <c r="F47" s="13" t="n">
        <v>0</v>
      </c>
      <c r="G47" s="13" t="n">
        <v>0.05310189724</v>
      </c>
      <c r="H47" s="13" t="n">
        <v>0</v>
      </c>
      <c r="I47" s="13" t="n">
        <v>0.1181424966</v>
      </c>
      <c r="J47" s="13" t="n">
        <v>0</v>
      </c>
      <c r="K47" s="13" t="n">
        <v>0.001283875878</v>
      </c>
      <c r="L47" s="13" t="n">
        <v>99124.32016</v>
      </c>
      <c r="M47" s="13" t="n">
        <v>54251.99777</v>
      </c>
      <c r="N47" s="13" t="n">
        <v>1.676159756</v>
      </c>
      <c r="O47" s="11">
        <f>CC47/0.22/14</f>
        <v/>
      </c>
      <c r="Q47" s="16" t="n">
        <v>99.913298</v>
      </c>
      <c r="R47" s="16" t="n">
        <v>-6.084348</v>
      </c>
      <c r="S47" s="16" t="n">
        <v>64.97039700000001</v>
      </c>
      <c r="T47" s="16" t="n">
        <v>43.861592</v>
      </c>
      <c r="U47" s="16" t="n">
        <v>39.255601</v>
      </c>
      <c r="V47" s="11" t="n">
        <v>21.9863533</v>
      </c>
      <c r="W47" s="17" t="n"/>
      <c r="X47" s="17" t="n"/>
      <c r="Y47" s="16" t="n">
        <v>21.109138</v>
      </c>
      <c r="Z47" s="16" t="n">
        <v>6.240639</v>
      </c>
      <c r="AA47" s="16" t="n"/>
      <c r="AB47" s="17" t="n"/>
      <c r="AC47" s="17" t="n"/>
      <c r="AD47" s="17" t="n"/>
      <c r="AE47" s="17" t="n"/>
      <c r="AF47" s="17" t="n"/>
      <c r="AG47" s="17" t="n"/>
      <c r="AH47" s="16" t="n">
        <v>-1.452344</v>
      </c>
      <c r="AI47" s="16" t="n">
        <v>-3.071509</v>
      </c>
      <c r="AJ47" s="16" t="n">
        <v>796.736008</v>
      </c>
      <c r="AK47" s="16" t="n">
        <v>796.736008</v>
      </c>
      <c r="AM47" s="1">
        <f>B47</f>
        <v/>
      </c>
      <c r="AN47" s="1">
        <f>C47</f>
        <v/>
      </c>
      <c r="AO47" s="12">
        <f>SUM(AU47:BC47)+BE47+BF47</f>
        <v/>
      </c>
      <c r="AP47" s="12">
        <f>SUM(AU47:BC47)+BH47+BI47</f>
        <v/>
      </c>
      <c r="AQ47" s="5">
        <f>AO47-AP47</f>
        <v/>
      </c>
      <c r="AR47" s="12">
        <f>SUM(AU47:BC47)+BK47+BL47</f>
        <v/>
      </c>
      <c r="AS47" s="12">
        <f>SUM(AU47:BC47)+BN47+BO47</f>
        <v/>
      </c>
      <c r="AT47" s="5">
        <f>AR47-AS47</f>
        <v/>
      </c>
      <c r="AU47" s="5">
        <f>D47/G47*Z47</f>
        <v/>
      </c>
      <c r="AV47" s="1">
        <f>E47/G47*Z47*-1</f>
        <v/>
      </c>
      <c r="AW47" s="1">
        <f>F47/G47*Y47</f>
        <v/>
      </c>
      <c r="AX47" s="1">
        <f>1/G47*V47</f>
        <v/>
      </c>
      <c r="AY47" s="1">
        <f>H47/G47*AH47</f>
        <v/>
      </c>
      <c r="AZ47" s="1">
        <f>I47/G47*AH47*-1</f>
        <v/>
      </c>
      <c r="BA47" s="1">
        <f>L47/G47/(0.9*8760)</f>
        <v/>
      </c>
      <c r="BB47" s="1">
        <f>M47/G47/(0.9*8760)</f>
        <v/>
      </c>
      <c r="BC47" s="1">
        <f>N47/G47</f>
        <v/>
      </c>
      <c r="BD47" s="1">
        <f>BZ47+CA47+CB47</f>
        <v/>
      </c>
      <c r="BE47" s="1">
        <f>(Q47+R47)*-1*J47/G47</f>
        <v/>
      </c>
      <c r="BF47" s="1">
        <f>BD47*Q47</f>
        <v/>
      </c>
      <c r="BG47" s="1">
        <f>BZ47+CA47</f>
        <v/>
      </c>
      <c r="BH47" s="1">
        <f>R47*J47*-1/G47</f>
        <v/>
      </c>
      <c r="BI47" s="1">
        <f>BG47*Q47</f>
        <v/>
      </c>
      <c r="BJ47" s="1">
        <f>SUM(BY47:CC47)</f>
        <v/>
      </c>
      <c r="BK47" s="1">
        <f>(Q47+R47)*-1*J47/G47</f>
        <v/>
      </c>
      <c r="BL47" s="1">
        <f>BJ47*Q47</f>
        <v/>
      </c>
      <c r="BM47" s="1">
        <f>BY47+BZ47+CA47+CC47</f>
        <v/>
      </c>
      <c r="BN47" s="1">
        <f>J47/G47*R47*-1</f>
        <v/>
      </c>
      <c r="BO47" s="1">
        <f>Q47*BM47</f>
        <v/>
      </c>
      <c r="BQ47" s="9" t="n">
        <v>3.14</v>
      </c>
      <c r="BR47" s="10" t="n">
        <v>0.2218110024</v>
      </c>
      <c r="BS47" s="9" t="n">
        <v>0.18104824</v>
      </c>
      <c r="BU47" s="10">
        <f>1/G47*BR47</f>
        <v/>
      </c>
      <c r="BV47" s="10">
        <f>H47/G47*BS47</f>
        <v/>
      </c>
      <c r="BW47" s="10">
        <f>BU47+BV47</f>
        <v/>
      </c>
      <c r="BY47" s="10">
        <f>BQ47</f>
        <v/>
      </c>
      <c r="BZ47" s="10">
        <f>I47/G47*BS47</f>
        <v/>
      </c>
      <c r="CA47" s="10">
        <f>K47/G47</f>
        <v/>
      </c>
      <c r="CB47" s="10">
        <f>J47/G47</f>
        <v/>
      </c>
      <c r="CC47" s="10">
        <f>BW47-SUM(BY47:CB47)</f>
        <v/>
      </c>
      <c r="CD47" s="10">
        <f>SUM(BY47:CC47)</f>
        <v/>
      </c>
    </row>
    <row r="48">
      <c r="B48" s="14" t="inlineStr">
        <is>
          <t>MIDAT_TSC+CC90</t>
        </is>
      </c>
      <c r="C48" s="13" t="inlineStr">
        <is>
          <t>Ethane</t>
        </is>
      </c>
      <c r="D48" s="13" t="n">
        <v>0</v>
      </c>
      <c r="E48" s="13" t="n">
        <v>0</v>
      </c>
      <c r="F48" s="13" t="n">
        <v>0.008052966438000001</v>
      </c>
      <c r="G48" s="13" t="n">
        <v>0.05310189724</v>
      </c>
      <c r="H48" s="13" t="n">
        <v>0.02270169876</v>
      </c>
      <c r="I48" s="13" t="n">
        <v>0</v>
      </c>
      <c r="J48" s="13" t="n">
        <v>0.0241051226</v>
      </c>
      <c r="K48" s="13" t="n">
        <v>0.002678346955</v>
      </c>
      <c r="L48" s="13" t="n">
        <v>106875.1697</v>
      </c>
      <c r="M48" s="13" t="n">
        <v>58496.38728</v>
      </c>
      <c r="N48" s="13" t="n">
        <v>1.807224085</v>
      </c>
      <c r="O48" s="11">
        <f>CC48/0.22/14</f>
        <v/>
      </c>
      <c r="Q48" s="16" t="n">
        <v>99.913298</v>
      </c>
      <c r="R48" s="16" t="n">
        <v>-15.650257</v>
      </c>
      <c r="S48" s="16" t="n">
        <v>63.953341</v>
      </c>
      <c r="T48" s="16" t="n">
        <v>39.720462</v>
      </c>
      <c r="U48" s="16" t="n">
        <v>40.53758</v>
      </c>
      <c r="V48" s="11" t="n">
        <v>21.9863533</v>
      </c>
      <c r="W48" s="17" t="n"/>
      <c r="X48" s="17" t="n"/>
      <c r="Y48" s="16" t="n">
        <v>21.699949</v>
      </c>
      <c r="Z48" s="16" t="n">
        <v>8.045609000000001</v>
      </c>
      <c r="AA48" s="16" t="n"/>
      <c r="AB48" s="17" t="n"/>
      <c r="AC48" s="17" t="n"/>
      <c r="AD48" s="17" t="n"/>
      <c r="AE48" s="17" t="n"/>
      <c r="AF48" s="17" t="n"/>
      <c r="AG48" s="17" t="n"/>
      <c r="AH48" s="16" t="n">
        <v>-0.930222</v>
      </c>
      <c r="AI48" s="16" t="n">
        <v>-2.781275</v>
      </c>
      <c r="AJ48" s="16" t="n">
        <v>796.736008</v>
      </c>
      <c r="AK48" s="16" t="n">
        <v>796.736008</v>
      </c>
      <c r="AM48" s="1">
        <f>B48</f>
        <v/>
      </c>
      <c r="AN48" s="1">
        <f>C48</f>
        <v/>
      </c>
      <c r="AO48" s="12">
        <f>SUM(AU48:BC48)+BE48+BF48</f>
        <v/>
      </c>
      <c r="AP48" s="12">
        <f>SUM(AU48:BC48)+BH48+BI48</f>
        <v/>
      </c>
      <c r="AQ48" s="5">
        <f>AO48-AP48</f>
        <v/>
      </c>
      <c r="AR48" s="12">
        <f>SUM(AU48:BC48)+BK48+BL48</f>
        <v/>
      </c>
      <c r="AS48" s="12">
        <f>SUM(AU48:BC48)+BN48+BO48</f>
        <v/>
      </c>
      <c r="AT48" s="5">
        <f>AR48-AS48</f>
        <v/>
      </c>
      <c r="AU48" s="5">
        <f>D48/G48*Z48</f>
        <v/>
      </c>
      <c r="AV48" s="1">
        <f>E48/G48*Z48*-1</f>
        <v/>
      </c>
      <c r="AW48" s="1">
        <f>F48/G48*Y48</f>
        <v/>
      </c>
      <c r="AX48" s="1">
        <f>1/G48*V48</f>
        <v/>
      </c>
      <c r="AY48" s="1">
        <f>H48/G48*AH48</f>
        <v/>
      </c>
      <c r="AZ48" s="1">
        <f>I48/G48*AH48*-1</f>
        <v/>
      </c>
      <c r="BA48" s="1">
        <f>L48/G48/(0.9*8760)</f>
        <v/>
      </c>
      <c r="BB48" s="1">
        <f>M48/G48/(0.9*8760)</f>
        <v/>
      </c>
      <c r="BC48" s="1">
        <f>N48/G48</f>
        <v/>
      </c>
      <c r="BD48" s="1">
        <f>BZ48+CA48+CB48</f>
        <v/>
      </c>
      <c r="BE48" s="1">
        <f>(Q48+R48)*-1*J48/G48</f>
        <v/>
      </c>
      <c r="BF48" s="1">
        <f>BD48*Q48</f>
        <v/>
      </c>
      <c r="BG48" s="1">
        <f>BZ48+CA48</f>
        <v/>
      </c>
      <c r="BH48" s="1">
        <f>R48*J48*-1/G48</f>
        <v/>
      </c>
      <c r="BI48" s="1">
        <f>BG48*Q48</f>
        <v/>
      </c>
      <c r="BJ48" s="1">
        <f>SUM(BY48:CC48)</f>
        <v/>
      </c>
      <c r="BK48" s="1">
        <f>(Q48+R48)*-1*J48/G48</f>
        <v/>
      </c>
      <c r="BL48" s="1">
        <f>BJ48*Q48</f>
        <v/>
      </c>
      <c r="BM48" s="1">
        <f>BY48+BZ48+CA48+CC48</f>
        <v/>
      </c>
      <c r="BN48" s="1">
        <f>J48/G48*R48*-1</f>
        <v/>
      </c>
      <c r="BO48" s="1">
        <f>Q48*BM48</f>
        <v/>
      </c>
      <c r="BQ48" s="9" t="n">
        <v>3.14</v>
      </c>
      <c r="BR48" s="10" t="n">
        <v>0.2218110024</v>
      </c>
      <c r="BS48" s="9" t="n">
        <v>0.18104824</v>
      </c>
      <c r="BU48" s="10">
        <f>1/G48*BR48</f>
        <v/>
      </c>
      <c r="BV48" s="10">
        <f>H48/G48*BS48</f>
        <v/>
      </c>
      <c r="BW48" s="10">
        <f>BU48+BV48</f>
        <v/>
      </c>
      <c r="BY48" s="10">
        <f>BQ48</f>
        <v/>
      </c>
      <c r="BZ48" s="10">
        <f>I48/G48*BS48</f>
        <v/>
      </c>
      <c r="CA48" s="10">
        <f>K48/G48</f>
        <v/>
      </c>
      <c r="CB48" s="10">
        <f>J48/G48</f>
        <v/>
      </c>
      <c r="CC48" s="10">
        <f>BW48-SUM(BY48:CB48)</f>
        <v/>
      </c>
      <c r="CD48" s="10">
        <f>SUM(BY48:CC48)</f>
        <v/>
      </c>
    </row>
    <row r="49">
      <c r="B49" s="14" t="inlineStr">
        <is>
          <t>MIDAT_TSC:H2</t>
        </is>
      </c>
      <c r="C49" s="13" t="inlineStr">
        <is>
          <t>Ethane</t>
        </is>
      </c>
      <c r="D49" s="13" t="n">
        <v>0</v>
      </c>
      <c r="E49" s="13" t="n">
        <v>0.1598531434</v>
      </c>
      <c r="F49" s="13" t="n">
        <v>0</v>
      </c>
      <c r="G49" s="13" t="n">
        <v>0.05310189724</v>
      </c>
      <c r="H49" s="13" t="n">
        <v>0.1318322859</v>
      </c>
      <c r="I49" s="13" t="n">
        <v>0</v>
      </c>
      <c r="J49" s="13" t="n">
        <v>0</v>
      </c>
      <c r="K49" s="13" t="n">
        <v>0.04654137028</v>
      </c>
      <c r="L49" s="13" t="n">
        <v>99124.32016</v>
      </c>
      <c r="M49" s="13" t="n">
        <v>54251.99777</v>
      </c>
      <c r="N49" s="13" t="n">
        <v>1.676159756</v>
      </c>
      <c r="O49" s="11">
        <f>CC49/0.22/14</f>
        <v/>
      </c>
      <c r="Q49" s="16" t="n">
        <v>99.913298</v>
      </c>
      <c r="R49" s="16" t="n">
        <v>-15.650257</v>
      </c>
      <c r="S49" s="16" t="n">
        <v>63.953341</v>
      </c>
      <c r="T49" s="16" t="n">
        <v>39.720462</v>
      </c>
      <c r="U49" s="16" t="n">
        <v>40.53758</v>
      </c>
      <c r="V49" s="11" t="n">
        <v>21.9863533</v>
      </c>
      <c r="W49" s="17" t="n"/>
      <c r="X49" s="17" t="n"/>
      <c r="Y49" s="16" t="n">
        <v>21.699949</v>
      </c>
      <c r="Z49" s="16" t="n">
        <v>8.045609000000001</v>
      </c>
      <c r="AA49" s="16" t="n"/>
      <c r="AB49" s="17" t="n"/>
      <c r="AC49" s="17" t="n"/>
      <c r="AD49" s="17" t="n"/>
      <c r="AE49" s="17" t="n"/>
      <c r="AF49" s="17" t="n"/>
      <c r="AG49" s="17" t="n"/>
      <c r="AH49" s="16" t="n">
        <v>-0.930222</v>
      </c>
      <c r="AI49" s="16" t="n">
        <v>-2.781275</v>
      </c>
      <c r="AJ49" s="16" t="n">
        <v>796.736008</v>
      </c>
      <c r="AK49" s="16" t="n">
        <v>796.736008</v>
      </c>
      <c r="AM49" s="1">
        <f>B49</f>
        <v/>
      </c>
      <c r="AN49" s="1">
        <f>C49</f>
        <v/>
      </c>
      <c r="AO49" s="12">
        <f>SUM(AU49:BC49)+BE49+BF49</f>
        <v/>
      </c>
      <c r="AP49" s="12">
        <f>SUM(AU49:BC49)+BH49+BI49</f>
        <v/>
      </c>
      <c r="AQ49" s="5">
        <f>AO49-AP49</f>
        <v/>
      </c>
      <c r="AR49" s="12">
        <f>SUM(AU49:BC49)+BK49+BL49</f>
        <v/>
      </c>
      <c r="AS49" s="12">
        <f>SUM(AU49:BC49)+BN49+BO49</f>
        <v/>
      </c>
      <c r="AT49" s="5">
        <f>AR49-AS49</f>
        <v/>
      </c>
      <c r="AU49" s="5">
        <f>D49/G49*Z49</f>
        <v/>
      </c>
      <c r="AV49" s="1">
        <f>E49/G49*Z49*-1</f>
        <v/>
      </c>
      <c r="AW49" s="1">
        <f>F49/G49*Y49</f>
        <v/>
      </c>
      <c r="AX49" s="1">
        <f>1/G49*V49</f>
        <v/>
      </c>
      <c r="AY49" s="1">
        <f>H49/G49*AH49</f>
        <v/>
      </c>
      <c r="AZ49" s="1">
        <f>I49/G49*AH49*-1</f>
        <v/>
      </c>
      <c r="BA49" s="1">
        <f>L49/G49/(0.9*8760)</f>
        <v/>
      </c>
      <c r="BB49" s="1">
        <f>M49/G49/(0.9*8760)</f>
        <v/>
      </c>
      <c r="BC49" s="1">
        <f>N49/G49</f>
        <v/>
      </c>
      <c r="BD49" s="1">
        <f>BZ49+CA49+CB49</f>
        <v/>
      </c>
      <c r="BE49" s="1">
        <f>(Q49+R49)*-1*J49/G49</f>
        <v/>
      </c>
      <c r="BF49" s="1">
        <f>BD49*Q49</f>
        <v/>
      </c>
      <c r="BG49" s="1">
        <f>BZ49+CA49</f>
        <v/>
      </c>
      <c r="BH49" s="1">
        <f>R49*J49*-1/G49</f>
        <v/>
      </c>
      <c r="BI49" s="1">
        <f>BG49*Q49</f>
        <v/>
      </c>
      <c r="BJ49" s="1">
        <f>SUM(BY49:CC49)</f>
        <v/>
      </c>
      <c r="BK49" s="1">
        <f>(Q49+R49)*-1*J49/G49</f>
        <v/>
      </c>
      <c r="BL49" s="1">
        <f>BJ49*Q49</f>
        <v/>
      </c>
      <c r="BM49" s="1">
        <f>BY49+BZ49+CA49+CC49</f>
        <v/>
      </c>
      <c r="BN49" s="1">
        <f>J49/G49*R49*-1</f>
        <v/>
      </c>
      <c r="BO49" s="1">
        <f>Q49*BM49</f>
        <v/>
      </c>
      <c r="BQ49" s="9" t="n">
        <v>3.14</v>
      </c>
      <c r="BR49" s="10" t="n">
        <v>0.2218110024</v>
      </c>
      <c r="BS49" s="9" t="n">
        <v>0.18104824</v>
      </c>
      <c r="BU49" s="10">
        <f>1/G49*BR49</f>
        <v/>
      </c>
      <c r="BV49" s="10">
        <f>H49/G49*BS49</f>
        <v/>
      </c>
      <c r="BW49" s="10">
        <f>BU49+BV49</f>
        <v/>
      </c>
      <c r="BY49" s="10">
        <f>BQ49</f>
        <v/>
      </c>
      <c r="BZ49" s="10">
        <f>I49/G49*BS49</f>
        <v/>
      </c>
      <c r="CA49" s="10">
        <f>K49/G49</f>
        <v/>
      </c>
      <c r="CB49" s="10">
        <f>J49/G49</f>
        <v/>
      </c>
      <c r="CC49" s="10">
        <f>BW49-SUM(BY49:CB49)</f>
        <v/>
      </c>
      <c r="CD49" s="10">
        <f>SUM(BY49:CC49)</f>
        <v/>
      </c>
    </row>
    <row r="50">
      <c r="B50" s="14" t="inlineStr">
        <is>
          <t>MIDAT_TSC+CC90:H2</t>
        </is>
      </c>
      <c r="C50" s="13" t="inlineStr">
        <is>
          <t>Ethane</t>
        </is>
      </c>
      <c r="D50" s="13" t="n">
        <v>0</v>
      </c>
      <c r="E50" s="13" t="n">
        <v>0.1598531434</v>
      </c>
      <c r="F50" s="13" t="n">
        <v>0.009388736698</v>
      </c>
      <c r="G50" s="13" t="n">
        <v>0.05310189724</v>
      </c>
      <c r="H50" s="13" t="n">
        <v>0.1318322859</v>
      </c>
      <c r="I50" s="13" t="n">
        <v>0</v>
      </c>
      <c r="J50" s="13" t="n">
        <v>0.04188723326</v>
      </c>
      <c r="K50" s="13" t="n">
        <v>0.004654137028</v>
      </c>
      <c r="L50" s="13" t="n">
        <v>106900.9741</v>
      </c>
      <c r="M50" s="13" t="n">
        <v>58510.18581</v>
      </c>
      <c r="N50" s="13" t="n">
        <v>1.807660423</v>
      </c>
      <c r="O50" s="11">
        <f>CC50/0.22/14</f>
        <v/>
      </c>
      <c r="Q50" s="16" t="n">
        <v>99.913298</v>
      </c>
      <c r="R50" s="16" t="n">
        <v>-15.650257</v>
      </c>
      <c r="S50" s="16" t="n">
        <v>63.953341</v>
      </c>
      <c r="T50" s="16" t="n">
        <v>39.720462</v>
      </c>
      <c r="U50" s="16" t="n">
        <v>40.53758</v>
      </c>
      <c r="V50" s="11" t="n">
        <v>21.9863533</v>
      </c>
      <c r="W50" s="17" t="n"/>
      <c r="X50" s="17" t="n"/>
      <c r="Y50" s="16" t="n">
        <v>21.699949</v>
      </c>
      <c r="Z50" s="16" t="n">
        <v>8.045609000000001</v>
      </c>
      <c r="AA50" s="16" t="n"/>
      <c r="AB50" s="17" t="n"/>
      <c r="AC50" s="17" t="n"/>
      <c r="AD50" s="17" t="n"/>
      <c r="AE50" s="17" t="n"/>
      <c r="AF50" s="17" t="n"/>
      <c r="AG50" s="17" t="n"/>
      <c r="AH50" s="16" t="n">
        <v>-0.930222</v>
      </c>
      <c r="AI50" s="16" t="n">
        <v>-2.781275</v>
      </c>
      <c r="AJ50" s="16" t="n">
        <v>796.736008</v>
      </c>
      <c r="AK50" s="16" t="n">
        <v>796.736008</v>
      </c>
      <c r="AM50" s="1">
        <f>B50</f>
        <v/>
      </c>
      <c r="AN50" s="1">
        <f>C50</f>
        <v/>
      </c>
      <c r="AO50" s="12">
        <f>SUM(AU50:BC50)+BE50+BF50</f>
        <v/>
      </c>
      <c r="AP50" s="12">
        <f>SUM(AU50:BC50)+BH50+BI50</f>
        <v/>
      </c>
      <c r="AQ50" s="5">
        <f>AO50-AP50</f>
        <v/>
      </c>
      <c r="AR50" s="12">
        <f>SUM(AU50:BC50)+BK50+BL50</f>
        <v/>
      </c>
      <c r="AS50" s="12">
        <f>SUM(AU50:BC50)+BN50+BO50</f>
        <v/>
      </c>
      <c r="AT50" s="5">
        <f>AR50-AS50</f>
        <v/>
      </c>
      <c r="AU50" s="5">
        <f>D50/G50*Z50</f>
        <v/>
      </c>
      <c r="AV50" s="1">
        <f>E50/G50*Z50*-1</f>
        <v/>
      </c>
      <c r="AW50" s="1">
        <f>F50/G50*Y50</f>
        <v/>
      </c>
      <c r="AX50" s="1">
        <f>1/G50*V50</f>
        <v/>
      </c>
      <c r="AY50" s="1">
        <f>H50/G50*AH50</f>
        <v/>
      </c>
      <c r="AZ50" s="1">
        <f>I50/G50*AH50*-1</f>
        <v/>
      </c>
      <c r="BA50" s="1">
        <f>L50/G50/(0.9*8760)</f>
        <v/>
      </c>
      <c r="BB50" s="1">
        <f>M50/G50/(0.9*8760)</f>
        <v/>
      </c>
      <c r="BC50" s="1">
        <f>N50/G50</f>
        <v/>
      </c>
      <c r="BD50" s="1">
        <f>BZ50+CA50+CB50</f>
        <v/>
      </c>
      <c r="BE50" s="1">
        <f>(Q50+R50)*-1*J50/G50</f>
        <v/>
      </c>
      <c r="BF50" s="1">
        <f>BD50*Q50</f>
        <v/>
      </c>
      <c r="BG50" s="1">
        <f>BZ50+CA50</f>
        <v/>
      </c>
      <c r="BH50" s="1">
        <f>R50*J50*-1/G50</f>
        <v/>
      </c>
      <c r="BI50" s="1">
        <f>BG50*Q50</f>
        <v/>
      </c>
      <c r="BJ50" s="1">
        <f>SUM(BY50:CC50)</f>
        <v/>
      </c>
      <c r="BK50" s="1">
        <f>(Q50+R50)*-1*J50/G50</f>
        <v/>
      </c>
      <c r="BL50" s="1">
        <f>BJ50*Q50</f>
        <v/>
      </c>
      <c r="BM50" s="1">
        <f>BY50+BZ50+CA50+CC50</f>
        <v/>
      </c>
      <c r="BN50" s="1">
        <f>J50/G50*R50*-1</f>
        <v/>
      </c>
      <c r="BO50" s="1">
        <f>Q50*BM50</f>
        <v/>
      </c>
      <c r="BQ50" s="9" t="n">
        <v>3.14</v>
      </c>
      <c r="BR50" s="10" t="n">
        <v>0.2218110024</v>
      </c>
      <c r="BS50" s="9" t="n">
        <v>0.18104824</v>
      </c>
      <c r="BU50" s="10">
        <f>1/G50*BR50</f>
        <v/>
      </c>
      <c r="BV50" s="10">
        <f>H50/G50*BS50</f>
        <v/>
      </c>
      <c r="BW50" s="10">
        <f>BU50+BV50</f>
        <v/>
      </c>
      <c r="BY50" s="10">
        <f>BQ50</f>
        <v/>
      </c>
      <c r="BZ50" s="10">
        <f>I50/G50*BS50</f>
        <v/>
      </c>
      <c r="CA50" s="10">
        <f>K50/G50</f>
        <v/>
      </c>
      <c r="CB50" s="10">
        <f>J50/G50</f>
        <v/>
      </c>
      <c r="CC50" s="10">
        <f>BW50-SUM(BY50:CB50)</f>
        <v/>
      </c>
      <c r="CD50" s="10">
        <f>SUM(BY50:CC50)</f>
        <v/>
      </c>
    </row>
    <row r="51">
      <c r="B51" s="14" t="inlineStr">
        <is>
          <t>MIDAT_TSC+H2in</t>
        </is>
      </c>
      <c r="C51" s="13" t="inlineStr">
        <is>
          <t>Ethane</t>
        </is>
      </c>
      <c r="D51" s="13" t="n">
        <v>0.02226644157</v>
      </c>
      <c r="E51" s="13" t="n">
        <v>0</v>
      </c>
      <c r="F51" s="13" t="n">
        <v>0</v>
      </c>
      <c r="G51" s="13" t="n">
        <v>0.05310189724</v>
      </c>
      <c r="H51" s="13" t="n">
        <v>0</v>
      </c>
      <c r="I51" s="13" t="n">
        <v>0</v>
      </c>
      <c r="J51" s="13" t="n">
        <v>0</v>
      </c>
      <c r="K51" s="13" t="n">
        <v>0.02267336695</v>
      </c>
      <c r="L51" s="13" t="n">
        <v>99124.32016</v>
      </c>
      <c r="M51" s="13" t="n">
        <v>54251.99777</v>
      </c>
      <c r="N51" s="13" t="n">
        <v>1.676159756</v>
      </c>
      <c r="O51" s="11">
        <f>CC51/0.22/14</f>
        <v/>
      </c>
      <c r="Q51" s="16" t="n">
        <v>99.913298</v>
      </c>
      <c r="R51" s="16" t="n">
        <v>-15.650257</v>
      </c>
      <c r="S51" s="16" t="n">
        <v>63.953341</v>
      </c>
      <c r="T51" s="16" t="n">
        <v>39.720462</v>
      </c>
      <c r="U51" s="16" t="n">
        <v>40.53758</v>
      </c>
      <c r="V51" s="11" t="n">
        <v>21.9863533</v>
      </c>
      <c r="W51" s="17" t="n"/>
      <c r="X51" s="17" t="n"/>
      <c r="Y51" s="16" t="n">
        <v>21.699949</v>
      </c>
      <c r="Z51" s="16" t="n">
        <v>8.045609000000001</v>
      </c>
      <c r="AA51" s="16" t="n"/>
      <c r="AB51" s="17" t="n"/>
      <c r="AC51" s="17" t="n"/>
      <c r="AD51" s="17" t="n"/>
      <c r="AE51" s="17" t="n"/>
      <c r="AF51" s="17" t="n"/>
      <c r="AG51" s="17" t="n"/>
      <c r="AH51" s="16" t="n">
        <v>-0.930222</v>
      </c>
      <c r="AI51" s="16" t="n">
        <v>-2.781275</v>
      </c>
      <c r="AJ51" s="16" t="n">
        <v>796.736008</v>
      </c>
      <c r="AK51" s="16" t="n">
        <v>796.736008</v>
      </c>
      <c r="AM51" s="1">
        <f>B51</f>
        <v/>
      </c>
      <c r="AN51" s="1">
        <f>C51</f>
        <v/>
      </c>
      <c r="AO51" s="12">
        <f>SUM(AU51:BC51)+BE51+BF51</f>
        <v/>
      </c>
      <c r="AP51" s="12">
        <f>SUM(AU51:BC51)+BH51+BI51</f>
        <v/>
      </c>
      <c r="AQ51" s="5">
        <f>AO51-AP51</f>
        <v/>
      </c>
      <c r="AR51" s="12">
        <f>SUM(AU51:BC51)+BK51+BL51</f>
        <v/>
      </c>
      <c r="AS51" s="12">
        <f>SUM(AU51:BC51)+BN51+BO51</f>
        <v/>
      </c>
      <c r="AT51" s="5">
        <f>AR51-AS51</f>
        <v/>
      </c>
      <c r="AU51" s="5">
        <f>D51/G51*Z51</f>
        <v/>
      </c>
      <c r="AV51" s="1">
        <f>E51/G51*Z51*-1</f>
        <v/>
      </c>
      <c r="AW51" s="1">
        <f>F51/G51*Y51</f>
        <v/>
      </c>
      <c r="AX51" s="1">
        <f>1/G51*V51</f>
        <v/>
      </c>
      <c r="AY51" s="1">
        <f>H51/G51*AH51</f>
        <v/>
      </c>
      <c r="AZ51" s="1">
        <f>I51/G51*AH51*-1</f>
        <v/>
      </c>
      <c r="BA51" s="1">
        <f>L51/G51/(0.9*8760)</f>
        <v/>
      </c>
      <c r="BB51" s="1">
        <f>M51/G51/(0.9*8760)</f>
        <v/>
      </c>
      <c r="BC51" s="1">
        <f>N51/G51</f>
        <v/>
      </c>
      <c r="BD51" s="1">
        <f>BZ51+CA51+CB51</f>
        <v/>
      </c>
      <c r="BE51" s="1">
        <f>(Q51+R51)*-1*J51/G51</f>
        <v/>
      </c>
      <c r="BF51" s="1">
        <f>BD51*Q51</f>
        <v/>
      </c>
      <c r="BG51" s="1">
        <f>BZ51+CA51</f>
        <v/>
      </c>
      <c r="BH51" s="1">
        <f>R51*J51*-1/G51</f>
        <v/>
      </c>
      <c r="BI51" s="1">
        <f>BG51*Q51</f>
        <v/>
      </c>
      <c r="BJ51" s="1">
        <f>SUM(BY51:CC51)</f>
        <v/>
      </c>
      <c r="BK51" s="1">
        <f>(Q51+R51)*-1*J51/G51</f>
        <v/>
      </c>
      <c r="BL51" s="1">
        <f>BJ51*Q51</f>
        <v/>
      </c>
      <c r="BM51" s="1">
        <f>BY51+BZ51+CA51+CC51</f>
        <v/>
      </c>
      <c r="BN51" s="1">
        <f>J51/G51*R51*-1</f>
        <v/>
      </c>
      <c r="BO51" s="1">
        <f>Q51*BM51</f>
        <v/>
      </c>
      <c r="BQ51" s="9" t="n">
        <v>3.14</v>
      </c>
      <c r="BR51" s="10" t="n">
        <v>0.2218110024</v>
      </c>
      <c r="BS51" s="9" t="n">
        <v>0.18104824</v>
      </c>
      <c r="BU51" s="10">
        <f>1/G51*BR51</f>
        <v/>
      </c>
      <c r="BV51" s="10">
        <f>H51/G51*BS51</f>
        <v/>
      </c>
      <c r="BW51" s="10">
        <f>BU51+BV51</f>
        <v/>
      </c>
      <c r="BY51" s="10">
        <f>BQ51</f>
        <v/>
      </c>
      <c r="BZ51" s="10">
        <f>I51/G51*BS51</f>
        <v/>
      </c>
      <c r="CA51" s="10">
        <f>K51/G51</f>
        <v/>
      </c>
      <c r="CB51" s="10">
        <f>J51/G51</f>
        <v/>
      </c>
      <c r="CC51" s="10">
        <f>BW51-SUM(BY51:CB51)</f>
        <v/>
      </c>
      <c r="CD51" s="10">
        <f>SUM(BY51:CC51)</f>
        <v/>
      </c>
    </row>
    <row r="52">
      <c r="B52" s="14" t="inlineStr">
        <is>
          <t>MIDAT_TSC+H2in:CH4</t>
        </is>
      </c>
      <c r="C52" s="13" t="inlineStr">
        <is>
          <t>Ethane</t>
        </is>
      </c>
      <c r="D52" s="13" t="n">
        <v>0.1375867019</v>
      </c>
      <c r="E52" s="13" t="n">
        <v>0</v>
      </c>
      <c r="F52" s="13" t="n">
        <v>0</v>
      </c>
      <c r="G52" s="13" t="n">
        <v>0.05310189724</v>
      </c>
      <c r="H52" s="13" t="n">
        <v>0</v>
      </c>
      <c r="I52" s="13" t="n">
        <v>0.1181424966</v>
      </c>
      <c r="J52" s="13" t="n">
        <v>0</v>
      </c>
      <c r="K52" s="13" t="n">
        <v>0.001283875878</v>
      </c>
      <c r="L52" s="13" t="n">
        <v>99124.32016</v>
      </c>
      <c r="M52" s="13" t="n">
        <v>54251.99777</v>
      </c>
      <c r="N52" s="13" t="n">
        <v>1.676159756</v>
      </c>
      <c r="O52" s="11">
        <f>CC52/0.22/14</f>
        <v/>
      </c>
      <c r="Q52" s="16" t="n">
        <v>99.913298</v>
      </c>
      <c r="R52" s="16" t="n">
        <v>-15.650257</v>
      </c>
      <c r="S52" s="16" t="n">
        <v>63.953341</v>
      </c>
      <c r="T52" s="16" t="n">
        <v>39.720462</v>
      </c>
      <c r="U52" s="16" t="n">
        <v>40.53758</v>
      </c>
      <c r="V52" s="11" t="n">
        <v>21.9863533</v>
      </c>
      <c r="W52" s="17" t="n"/>
      <c r="X52" s="17" t="n"/>
      <c r="Y52" s="16" t="n">
        <v>21.699949</v>
      </c>
      <c r="Z52" s="16" t="n">
        <v>8.045609000000001</v>
      </c>
      <c r="AA52" s="16" t="n"/>
      <c r="AB52" s="17" t="n"/>
      <c r="AC52" s="17" t="n"/>
      <c r="AD52" s="17" t="n"/>
      <c r="AE52" s="17" t="n"/>
      <c r="AF52" s="17" t="n"/>
      <c r="AG52" s="17" t="n"/>
      <c r="AH52" s="16" t="n">
        <v>-0.930222</v>
      </c>
      <c r="AI52" s="16" t="n">
        <v>-2.781275</v>
      </c>
      <c r="AJ52" s="16" t="n">
        <v>796.736008</v>
      </c>
      <c r="AK52" s="16" t="n">
        <v>796.736008</v>
      </c>
      <c r="AM52" s="1">
        <f>B52</f>
        <v/>
      </c>
      <c r="AN52" s="1">
        <f>C52</f>
        <v/>
      </c>
      <c r="AO52" s="12">
        <f>SUM(AU52:BC52)+BE52+BF52</f>
        <v/>
      </c>
      <c r="AP52" s="12">
        <f>SUM(AU52:BC52)+BH52+BI52</f>
        <v/>
      </c>
      <c r="AQ52" s="5">
        <f>AO52-AP52</f>
        <v/>
      </c>
      <c r="AR52" s="12">
        <f>SUM(AU52:BC52)+BK52+BL52</f>
        <v/>
      </c>
      <c r="AS52" s="12">
        <f>SUM(AU52:BC52)+BN52+BO52</f>
        <v/>
      </c>
      <c r="AT52" s="5">
        <f>AR52-AS52</f>
        <v/>
      </c>
      <c r="AU52" s="5">
        <f>D52/G52*Z52</f>
        <v/>
      </c>
      <c r="AV52" s="1">
        <f>E52/G52*Z52*-1</f>
        <v/>
      </c>
      <c r="AW52" s="1">
        <f>F52/G52*Y52</f>
        <v/>
      </c>
      <c r="AX52" s="1">
        <f>1/G52*V52</f>
        <v/>
      </c>
      <c r="AY52" s="1">
        <f>H52/G52*AH52</f>
        <v/>
      </c>
      <c r="AZ52" s="1">
        <f>I52/G52*AH52*-1</f>
        <v/>
      </c>
      <c r="BA52" s="1">
        <f>L52/G52/(0.9*8760)</f>
        <v/>
      </c>
      <c r="BB52" s="1">
        <f>M52/G52/(0.9*8760)</f>
        <v/>
      </c>
      <c r="BC52" s="1">
        <f>N52/G52</f>
        <v/>
      </c>
      <c r="BD52" s="1">
        <f>BZ52+CA52+CB52</f>
        <v/>
      </c>
      <c r="BE52" s="1">
        <f>(Q52+R52)*-1*J52/G52</f>
        <v/>
      </c>
      <c r="BF52" s="1">
        <f>BD52*Q52</f>
        <v/>
      </c>
      <c r="BG52" s="1">
        <f>BZ52+CA52</f>
        <v/>
      </c>
      <c r="BH52" s="1">
        <f>R52*J52*-1/G52</f>
        <v/>
      </c>
      <c r="BI52" s="1">
        <f>BG52*Q52</f>
        <v/>
      </c>
      <c r="BJ52" s="1">
        <f>SUM(BY52:CC52)</f>
        <v/>
      </c>
      <c r="BK52" s="1">
        <f>(Q52+R52)*-1*J52/G52</f>
        <v/>
      </c>
      <c r="BL52" s="1">
        <f>BJ52*Q52</f>
        <v/>
      </c>
      <c r="BM52" s="1">
        <f>BY52+BZ52+CA52+CC52</f>
        <v/>
      </c>
      <c r="BN52" s="1">
        <f>J52/G52*R52*-1</f>
        <v/>
      </c>
      <c r="BO52" s="1">
        <f>Q52*BM52</f>
        <v/>
      </c>
      <c r="BQ52" s="9" t="n">
        <v>3.14</v>
      </c>
      <c r="BR52" s="10" t="n">
        <v>0.2218110024</v>
      </c>
      <c r="BS52" s="9" t="n">
        <v>0.18104824</v>
      </c>
      <c r="BU52" s="10">
        <f>1/G52*BR52</f>
        <v/>
      </c>
      <c r="BV52" s="10">
        <f>H52/G52*BS52</f>
        <v/>
      </c>
      <c r="BW52" s="10">
        <f>BU52+BV52</f>
        <v/>
      </c>
      <c r="BY52" s="10">
        <f>BQ52</f>
        <v/>
      </c>
      <c r="BZ52" s="10">
        <f>I52/G52*BS52</f>
        <v/>
      </c>
      <c r="CA52" s="10">
        <f>K52/G52</f>
        <v/>
      </c>
      <c r="CB52" s="10">
        <f>J52/G52</f>
        <v/>
      </c>
      <c r="CC52" s="10">
        <f>BW52-SUM(BY52:CB52)</f>
        <v/>
      </c>
      <c r="CD52" s="10">
        <f>SUM(BY52:CC52)</f>
        <v/>
      </c>
    </row>
    <row r="53">
      <c r="B53" s="14" t="inlineStr">
        <is>
          <t>NE_TSC+CC90</t>
        </is>
      </c>
      <c r="C53" s="13" t="inlineStr">
        <is>
          <t>Ethane</t>
        </is>
      </c>
      <c r="D53" s="13" t="n">
        <v>0</v>
      </c>
      <c r="E53" s="13" t="n">
        <v>0</v>
      </c>
      <c r="F53" s="13" t="n">
        <v>0.008052966438000001</v>
      </c>
      <c r="G53" s="13" t="n">
        <v>0.05310189724</v>
      </c>
      <c r="H53" s="13" t="n">
        <v>0.02270169876</v>
      </c>
      <c r="I53" s="13" t="n">
        <v>0</v>
      </c>
      <c r="J53" s="13" t="n">
        <v>0.0241051226</v>
      </c>
      <c r="K53" s="13" t="n">
        <v>0.002678346955</v>
      </c>
      <c r="L53" s="13" t="n">
        <v>106875.1697</v>
      </c>
      <c r="M53" s="13" t="n">
        <v>58496.38728</v>
      </c>
      <c r="N53" s="13" t="n">
        <v>1.807224085</v>
      </c>
      <c r="O53" s="11">
        <f>CC53/0.22/14</f>
        <v/>
      </c>
      <c r="Q53" s="16" t="n">
        <v>99.913298</v>
      </c>
      <c r="R53" s="16" t="n">
        <v>-21.727401</v>
      </c>
      <c r="S53" s="16" t="n">
        <v>66.936657</v>
      </c>
      <c r="T53" s="16" t="n">
        <v>41.693039</v>
      </c>
      <c r="U53" s="16" t="n">
        <v>41.333943</v>
      </c>
      <c r="V53" s="11" t="n">
        <v>21.9863533</v>
      </c>
      <c r="W53" s="17" t="n"/>
      <c r="X53" s="17" t="n"/>
      <c r="Y53" s="16" t="n">
        <v>20.978032</v>
      </c>
      <c r="Z53" s="16" t="n">
        <v>12.546751</v>
      </c>
      <c r="AA53" s="16" t="n"/>
      <c r="AB53" s="17" t="n"/>
      <c r="AC53" s="17" t="n"/>
      <c r="AD53" s="17" t="n"/>
      <c r="AE53" s="17" t="n"/>
      <c r="AF53" s="17" t="n"/>
      <c r="AG53" s="17" t="n"/>
      <c r="AH53" s="16" t="n">
        <v>5.888729</v>
      </c>
      <c r="AI53" s="16" t="n">
        <v>0</v>
      </c>
      <c r="AJ53" s="16" t="n">
        <v>796.736008</v>
      </c>
      <c r="AK53" s="16" t="n">
        <v>0</v>
      </c>
      <c r="AM53" s="1">
        <f>B53</f>
        <v/>
      </c>
      <c r="AN53" s="1">
        <f>C53</f>
        <v/>
      </c>
      <c r="AO53" s="12">
        <f>SUM(AU53:BC53)+BE53+BF53</f>
        <v/>
      </c>
      <c r="AP53" s="12">
        <f>SUM(AU53:BC53)+BH53+BI53</f>
        <v/>
      </c>
      <c r="AQ53" s="5">
        <f>AO53-AP53</f>
        <v/>
      </c>
      <c r="AR53" s="12">
        <f>SUM(AU53:BC53)+BK53+BL53</f>
        <v/>
      </c>
      <c r="AS53" s="12">
        <f>SUM(AU53:BC53)+BN53+BO53</f>
        <v/>
      </c>
      <c r="AT53" s="5">
        <f>AR53-AS53</f>
        <v/>
      </c>
      <c r="AU53" s="5">
        <f>D53/G53*Z53</f>
        <v/>
      </c>
      <c r="AV53" s="1">
        <f>E53/G53*Z53*-1</f>
        <v/>
      </c>
      <c r="AW53" s="1">
        <f>F53/G53*Y53</f>
        <v/>
      </c>
      <c r="AX53" s="1">
        <f>1/G53*V53</f>
        <v/>
      </c>
      <c r="AY53" s="1">
        <f>H53/G53*AH53</f>
        <v/>
      </c>
      <c r="AZ53" s="1">
        <f>I53/G53*AH53*-1</f>
        <v/>
      </c>
      <c r="BA53" s="1">
        <f>L53/G53/(0.9*8760)</f>
        <v/>
      </c>
      <c r="BB53" s="1">
        <f>M53/G53/(0.9*8760)</f>
        <v/>
      </c>
      <c r="BC53" s="1">
        <f>N53/G53</f>
        <v/>
      </c>
      <c r="BD53" s="1">
        <f>BZ53+CA53+CB53</f>
        <v/>
      </c>
      <c r="BE53" s="1">
        <f>(Q53+R53)*-1*J53/G53</f>
        <v/>
      </c>
      <c r="BF53" s="1">
        <f>BD53*Q53</f>
        <v/>
      </c>
      <c r="BG53" s="1">
        <f>BZ53+CA53</f>
        <v/>
      </c>
      <c r="BH53" s="1">
        <f>R53*J53*-1/G53</f>
        <v/>
      </c>
      <c r="BI53" s="1">
        <f>BG53*Q53</f>
        <v/>
      </c>
      <c r="BJ53" s="1">
        <f>SUM(BY53:CC53)</f>
        <v/>
      </c>
      <c r="BK53" s="1">
        <f>(Q53+R53)*-1*J53/G53</f>
        <v/>
      </c>
      <c r="BL53" s="1">
        <f>BJ53*Q53</f>
        <v/>
      </c>
      <c r="BM53" s="1">
        <f>BY53+BZ53+CA53+CC53</f>
        <v/>
      </c>
      <c r="BN53" s="1">
        <f>J53/G53*R53*-1</f>
        <v/>
      </c>
      <c r="BO53" s="1">
        <f>Q53*BM53</f>
        <v/>
      </c>
      <c r="BQ53" s="9" t="n">
        <v>3.14</v>
      </c>
      <c r="BR53" s="10" t="n">
        <v>0.2218110024</v>
      </c>
      <c r="BS53" s="9" t="n">
        <v>0.18104824</v>
      </c>
      <c r="BU53" s="10">
        <f>1/G53*BR53</f>
        <v/>
      </c>
      <c r="BV53" s="10">
        <f>H53/G53*BS53</f>
        <v/>
      </c>
      <c r="BW53" s="10">
        <f>BU53+BV53</f>
        <v/>
      </c>
      <c r="BY53" s="10">
        <f>BQ53</f>
        <v/>
      </c>
      <c r="BZ53" s="10">
        <f>I53/G53*BS53</f>
        <v/>
      </c>
      <c r="CA53" s="10">
        <f>K53/G53</f>
        <v/>
      </c>
      <c r="CB53" s="10">
        <f>J53/G53</f>
        <v/>
      </c>
      <c r="CC53" s="10">
        <f>BW53-SUM(BY53:CB53)</f>
        <v/>
      </c>
      <c r="CD53" s="10">
        <f>SUM(BY53:CC53)</f>
        <v/>
      </c>
    </row>
    <row r="54">
      <c r="B54" s="14" t="inlineStr">
        <is>
          <t>NE_TSC:H2</t>
        </is>
      </c>
      <c r="C54" s="13" t="inlineStr">
        <is>
          <t>Ethane</t>
        </is>
      </c>
      <c r="D54" s="13" t="n">
        <v>0</v>
      </c>
      <c r="E54" s="13" t="n">
        <v>0.1598531434</v>
      </c>
      <c r="F54" s="13" t="n">
        <v>0</v>
      </c>
      <c r="G54" s="13" t="n">
        <v>0.05310189724</v>
      </c>
      <c r="H54" s="13" t="n">
        <v>0.1318322859</v>
      </c>
      <c r="I54" s="13" t="n">
        <v>0</v>
      </c>
      <c r="J54" s="13" t="n">
        <v>0</v>
      </c>
      <c r="K54" s="13" t="n">
        <v>0.04654137028</v>
      </c>
      <c r="L54" s="13" t="n">
        <v>99124.32016</v>
      </c>
      <c r="M54" s="13" t="n">
        <v>54251.99777</v>
      </c>
      <c r="N54" s="13" t="n">
        <v>1.676159756</v>
      </c>
      <c r="O54" s="11">
        <f>CC54/0.22/14</f>
        <v/>
      </c>
      <c r="Q54" s="16" t="n">
        <v>99.913298</v>
      </c>
      <c r="R54" s="16" t="n">
        <v>-21.727401</v>
      </c>
      <c r="S54" s="16" t="n">
        <v>66.936657</v>
      </c>
      <c r="T54" s="16" t="n">
        <v>41.693039</v>
      </c>
      <c r="U54" s="16" t="n">
        <v>41.333943</v>
      </c>
      <c r="V54" s="11" t="n">
        <v>21.9863533</v>
      </c>
      <c r="W54" s="17" t="n"/>
      <c r="X54" s="17" t="n"/>
      <c r="Y54" s="16" t="n">
        <v>20.978032</v>
      </c>
      <c r="Z54" s="16" t="n">
        <v>12.546751</v>
      </c>
      <c r="AA54" s="16" t="n"/>
      <c r="AB54" s="17" t="n"/>
      <c r="AC54" s="17" t="n"/>
      <c r="AD54" s="17" t="n"/>
      <c r="AE54" s="17" t="n"/>
      <c r="AF54" s="17" t="n"/>
      <c r="AG54" s="17" t="n"/>
      <c r="AH54" s="16" t="n">
        <v>5.888729</v>
      </c>
      <c r="AI54" s="16" t="n">
        <v>0</v>
      </c>
      <c r="AJ54" s="16" t="n">
        <v>796.736008</v>
      </c>
      <c r="AK54" s="16" t="n">
        <v>0</v>
      </c>
      <c r="AM54" s="1">
        <f>B54</f>
        <v/>
      </c>
      <c r="AN54" s="1">
        <f>C54</f>
        <v/>
      </c>
      <c r="AO54" s="12">
        <f>SUM(AU54:BC54)+BE54+BF54</f>
        <v/>
      </c>
      <c r="AP54" s="12">
        <f>SUM(AU54:BC54)+BH54+BI54</f>
        <v/>
      </c>
      <c r="AQ54" s="5">
        <f>AO54-AP54</f>
        <v/>
      </c>
      <c r="AR54" s="12">
        <f>SUM(AU54:BC54)+BK54+BL54</f>
        <v/>
      </c>
      <c r="AS54" s="12">
        <f>SUM(AU54:BC54)+BN54+BO54</f>
        <v/>
      </c>
      <c r="AT54" s="5">
        <f>AR54-AS54</f>
        <v/>
      </c>
      <c r="AU54" s="5">
        <f>D54/G54*Z54</f>
        <v/>
      </c>
      <c r="AV54" s="1">
        <f>E54/G54*Z54*-1</f>
        <v/>
      </c>
      <c r="AW54" s="1">
        <f>F54/G54*Y54</f>
        <v/>
      </c>
      <c r="AX54" s="1">
        <f>1/G54*V54</f>
        <v/>
      </c>
      <c r="AY54" s="1">
        <f>H54/G54*AH54</f>
        <v/>
      </c>
      <c r="AZ54" s="1">
        <f>I54/G54*AH54*-1</f>
        <v/>
      </c>
      <c r="BA54" s="1">
        <f>L54/G54/(0.9*8760)</f>
        <v/>
      </c>
      <c r="BB54" s="1">
        <f>M54/G54/(0.9*8760)</f>
        <v/>
      </c>
      <c r="BC54" s="1">
        <f>N54/G54</f>
        <v/>
      </c>
      <c r="BD54" s="1">
        <f>BZ54+CA54+CB54</f>
        <v/>
      </c>
      <c r="BE54" s="1">
        <f>(Q54+R54)*-1*J54/G54</f>
        <v/>
      </c>
      <c r="BF54" s="1">
        <f>BD54*Q54</f>
        <v/>
      </c>
      <c r="BG54" s="1">
        <f>BZ54+CA54</f>
        <v/>
      </c>
      <c r="BH54" s="1">
        <f>R54*J54*-1/G54</f>
        <v/>
      </c>
      <c r="BI54" s="1">
        <f>BG54*Q54</f>
        <v/>
      </c>
      <c r="BJ54" s="1">
        <f>SUM(BY54:CC54)</f>
        <v/>
      </c>
      <c r="BK54" s="1">
        <f>(Q54+R54)*-1*J54/G54</f>
        <v/>
      </c>
      <c r="BL54" s="1">
        <f>BJ54*Q54</f>
        <v/>
      </c>
      <c r="BM54" s="1">
        <f>BY54+BZ54+CA54+CC54</f>
        <v/>
      </c>
      <c r="BN54" s="1">
        <f>J54/G54*R54*-1</f>
        <v/>
      </c>
      <c r="BO54" s="1">
        <f>Q54*BM54</f>
        <v/>
      </c>
      <c r="BQ54" s="9" t="n">
        <v>3.14</v>
      </c>
      <c r="BR54" s="10" t="n">
        <v>0.2218110024</v>
      </c>
      <c r="BS54" s="9" t="n">
        <v>0.18104824</v>
      </c>
      <c r="BU54" s="10">
        <f>1/G54*BR54</f>
        <v/>
      </c>
      <c r="BV54" s="10">
        <f>H54/G54*BS54</f>
        <v/>
      </c>
      <c r="BW54" s="10">
        <f>BU54+BV54</f>
        <v/>
      </c>
      <c r="BY54" s="10">
        <f>BQ54</f>
        <v/>
      </c>
      <c r="BZ54" s="10">
        <f>I54/G54*BS54</f>
        <v/>
      </c>
      <c r="CA54" s="10">
        <f>K54/G54</f>
        <v/>
      </c>
      <c r="CB54" s="10">
        <f>J54/G54</f>
        <v/>
      </c>
      <c r="CC54" s="10">
        <f>BW54-SUM(BY54:CB54)</f>
        <v/>
      </c>
      <c r="CD54" s="10">
        <f>SUM(BY54:CC54)</f>
        <v/>
      </c>
    </row>
    <row r="55">
      <c r="B55" s="14" t="inlineStr">
        <is>
          <t>NE_TSC+CC90:H2</t>
        </is>
      </c>
      <c r="C55" s="13" t="inlineStr">
        <is>
          <t>Ethane</t>
        </is>
      </c>
      <c r="D55" s="13" t="n">
        <v>0</v>
      </c>
      <c r="E55" s="13" t="n">
        <v>0.1598531434</v>
      </c>
      <c r="F55" s="13" t="n">
        <v>0.009388736698</v>
      </c>
      <c r="G55" s="13" t="n">
        <v>0.05310189724</v>
      </c>
      <c r="H55" s="13" t="n">
        <v>0.1318322859</v>
      </c>
      <c r="I55" s="13" t="n">
        <v>0</v>
      </c>
      <c r="J55" s="13" t="n">
        <v>0.04188723326</v>
      </c>
      <c r="K55" s="13" t="n">
        <v>0.004654137028</v>
      </c>
      <c r="L55" s="13" t="n">
        <v>106900.9741</v>
      </c>
      <c r="M55" s="13" t="n">
        <v>58510.18581</v>
      </c>
      <c r="N55" s="13" t="n">
        <v>1.807660423</v>
      </c>
      <c r="O55" s="11">
        <f>CC55/0.22/14</f>
        <v/>
      </c>
      <c r="Q55" s="16" t="n">
        <v>99.913298</v>
      </c>
      <c r="R55" s="16" t="n">
        <v>-21.727401</v>
      </c>
      <c r="S55" s="16" t="n">
        <v>66.936657</v>
      </c>
      <c r="T55" s="16" t="n">
        <v>41.693039</v>
      </c>
      <c r="U55" s="16" t="n">
        <v>41.333943</v>
      </c>
      <c r="V55" s="11" t="n">
        <v>21.9863533</v>
      </c>
      <c r="W55" s="17" t="n"/>
      <c r="X55" s="17" t="n"/>
      <c r="Y55" s="16" t="n">
        <v>20.978032</v>
      </c>
      <c r="Z55" s="16" t="n">
        <v>12.546751</v>
      </c>
      <c r="AA55" s="16" t="n"/>
      <c r="AB55" s="17" t="n"/>
      <c r="AC55" s="17" t="n"/>
      <c r="AD55" s="17" t="n"/>
      <c r="AE55" s="17" t="n"/>
      <c r="AF55" s="17" t="n"/>
      <c r="AG55" s="17" t="n"/>
      <c r="AH55" s="16" t="n">
        <v>5.888729</v>
      </c>
      <c r="AI55" s="16" t="n">
        <v>0</v>
      </c>
      <c r="AJ55" s="16" t="n">
        <v>796.736008</v>
      </c>
      <c r="AK55" s="16" t="n">
        <v>0</v>
      </c>
      <c r="AM55" s="1">
        <f>B55</f>
        <v/>
      </c>
      <c r="AN55" s="1">
        <f>C55</f>
        <v/>
      </c>
      <c r="AO55" s="12">
        <f>SUM(AU55:BC55)+BE55+BF55</f>
        <v/>
      </c>
      <c r="AP55" s="12">
        <f>SUM(AU55:BC55)+BH55+BI55</f>
        <v/>
      </c>
      <c r="AQ55" s="5">
        <f>AO55-AP55</f>
        <v/>
      </c>
      <c r="AR55" s="12">
        <f>SUM(AU55:BC55)+BK55+BL55</f>
        <v/>
      </c>
      <c r="AS55" s="12">
        <f>SUM(AU55:BC55)+BN55+BO55</f>
        <v/>
      </c>
      <c r="AT55" s="5">
        <f>AR55-AS55</f>
        <v/>
      </c>
      <c r="AU55" s="5">
        <f>D55/G55*Z55</f>
        <v/>
      </c>
      <c r="AV55" s="1">
        <f>E55/G55*Z55*-1</f>
        <v/>
      </c>
      <c r="AW55" s="1">
        <f>F55/G55*Y55</f>
        <v/>
      </c>
      <c r="AX55" s="1">
        <f>1/G55*V55</f>
        <v/>
      </c>
      <c r="AY55" s="1">
        <f>H55/G55*AH55</f>
        <v/>
      </c>
      <c r="AZ55" s="1">
        <f>I55/G55*AH55*-1</f>
        <v/>
      </c>
      <c r="BA55" s="1">
        <f>L55/G55/(0.9*8760)</f>
        <v/>
      </c>
      <c r="BB55" s="1">
        <f>M55/G55/(0.9*8760)</f>
        <v/>
      </c>
      <c r="BC55" s="1">
        <f>N55/G55</f>
        <v/>
      </c>
      <c r="BD55" s="1">
        <f>BZ55+CA55+CB55</f>
        <v/>
      </c>
      <c r="BE55" s="1">
        <f>(Q55+R55)*-1*J55/G55</f>
        <v/>
      </c>
      <c r="BF55" s="1">
        <f>BD55*Q55</f>
        <v/>
      </c>
      <c r="BG55" s="1">
        <f>BZ55+CA55</f>
        <v/>
      </c>
      <c r="BH55" s="1">
        <f>R55*J55*-1/G55</f>
        <v/>
      </c>
      <c r="BI55" s="1">
        <f>BG55*Q55</f>
        <v/>
      </c>
      <c r="BJ55" s="1">
        <f>SUM(BY55:CC55)</f>
        <v/>
      </c>
      <c r="BK55" s="1">
        <f>(Q55+R55)*-1*J55/G55</f>
        <v/>
      </c>
      <c r="BL55" s="1">
        <f>BJ55*Q55</f>
        <v/>
      </c>
      <c r="BM55" s="1">
        <f>BY55+BZ55+CA55+CC55</f>
        <v/>
      </c>
      <c r="BN55" s="1">
        <f>J55/G55*R55*-1</f>
        <v/>
      </c>
      <c r="BO55" s="1">
        <f>Q55*BM55</f>
        <v/>
      </c>
      <c r="BQ55" s="9" t="n">
        <v>3.14</v>
      </c>
      <c r="BR55" s="10" t="n">
        <v>0.2218110024</v>
      </c>
      <c r="BS55" s="9" t="n">
        <v>0.18104824</v>
      </c>
      <c r="BU55" s="10">
        <f>1/G55*BR55</f>
        <v/>
      </c>
      <c r="BV55" s="10">
        <f>H55/G55*BS55</f>
        <v/>
      </c>
      <c r="BW55" s="10">
        <f>BU55+BV55</f>
        <v/>
      </c>
      <c r="BY55" s="10">
        <f>BQ55</f>
        <v/>
      </c>
      <c r="BZ55" s="10">
        <f>I55/G55*BS55</f>
        <v/>
      </c>
      <c r="CA55" s="10">
        <f>K55/G55</f>
        <v/>
      </c>
      <c r="CB55" s="10">
        <f>J55/G55</f>
        <v/>
      </c>
      <c r="CC55" s="10">
        <f>BW55-SUM(BY55:CB55)</f>
        <v/>
      </c>
      <c r="CD55" s="10">
        <f>SUM(BY55:CC55)</f>
        <v/>
      </c>
    </row>
    <row r="56">
      <c r="B56" s="14" t="inlineStr">
        <is>
          <t>NE_TSC+H2in</t>
        </is>
      </c>
      <c r="C56" s="13" t="inlineStr">
        <is>
          <t>Ethane</t>
        </is>
      </c>
      <c r="D56" s="13" t="n">
        <v>0.02226644157</v>
      </c>
      <c r="E56" s="13" t="n">
        <v>0</v>
      </c>
      <c r="F56" s="13" t="n">
        <v>0</v>
      </c>
      <c r="G56" s="13" t="n">
        <v>0.05310189724</v>
      </c>
      <c r="H56" s="13" t="n">
        <v>0</v>
      </c>
      <c r="I56" s="13" t="n">
        <v>0</v>
      </c>
      <c r="J56" s="13" t="n">
        <v>0</v>
      </c>
      <c r="K56" s="13" t="n">
        <v>0.02267336695</v>
      </c>
      <c r="L56" s="13" t="n">
        <v>99124.32016</v>
      </c>
      <c r="M56" s="13" t="n">
        <v>54251.99777</v>
      </c>
      <c r="N56" s="13" t="n">
        <v>1.676159756</v>
      </c>
      <c r="O56" s="11">
        <f>CC56/0.22/14</f>
        <v/>
      </c>
      <c r="Q56" s="16" t="n">
        <v>99.913298</v>
      </c>
      <c r="R56" s="16" t="n">
        <v>-21.727401</v>
      </c>
      <c r="S56" s="16" t="n">
        <v>66.936657</v>
      </c>
      <c r="T56" s="16" t="n">
        <v>41.693039</v>
      </c>
      <c r="U56" s="16" t="n">
        <v>41.333943</v>
      </c>
      <c r="V56" s="11" t="n">
        <v>21.9863533</v>
      </c>
      <c r="W56" s="17" t="n"/>
      <c r="X56" s="17" t="n"/>
      <c r="Y56" s="16" t="n">
        <v>20.978032</v>
      </c>
      <c r="Z56" s="16" t="n">
        <v>12.546751</v>
      </c>
      <c r="AA56" s="16" t="n"/>
      <c r="AB56" s="17" t="n"/>
      <c r="AC56" s="17" t="n"/>
      <c r="AD56" s="17" t="n"/>
      <c r="AE56" s="17" t="n"/>
      <c r="AF56" s="17" t="n"/>
      <c r="AG56" s="17" t="n"/>
      <c r="AH56" s="16" t="n">
        <v>5.888729</v>
      </c>
      <c r="AI56" s="16" t="n">
        <v>0</v>
      </c>
      <c r="AJ56" s="16" t="n">
        <v>796.736008</v>
      </c>
      <c r="AK56" s="16" t="n">
        <v>0</v>
      </c>
      <c r="AM56" s="1">
        <f>B56</f>
        <v/>
      </c>
      <c r="AN56" s="1">
        <f>C56</f>
        <v/>
      </c>
      <c r="AO56" s="12">
        <f>SUM(AU56:BC56)+BE56+BF56</f>
        <v/>
      </c>
      <c r="AP56" s="12">
        <f>SUM(AU56:BC56)+BH56+BI56</f>
        <v/>
      </c>
      <c r="AQ56" s="5">
        <f>AO56-AP56</f>
        <v/>
      </c>
      <c r="AR56" s="12">
        <f>SUM(AU56:BC56)+BK56+BL56</f>
        <v/>
      </c>
      <c r="AS56" s="12">
        <f>SUM(AU56:BC56)+BN56+BO56</f>
        <v/>
      </c>
      <c r="AT56" s="5">
        <f>AR56-AS56</f>
        <v/>
      </c>
      <c r="AU56" s="5">
        <f>D56/G56*Z56</f>
        <v/>
      </c>
      <c r="AV56" s="1">
        <f>E56/G56*Z56*-1</f>
        <v/>
      </c>
      <c r="AW56" s="1">
        <f>F56/G56*Y56</f>
        <v/>
      </c>
      <c r="AX56" s="1">
        <f>1/G56*V56</f>
        <v/>
      </c>
      <c r="AY56" s="1">
        <f>H56/G56*AH56</f>
        <v/>
      </c>
      <c r="AZ56" s="1">
        <f>I56/G56*AH56*-1</f>
        <v/>
      </c>
      <c r="BA56" s="1">
        <f>L56/G56/(0.9*8760)</f>
        <v/>
      </c>
      <c r="BB56" s="1">
        <f>M56/G56/(0.9*8760)</f>
        <v/>
      </c>
      <c r="BC56" s="1">
        <f>N56/G56</f>
        <v/>
      </c>
      <c r="BD56" s="1">
        <f>BZ56+CA56+CB56</f>
        <v/>
      </c>
      <c r="BE56" s="1">
        <f>(Q56+R56)*-1*J56/G56</f>
        <v/>
      </c>
      <c r="BF56" s="1">
        <f>BD56*Q56</f>
        <v/>
      </c>
      <c r="BG56" s="1">
        <f>BZ56+CA56</f>
        <v/>
      </c>
      <c r="BH56" s="1">
        <f>R56*J56*-1/G56</f>
        <v/>
      </c>
      <c r="BI56" s="1">
        <f>BG56*Q56</f>
        <v/>
      </c>
      <c r="BJ56" s="1">
        <f>SUM(BY56:CC56)</f>
        <v/>
      </c>
      <c r="BK56" s="1">
        <f>(Q56+R56)*-1*J56/G56</f>
        <v/>
      </c>
      <c r="BL56" s="1">
        <f>BJ56*Q56</f>
        <v/>
      </c>
      <c r="BM56" s="1">
        <f>BY56+BZ56+CA56+CC56</f>
        <v/>
      </c>
      <c r="BN56" s="1">
        <f>J56/G56*R56*-1</f>
        <v/>
      </c>
      <c r="BO56" s="1">
        <f>Q56*BM56</f>
        <v/>
      </c>
      <c r="BQ56" s="9" t="n">
        <v>3.14</v>
      </c>
      <c r="BR56" s="10" t="n">
        <v>0.2218110024</v>
      </c>
      <c r="BS56" s="9" t="n">
        <v>0.18104824</v>
      </c>
      <c r="BU56" s="10">
        <f>1/G56*BR56</f>
        <v/>
      </c>
      <c r="BV56" s="10">
        <f>H56/G56*BS56</f>
        <v/>
      </c>
      <c r="BW56" s="10">
        <f>BU56+BV56</f>
        <v/>
      </c>
      <c r="BY56" s="10">
        <f>BQ56</f>
        <v/>
      </c>
      <c r="BZ56" s="10">
        <f>I56/G56*BS56</f>
        <v/>
      </c>
      <c r="CA56" s="10">
        <f>K56/G56</f>
        <v/>
      </c>
      <c r="CB56" s="10">
        <f>J56/G56</f>
        <v/>
      </c>
      <c r="CC56" s="10">
        <f>BW56-SUM(BY56:CB56)</f>
        <v/>
      </c>
      <c r="CD56" s="10">
        <f>SUM(BY56:CC56)</f>
        <v/>
      </c>
    </row>
    <row r="57">
      <c r="B57" s="14" t="inlineStr">
        <is>
          <t>NE_TSC+H2in:CH4</t>
        </is>
      </c>
      <c r="C57" s="13" t="inlineStr">
        <is>
          <t>Ethane</t>
        </is>
      </c>
      <c r="D57" s="13" t="n">
        <v>0.1375867019</v>
      </c>
      <c r="E57" s="13" t="n">
        <v>0</v>
      </c>
      <c r="F57" s="13" t="n">
        <v>0</v>
      </c>
      <c r="G57" s="13" t="n">
        <v>0.05310189724</v>
      </c>
      <c r="H57" s="13" t="n">
        <v>0</v>
      </c>
      <c r="I57" s="13" t="n">
        <v>0.1181424966</v>
      </c>
      <c r="J57" s="13" t="n">
        <v>0</v>
      </c>
      <c r="K57" s="13" t="n">
        <v>0.001283875878</v>
      </c>
      <c r="L57" s="13" t="n">
        <v>99124.32016</v>
      </c>
      <c r="M57" s="13" t="n">
        <v>54251.99777</v>
      </c>
      <c r="N57" s="13" t="n">
        <v>1.676159756</v>
      </c>
      <c r="O57" s="11">
        <f>CC57/0.22/14</f>
        <v/>
      </c>
      <c r="Q57" s="16" t="n">
        <v>99.913298</v>
      </c>
      <c r="R57" s="16" t="n">
        <v>-21.727401</v>
      </c>
      <c r="S57" s="16" t="n">
        <v>66.936657</v>
      </c>
      <c r="T57" s="16" t="n">
        <v>41.693039</v>
      </c>
      <c r="U57" s="16" t="n">
        <v>41.333943</v>
      </c>
      <c r="V57" s="11" t="n">
        <v>21.9863533</v>
      </c>
      <c r="W57" s="17" t="n"/>
      <c r="X57" s="17" t="n"/>
      <c r="Y57" s="16" t="n">
        <v>20.978032</v>
      </c>
      <c r="Z57" s="16" t="n">
        <v>12.546751</v>
      </c>
      <c r="AA57" s="16" t="n"/>
      <c r="AB57" s="17" t="n"/>
      <c r="AC57" s="17" t="n"/>
      <c r="AD57" s="17" t="n"/>
      <c r="AE57" s="17" t="n"/>
      <c r="AF57" s="17" t="n"/>
      <c r="AG57" s="17" t="n"/>
      <c r="AH57" s="16" t="n">
        <v>5.888729</v>
      </c>
      <c r="AI57" s="16" t="n">
        <v>0</v>
      </c>
      <c r="AJ57" s="16" t="n">
        <v>796.736008</v>
      </c>
      <c r="AK57" s="16" t="n">
        <v>0</v>
      </c>
      <c r="AM57" s="1">
        <f>B57</f>
        <v/>
      </c>
      <c r="AN57" s="1">
        <f>C57</f>
        <v/>
      </c>
      <c r="AO57" s="12">
        <f>SUM(AU57:BC57)+BE57+BF57</f>
        <v/>
      </c>
      <c r="AP57" s="12">
        <f>SUM(AU57:BC57)+BH57+BI57</f>
        <v/>
      </c>
      <c r="AQ57" s="5">
        <f>AO57-AP57</f>
        <v/>
      </c>
      <c r="AR57" s="12">
        <f>SUM(AU57:BC57)+BK57+BL57</f>
        <v/>
      </c>
      <c r="AS57" s="12">
        <f>SUM(AU57:BC57)+BN57+BO57</f>
        <v/>
      </c>
      <c r="AT57" s="5">
        <f>AR57-AS57</f>
        <v/>
      </c>
      <c r="AU57" s="5">
        <f>D57/G57*Z57</f>
        <v/>
      </c>
      <c r="AV57" s="1">
        <f>E57/G57*Z57*-1</f>
        <v/>
      </c>
      <c r="AW57" s="1">
        <f>F57/G57*Y57</f>
        <v/>
      </c>
      <c r="AX57" s="1">
        <f>1/G57*V57</f>
        <v/>
      </c>
      <c r="AY57" s="1">
        <f>H57/G57*AH57</f>
        <v/>
      </c>
      <c r="AZ57" s="1">
        <f>I57/G57*AH57*-1</f>
        <v/>
      </c>
      <c r="BA57" s="1">
        <f>L57/G57/(0.9*8760)</f>
        <v/>
      </c>
      <c r="BB57" s="1">
        <f>M57/G57/(0.9*8760)</f>
        <v/>
      </c>
      <c r="BC57" s="1">
        <f>N57/G57</f>
        <v/>
      </c>
      <c r="BD57" s="1">
        <f>BZ57+CA57+CB57</f>
        <v/>
      </c>
      <c r="BE57" s="1">
        <f>(Q57+R57)*-1*J57/G57</f>
        <v/>
      </c>
      <c r="BF57" s="1">
        <f>BD57*Q57</f>
        <v/>
      </c>
      <c r="BG57" s="1">
        <f>BZ57+CA57</f>
        <v/>
      </c>
      <c r="BH57" s="1">
        <f>R57*J57*-1/G57</f>
        <v/>
      </c>
      <c r="BI57" s="1">
        <f>BG57*Q57</f>
        <v/>
      </c>
      <c r="BJ57" s="1">
        <f>SUM(BY57:CC57)</f>
        <v/>
      </c>
      <c r="BK57" s="1">
        <f>(Q57+R57)*-1*J57/G57</f>
        <v/>
      </c>
      <c r="BL57" s="1">
        <f>BJ57*Q57</f>
        <v/>
      </c>
      <c r="BM57" s="1">
        <f>BY57+BZ57+CA57+CC57</f>
        <v/>
      </c>
      <c r="BN57" s="1">
        <f>J57/G57*R57*-1</f>
        <v/>
      </c>
      <c r="BO57" s="1">
        <f>Q57*BM57</f>
        <v/>
      </c>
      <c r="BQ57" s="9" t="n">
        <v>3.14</v>
      </c>
      <c r="BR57" s="10" t="n">
        <v>0.2218110024</v>
      </c>
      <c r="BS57" s="9" t="n">
        <v>0.18104824</v>
      </c>
      <c r="BU57" s="10">
        <f>1/G57*BR57</f>
        <v/>
      </c>
      <c r="BV57" s="10">
        <f>H57/G57*BS57</f>
        <v/>
      </c>
      <c r="BW57" s="10">
        <f>BU57+BV57</f>
        <v/>
      </c>
      <c r="BY57" s="10">
        <f>BQ57</f>
        <v/>
      </c>
      <c r="BZ57" s="10">
        <f>I57/G57*BS57</f>
        <v/>
      </c>
      <c r="CA57" s="10">
        <f>K57/G57</f>
        <v/>
      </c>
      <c r="CB57" s="10">
        <f>J57/G57</f>
        <v/>
      </c>
      <c r="CC57" s="10">
        <f>BW57-SUM(BY57:CB57)</f>
        <v/>
      </c>
      <c r="CD57" s="10">
        <f>SUM(BY57:CC57)</f>
        <v/>
      </c>
    </row>
    <row r="58">
      <c r="B58" s="14" t="inlineStr">
        <is>
          <t>CA_ESC</t>
        </is>
      </c>
      <c r="C58" s="13" t="inlineStr">
        <is>
          <t>Ethane</t>
        </is>
      </c>
      <c r="D58" s="13" t="n">
        <v>0</v>
      </c>
      <c r="E58" s="13" t="n">
        <v>0.1598531434</v>
      </c>
      <c r="F58" s="13" t="n">
        <v>0.1913827933</v>
      </c>
      <c r="G58" s="13" t="n">
        <v>0.05310189724</v>
      </c>
      <c r="H58" s="13" t="n">
        <v>0</v>
      </c>
      <c r="I58" s="13" t="n">
        <v>0.1181424966</v>
      </c>
      <c r="J58" s="13" t="n">
        <v>0</v>
      </c>
      <c r="K58" s="13" t="n">
        <v>0.001283875878</v>
      </c>
      <c r="L58" s="13" t="n">
        <v>131324.1148</v>
      </c>
      <c r="M58" s="13" t="n">
        <v>71875.35400000001</v>
      </c>
      <c r="N58" s="13" t="n">
        <v>2.220647733</v>
      </c>
      <c r="O58" s="11">
        <f>CC58/0.22/14</f>
        <v/>
      </c>
      <c r="Q58" s="17" t="n">
        <v>99.913298</v>
      </c>
      <c r="R58" s="17" t="n">
        <v>-5.387721</v>
      </c>
      <c r="S58" s="16" t="n">
        <v>69.443859</v>
      </c>
      <c r="T58" s="16" t="n">
        <v>44.089523</v>
      </c>
      <c r="U58" s="16" t="n">
        <v>38.115627</v>
      </c>
      <c r="V58" s="11" t="n">
        <v>21.9863533</v>
      </c>
      <c r="W58" s="17" t="n"/>
      <c r="X58" s="17" t="n"/>
      <c r="Y58" s="16" t="n">
        <v>19.219858</v>
      </c>
      <c r="Z58" s="16" t="n">
        <v>4.641256</v>
      </c>
      <c r="AA58" s="17" t="n"/>
      <c r="AB58" s="17" t="n"/>
      <c r="AC58" s="17" t="n"/>
      <c r="AD58" s="17" t="n"/>
      <c r="AE58" s="17" t="n"/>
      <c r="AF58" s="17" t="n"/>
      <c r="AG58" s="17" t="n"/>
      <c r="AH58" s="16" t="n">
        <v>-3.135876</v>
      </c>
      <c r="AI58" s="16" t="n">
        <v>-4.519557</v>
      </c>
      <c r="AJ58" s="16" t="n">
        <v>796.736008</v>
      </c>
      <c r="AK58" s="16" t="n">
        <v>0</v>
      </c>
      <c r="AM58" s="1">
        <f>B58</f>
        <v/>
      </c>
      <c r="AN58" s="1">
        <f>C58</f>
        <v/>
      </c>
      <c r="AO58" s="12">
        <f>SUM(AU58:BC58)+BE58+BF58</f>
        <v/>
      </c>
      <c r="AP58" s="12">
        <f>SUM(AU58:BC58)+BH58+BI58</f>
        <v/>
      </c>
      <c r="AQ58" s="5">
        <f>AO58-AP58</f>
        <v/>
      </c>
      <c r="AR58" s="12">
        <f>SUM(AU58:BC58)+BK58+BL58</f>
        <v/>
      </c>
      <c r="AS58" s="12">
        <f>SUM(AU58:BC58)+BN58+BO58</f>
        <v/>
      </c>
      <c r="AT58" s="5">
        <f>AR58-AS58</f>
        <v/>
      </c>
      <c r="AU58" s="5">
        <f>D58/G58*Z58</f>
        <v/>
      </c>
      <c r="AV58" s="1">
        <f>E58/G58*Z58*-1</f>
        <v/>
      </c>
      <c r="AW58" s="1">
        <f>F58/G58*Y58</f>
        <v/>
      </c>
      <c r="AX58" s="1">
        <f>1/G58*V58</f>
        <v/>
      </c>
      <c r="AY58" s="1">
        <f>H58/G58*AH58</f>
        <v/>
      </c>
      <c r="AZ58" s="1">
        <f>I58/G58*AH58*-1</f>
        <v/>
      </c>
      <c r="BA58" s="1">
        <f>L58/G58/(0.9*8760)</f>
        <v/>
      </c>
      <c r="BB58" s="1">
        <f>M58/G58/(0.9*8760)</f>
        <v/>
      </c>
      <c r="BC58" s="1">
        <f>N58/G58</f>
        <v/>
      </c>
      <c r="BD58" s="1">
        <f>BZ58+CA58+CB58</f>
        <v/>
      </c>
      <c r="BE58" s="1">
        <f>(Q58+R58)*-1*J58/G58</f>
        <v/>
      </c>
      <c r="BF58" s="1">
        <f>BD58*Q58</f>
        <v/>
      </c>
      <c r="BG58" s="1">
        <f>BZ58+CA58</f>
        <v/>
      </c>
      <c r="BH58" s="1">
        <f>R58*J58*-1/G58</f>
        <v/>
      </c>
      <c r="BI58" s="1">
        <f>BG58*Q58</f>
        <v/>
      </c>
      <c r="BJ58" s="1">
        <f>SUM(BY58:CC58)</f>
        <v/>
      </c>
      <c r="BK58" s="1">
        <f>(Q58+R58)*-1*J58/G58</f>
        <v/>
      </c>
      <c r="BL58" s="1">
        <f>BJ58*Q58</f>
        <v/>
      </c>
      <c r="BM58" s="1">
        <f>BY58+BZ58+CA58+CC58</f>
        <v/>
      </c>
      <c r="BN58" s="1">
        <f>J58/G58*R58*-1</f>
        <v/>
      </c>
      <c r="BO58" s="1">
        <f>Q58*BM58</f>
        <v/>
      </c>
      <c r="BQ58" s="9" t="n">
        <v>3.14</v>
      </c>
      <c r="BR58" s="10" t="n">
        <v>0.2218110024</v>
      </c>
      <c r="BS58" s="9" t="n">
        <v>0.18104824</v>
      </c>
      <c r="BU58" s="10">
        <f>1/G58*BR58</f>
        <v/>
      </c>
      <c r="BV58" s="10">
        <f>H58/G58*BS58</f>
        <v/>
      </c>
      <c r="BW58" s="10">
        <f>BU58+BV58</f>
        <v/>
      </c>
      <c r="BY58" s="10">
        <f>BQ58</f>
        <v/>
      </c>
      <c r="BZ58" s="10">
        <f>I58/G58*BS58</f>
        <v/>
      </c>
      <c r="CA58" s="10">
        <f>K58/G58</f>
        <v/>
      </c>
      <c r="CB58" s="10">
        <f>J58/G58</f>
        <v/>
      </c>
      <c r="CC58" s="10">
        <f>BW58-SUM(BY58:CB58)</f>
        <v/>
      </c>
      <c r="CD58" s="10">
        <f>SUM(BY58:CC58)</f>
        <v/>
      </c>
    </row>
    <row r="59">
      <c r="B59" s="14" t="inlineStr">
        <is>
          <t>SW_ESC</t>
        </is>
      </c>
      <c r="C59" s="13" t="inlineStr">
        <is>
          <t>Ethane</t>
        </is>
      </c>
      <c r="D59" s="13" t="n">
        <v>0</v>
      </c>
      <c r="E59" s="13" t="n">
        <v>0.1598531434</v>
      </c>
      <c r="F59" s="13" t="n">
        <v>0.1913827933</v>
      </c>
      <c r="G59" s="13" t="n">
        <v>0.05310189724</v>
      </c>
      <c r="H59" s="13" t="n">
        <v>0</v>
      </c>
      <c r="I59" s="13" t="n">
        <v>0.1181424966</v>
      </c>
      <c r="J59" s="13" t="n">
        <v>0</v>
      </c>
      <c r="K59" s="13" t="n">
        <v>0.001283875878</v>
      </c>
      <c r="L59" s="13" t="n">
        <v>131324.1148</v>
      </c>
      <c r="M59" s="13" t="n">
        <v>71875.35400000001</v>
      </c>
      <c r="N59" s="13" t="n">
        <v>2.220647733</v>
      </c>
      <c r="O59" s="11">
        <f>CC59/0.22/14</f>
        <v/>
      </c>
      <c r="Q59" s="17" t="n">
        <v>99.913298</v>
      </c>
      <c r="R59" s="17" t="n">
        <v>-5.321206</v>
      </c>
      <c r="S59" s="16" t="n">
        <v>65.718464</v>
      </c>
      <c r="T59" s="16" t="n">
        <v>44.094475</v>
      </c>
      <c r="U59" s="16" t="n">
        <v>41.17053</v>
      </c>
      <c r="V59" s="11" t="n">
        <v>21.9863533</v>
      </c>
      <c r="W59" s="17" t="n"/>
      <c r="X59" s="17" t="n"/>
      <c r="Y59" s="16" t="n">
        <v>20.088657</v>
      </c>
      <c r="Z59" s="16" t="n">
        <v>6.238322</v>
      </c>
      <c r="AA59" s="17" t="n"/>
      <c r="AB59" s="17" t="n"/>
      <c r="AC59" s="17" t="n"/>
      <c r="AD59" s="17" t="n"/>
      <c r="AE59" s="17" t="n"/>
      <c r="AF59" s="17" t="n"/>
      <c r="AG59" s="17" t="n"/>
      <c r="AH59" s="16" t="n">
        <v>-1.277867</v>
      </c>
      <c r="AI59" s="16" t="n">
        <v>-3.020989</v>
      </c>
      <c r="AJ59" s="16" t="n">
        <v>796.736008</v>
      </c>
      <c r="AK59" s="16" t="n">
        <v>0</v>
      </c>
      <c r="AM59" s="1">
        <f>B59</f>
        <v/>
      </c>
      <c r="AN59" s="1">
        <f>C59</f>
        <v/>
      </c>
      <c r="AO59" s="12">
        <f>SUM(AU59:BC59)+BE59+BF59</f>
        <v/>
      </c>
      <c r="AP59" s="12">
        <f>SUM(AU59:BC59)+BH59+BI59</f>
        <v/>
      </c>
      <c r="AQ59" s="5">
        <f>AO59-AP59</f>
        <v/>
      </c>
      <c r="AR59" s="12">
        <f>SUM(AU59:BC59)+BK59+BL59</f>
        <v/>
      </c>
      <c r="AS59" s="12">
        <f>SUM(AU59:BC59)+BN59+BO59</f>
        <v/>
      </c>
      <c r="AT59" s="5">
        <f>AR59-AS59</f>
        <v/>
      </c>
      <c r="AU59" s="5">
        <f>D59/G59*Z59</f>
        <v/>
      </c>
      <c r="AV59" s="1">
        <f>E59/G59*Z59*-1</f>
        <v/>
      </c>
      <c r="AW59" s="1">
        <f>F59/G59*Y59</f>
        <v/>
      </c>
      <c r="AX59" s="1">
        <f>1/G59*V59</f>
        <v/>
      </c>
      <c r="AY59" s="1">
        <f>H59/G59*AH59</f>
        <v/>
      </c>
      <c r="AZ59" s="1">
        <f>I59/G59*AH59*-1</f>
        <v/>
      </c>
      <c r="BA59" s="1">
        <f>L59/G59/(0.9*8760)</f>
        <v/>
      </c>
      <c r="BB59" s="1">
        <f>M59/G59/(0.9*8760)</f>
        <v/>
      </c>
      <c r="BC59" s="1">
        <f>N59/G59</f>
        <v/>
      </c>
      <c r="BD59" s="1">
        <f>BZ59+CA59+CB59</f>
        <v/>
      </c>
      <c r="BE59" s="1">
        <f>(Q59+R59)*-1*J59/G59</f>
        <v/>
      </c>
      <c r="BF59" s="1">
        <f>BD59*Q59</f>
        <v/>
      </c>
      <c r="BG59" s="1">
        <f>BZ59+CA59</f>
        <v/>
      </c>
      <c r="BH59" s="1">
        <f>R59*J59*-1/G59</f>
        <v/>
      </c>
      <c r="BI59" s="1">
        <f>BG59*Q59</f>
        <v/>
      </c>
      <c r="BJ59" s="1">
        <f>SUM(BY59:CC59)</f>
        <v/>
      </c>
      <c r="BK59" s="1">
        <f>(Q59+R59)*-1*J59/G59</f>
        <v/>
      </c>
      <c r="BL59" s="1">
        <f>BJ59*Q59</f>
        <v/>
      </c>
      <c r="BM59" s="1">
        <f>BY59+BZ59+CA59+CC59</f>
        <v/>
      </c>
      <c r="BN59" s="1">
        <f>J59/G59*R59*-1</f>
        <v/>
      </c>
      <c r="BO59" s="1">
        <f>Q59*BM59</f>
        <v/>
      </c>
      <c r="BQ59" s="9" t="n">
        <v>3.14</v>
      </c>
      <c r="BR59" s="10" t="n">
        <v>0.2218110024</v>
      </c>
      <c r="BS59" s="9" t="n">
        <v>0.18104824</v>
      </c>
      <c r="BU59" s="10">
        <f>1/G59*BR59</f>
        <v/>
      </c>
      <c r="BV59" s="10">
        <f>H59/G59*BS59</f>
        <v/>
      </c>
      <c r="BW59" s="10">
        <f>BU59+BV59</f>
        <v/>
      </c>
      <c r="BY59" s="10">
        <f>BQ59</f>
        <v/>
      </c>
      <c r="BZ59" s="10">
        <f>I59/G59*BS59</f>
        <v/>
      </c>
      <c r="CA59" s="10">
        <f>K59/G59</f>
        <v/>
      </c>
      <c r="CB59" s="10">
        <f>J59/G59</f>
        <v/>
      </c>
      <c r="CC59" s="10">
        <f>BW59-SUM(BY59:CB59)</f>
        <v/>
      </c>
      <c r="CD59" s="10">
        <f>SUM(BY59:CC59)</f>
        <v/>
      </c>
    </row>
    <row r="60">
      <c r="B60" s="14" t="inlineStr">
        <is>
          <t>NW_ESC</t>
        </is>
      </c>
      <c r="C60" s="13" t="inlineStr">
        <is>
          <t>Ethane</t>
        </is>
      </c>
      <c r="D60" s="13" t="n">
        <v>0</v>
      </c>
      <c r="E60" s="13" t="n">
        <v>0.1598531434</v>
      </c>
      <c r="F60" s="13" t="n">
        <v>0.1913827933</v>
      </c>
      <c r="G60" s="13" t="n">
        <v>0.05310189724</v>
      </c>
      <c r="H60" s="13" t="n">
        <v>0</v>
      </c>
      <c r="I60" s="13" t="n">
        <v>0.1181424966</v>
      </c>
      <c r="J60" s="13" t="n">
        <v>0</v>
      </c>
      <c r="K60" s="13" t="n">
        <v>0.001283875878</v>
      </c>
      <c r="L60" s="13" t="n">
        <v>131324.1148</v>
      </c>
      <c r="M60" s="13" t="n">
        <v>71875.35400000001</v>
      </c>
      <c r="N60" s="13" t="n">
        <v>2.220647733</v>
      </c>
      <c r="O60" s="11">
        <f>CC60/0.22/14</f>
        <v/>
      </c>
      <c r="Q60" s="17" t="n">
        <v>99.913298</v>
      </c>
      <c r="R60" s="17" t="n">
        <v>-5.280129</v>
      </c>
      <c r="S60" s="16" t="n">
        <v>67.91567999999999</v>
      </c>
      <c r="T60" s="16" t="n">
        <v>44.074162</v>
      </c>
      <c r="U60" s="16" t="n">
        <v>42.063157</v>
      </c>
      <c r="V60" s="11" t="n">
        <v>21.9863533</v>
      </c>
      <c r="W60" s="17" t="n"/>
      <c r="X60" s="17" t="n"/>
      <c r="Y60" s="16" t="n">
        <v>19.074368</v>
      </c>
      <c r="Z60" s="16" t="n">
        <v>5.238745</v>
      </c>
      <c r="AA60" s="17" t="n"/>
      <c r="AB60" s="17" t="n"/>
      <c r="AC60" s="17" t="n"/>
      <c r="AD60" s="17" t="n"/>
      <c r="AE60" s="17" t="n"/>
      <c r="AF60" s="17" t="n"/>
      <c r="AG60" s="17" t="n"/>
      <c r="AH60" s="16" t="n">
        <v>-2.438704</v>
      </c>
      <c r="AI60" s="16" t="n">
        <v>-3.956322</v>
      </c>
      <c r="AJ60" s="16" t="n">
        <v>796.736008</v>
      </c>
      <c r="AK60" s="16" t="n">
        <v>0</v>
      </c>
      <c r="AM60" s="1">
        <f>B60</f>
        <v/>
      </c>
      <c r="AN60" s="1">
        <f>C60</f>
        <v/>
      </c>
      <c r="AO60" s="12">
        <f>SUM(AU60:BC60)+BE60+BF60</f>
        <v/>
      </c>
      <c r="AP60" s="12">
        <f>SUM(AU60:BC60)+BH60+BI60</f>
        <v/>
      </c>
      <c r="AQ60" s="5">
        <f>AO60-AP60</f>
        <v/>
      </c>
      <c r="AR60" s="12">
        <f>SUM(AU60:BC60)+BK60+BL60</f>
        <v/>
      </c>
      <c r="AS60" s="12">
        <f>SUM(AU60:BC60)+BN60+BO60</f>
        <v/>
      </c>
      <c r="AT60" s="5">
        <f>AR60-AS60</f>
        <v/>
      </c>
      <c r="AU60" s="5">
        <f>D60/G60*Z60</f>
        <v/>
      </c>
      <c r="AV60" s="1">
        <f>E60/G60*Z60*-1</f>
        <v/>
      </c>
      <c r="AW60" s="1">
        <f>F60/G60*Y60</f>
        <v/>
      </c>
      <c r="AX60" s="1">
        <f>1/G60*V60</f>
        <v/>
      </c>
      <c r="AY60" s="1">
        <f>H60/G60*AH60</f>
        <v/>
      </c>
      <c r="AZ60" s="1">
        <f>I60/G60*AH60*-1</f>
        <v/>
      </c>
      <c r="BA60" s="1">
        <f>L60/G60/(0.9*8760)</f>
        <v/>
      </c>
      <c r="BB60" s="1">
        <f>M60/G60/(0.9*8760)</f>
        <v/>
      </c>
      <c r="BC60" s="1">
        <f>N60/G60</f>
        <v/>
      </c>
      <c r="BD60" s="1">
        <f>BZ60+CA60+CB60</f>
        <v/>
      </c>
      <c r="BE60" s="1">
        <f>(Q60+R60)*-1*J60/G60</f>
        <v/>
      </c>
      <c r="BF60" s="1">
        <f>BD60*Q60</f>
        <v/>
      </c>
      <c r="BG60" s="1">
        <f>BZ60+CA60</f>
        <v/>
      </c>
      <c r="BH60" s="1">
        <f>R60*J60*-1/G60</f>
        <v/>
      </c>
      <c r="BI60" s="1">
        <f>BG60*Q60</f>
        <v/>
      </c>
      <c r="BJ60" s="1">
        <f>SUM(BY60:CC60)</f>
        <v/>
      </c>
      <c r="BK60" s="1">
        <f>(Q60+R60)*-1*J60/G60</f>
        <v/>
      </c>
      <c r="BL60" s="1">
        <f>BJ60*Q60</f>
        <v/>
      </c>
      <c r="BM60" s="1">
        <f>BY60+BZ60+CA60+CC60</f>
        <v/>
      </c>
      <c r="BN60" s="1">
        <f>J60/G60*R60*-1</f>
        <v/>
      </c>
      <c r="BO60" s="1">
        <f>Q60*BM60</f>
        <v/>
      </c>
      <c r="BQ60" s="9" t="n">
        <v>3.14</v>
      </c>
      <c r="BR60" s="10" t="n">
        <v>0.2218110024</v>
      </c>
      <c r="BS60" s="9" t="n">
        <v>0.18104824</v>
      </c>
      <c r="BU60" s="10">
        <f>1/G60*BR60</f>
        <v/>
      </c>
      <c r="BV60" s="10">
        <f>H60/G60*BS60</f>
        <v/>
      </c>
      <c r="BW60" s="10">
        <f>BU60+BV60</f>
        <v/>
      </c>
      <c r="BY60" s="10">
        <f>BQ60</f>
        <v/>
      </c>
      <c r="BZ60" s="10">
        <f>I60/G60*BS60</f>
        <v/>
      </c>
      <c r="CA60" s="10">
        <f>K60/G60</f>
        <v/>
      </c>
      <c r="CB60" s="10">
        <f>J60/G60</f>
        <v/>
      </c>
      <c r="CC60" s="10">
        <f>BW60-SUM(BY60:CB60)</f>
        <v/>
      </c>
      <c r="CD60" s="10">
        <f>SUM(BY60:CC60)</f>
        <v/>
      </c>
    </row>
    <row r="61">
      <c r="B61" s="14" t="inlineStr">
        <is>
          <t>TX_ESC</t>
        </is>
      </c>
      <c r="C61" s="13" t="inlineStr">
        <is>
          <t>Ethane</t>
        </is>
      </c>
      <c r="D61" s="13" t="n">
        <v>0</v>
      </c>
      <c r="E61" s="13" t="n">
        <v>0.1598531434</v>
      </c>
      <c r="F61" s="13" t="n">
        <v>0.1913827933</v>
      </c>
      <c r="G61" s="13" t="n">
        <v>0.05310189724</v>
      </c>
      <c r="H61" s="13" t="n">
        <v>0</v>
      </c>
      <c r="I61" s="13" t="n">
        <v>0.1181424966</v>
      </c>
      <c r="J61" s="13" t="n">
        <v>0</v>
      </c>
      <c r="K61" s="13" t="n">
        <v>0.001283875878</v>
      </c>
      <c r="L61" s="13" t="n">
        <v>131324.1148</v>
      </c>
      <c r="M61" s="13" t="n">
        <v>71875.35400000001</v>
      </c>
      <c r="N61" s="13" t="n">
        <v>2.220647733</v>
      </c>
      <c r="O61" s="11">
        <f>CC61/0.22/14</f>
        <v/>
      </c>
      <c r="Q61" s="17" t="n">
        <v>99.913298</v>
      </c>
      <c r="R61" s="17" t="n">
        <v>-4.998843</v>
      </c>
      <c r="S61" s="16" t="n">
        <v>65.086749</v>
      </c>
      <c r="T61" s="16" t="n">
        <v>44.879451</v>
      </c>
      <c r="U61" s="16" t="n">
        <v>38.220582</v>
      </c>
      <c r="V61" s="11" t="n">
        <v>21.9863533</v>
      </c>
      <c r="W61" s="17" t="n"/>
      <c r="X61" s="17" t="n"/>
      <c r="Y61" s="16" t="n">
        <v>20.95841</v>
      </c>
      <c r="Z61" s="16" t="n">
        <v>6.059849</v>
      </c>
      <c r="AA61" s="17" t="n"/>
      <c r="AB61" s="17" t="n"/>
      <c r="AC61" s="17" t="n"/>
      <c r="AD61" s="17" t="n"/>
      <c r="AE61" s="17" t="n"/>
      <c r="AF61" s="17" t="n"/>
      <c r="AG61" s="17" t="n"/>
      <c r="AH61" s="16" t="n">
        <v>-1.481188</v>
      </c>
      <c r="AI61" s="16" t="n">
        <v>-3.21388</v>
      </c>
      <c r="AJ61" s="16" t="n">
        <v>796.736008</v>
      </c>
      <c r="AK61" s="16" t="n">
        <v>796.736008</v>
      </c>
      <c r="AM61" s="1">
        <f>B61</f>
        <v/>
      </c>
      <c r="AN61" s="1">
        <f>C61</f>
        <v/>
      </c>
      <c r="AO61" s="12">
        <f>SUM(AU61:BC61)+BE61+BF61</f>
        <v/>
      </c>
      <c r="AP61" s="12">
        <f>SUM(AU61:BC61)+BH61+BI61</f>
        <v/>
      </c>
      <c r="AQ61" s="5">
        <f>AO61-AP61</f>
        <v/>
      </c>
      <c r="AR61" s="12">
        <f>SUM(AU61:BC61)+BK61+BL61</f>
        <v/>
      </c>
      <c r="AS61" s="12">
        <f>SUM(AU61:BC61)+BN61+BO61</f>
        <v/>
      </c>
      <c r="AT61" s="5">
        <f>AR61-AS61</f>
        <v/>
      </c>
      <c r="AU61" s="5">
        <f>D61/G61*Z61</f>
        <v/>
      </c>
      <c r="AV61" s="1">
        <f>E61/G61*Z61*-1</f>
        <v/>
      </c>
      <c r="AW61" s="1">
        <f>F61/G61*Y61</f>
        <v/>
      </c>
      <c r="AX61" s="1">
        <f>1/G61*V61</f>
        <v/>
      </c>
      <c r="AY61" s="1">
        <f>H61/G61*AH61</f>
        <v/>
      </c>
      <c r="AZ61" s="1">
        <f>I61/G61*AH61*-1</f>
        <v/>
      </c>
      <c r="BA61" s="1">
        <f>L61/G61/(0.9*8760)</f>
        <v/>
      </c>
      <c r="BB61" s="1">
        <f>M61/G61/(0.9*8760)</f>
        <v/>
      </c>
      <c r="BC61" s="1">
        <f>N61/G61</f>
        <v/>
      </c>
      <c r="BD61" s="1">
        <f>BZ61+CA61+CB61</f>
        <v/>
      </c>
      <c r="BE61" s="1">
        <f>(Q61+R61)*-1*J61/G61</f>
        <v/>
      </c>
      <c r="BF61" s="1">
        <f>BD61*Q61</f>
        <v/>
      </c>
      <c r="BG61" s="1">
        <f>BZ61+CA61</f>
        <v/>
      </c>
      <c r="BH61" s="1">
        <f>R61*J61*-1/G61</f>
        <v/>
      </c>
      <c r="BI61" s="1">
        <f>BG61*Q61</f>
        <v/>
      </c>
      <c r="BJ61" s="1">
        <f>SUM(BY61:CC61)</f>
        <v/>
      </c>
      <c r="BK61" s="1">
        <f>(Q61+R61)*-1*J61/G61</f>
        <v/>
      </c>
      <c r="BL61" s="1">
        <f>BJ61*Q61</f>
        <v/>
      </c>
      <c r="BM61" s="1">
        <f>BY61+BZ61+CA61+CC61</f>
        <v/>
      </c>
      <c r="BN61" s="1">
        <f>J61/G61*R61*-1</f>
        <v/>
      </c>
      <c r="BO61" s="1">
        <f>Q61*BM61</f>
        <v/>
      </c>
      <c r="BQ61" s="9" t="n">
        <v>3.14</v>
      </c>
      <c r="BR61" s="10" t="n">
        <v>0.2218110024</v>
      </c>
      <c r="BS61" s="9" t="n">
        <v>0.18104824</v>
      </c>
      <c r="BU61" s="10">
        <f>1/G61*BR61</f>
        <v/>
      </c>
      <c r="BV61" s="10">
        <f>H61/G61*BS61</f>
        <v/>
      </c>
      <c r="BW61" s="10">
        <f>BU61+BV61</f>
        <v/>
      </c>
      <c r="BY61" s="10">
        <f>BQ61</f>
        <v/>
      </c>
      <c r="BZ61" s="10">
        <f>I61/G61*BS61</f>
        <v/>
      </c>
      <c r="CA61" s="10">
        <f>K61/G61</f>
        <v/>
      </c>
      <c r="CB61" s="10">
        <f>J61/G61</f>
        <v/>
      </c>
      <c r="CC61" s="10">
        <f>BW61-SUM(BY61:CB61)</f>
        <v/>
      </c>
      <c r="CD61" s="10">
        <f>SUM(BY61:CC61)</f>
        <v/>
      </c>
    </row>
    <row r="62">
      <c r="B62" s="14" t="inlineStr">
        <is>
          <t>NCEN_ESC</t>
        </is>
      </c>
      <c r="C62" s="13" t="inlineStr">
        <is>
          <t>Ethane</t>
        </is>
      </c>
      <c r="D62" s="13" t="n">
        <v>0</v>
      </c>
      <c r="E62" s="13" t="n">
        <v>0.1598531434</v>
      </c>
      <c r="F62" s="13" t="n">
        <v>0.1913827933</v>
      </c>
      <c r="G62" s="13" t="n">
        <v>0.05310189724</v>
      </c>
      <c r="H62" s="13" t="n">
        <v>0</v>
      </c>
      <c r="I62" s="13" t="n">
        <v>0.1181424966</v>
      </c>
      <c r="J62" s="13" t="n">
        <v>0</v>
      </c>
      <c r="K62" s="13" t="n">
        <v>0.001283875878</v>
      </c>
      <c r="L62" s="13" t="n">
        <v>131324.1148</v>
      </c>
      <c r="M62" s="13" t="n">
        <v>71875.35400000001</v>
      </c>
      <c r="N62" s="13" t="n">
        <v>2.220647733</v>
      </c>
      <c r="O62" s="11">
        <f>CC62/0.22/14</f>
        <v/>
      </c>
      <c r="Q62" s="17" t="n">
        <v>99.913298</v>
      </c>
      <c r="R62" s="17" t="n">
        <v>-6.08881</v>
      </c>
      <c r="S62" s="16" t="n">
        <v>66.12049500000001</v>
      </c>
      <c r="T62" s="16" t="n">
        <v>43.630616</v>
      </c>
      <c r="U62" s="16" t="n">
        <v>43.105329</v>
      </c>
      <c r="V62" s="11" t="n">
        <v>21.9863533</v>
      </c>
      <c r="W62" s="17" t="n"/>
      <c r="X62" s="17" t="n"/>
      <c r="Y62" s="16" t="n">
        <v>22.136932</v>
      </c>
      <c r="Z62" s="16" t="n">
        <v>6.801534</v>
      </c>
      <c r="AA62" s="17" t="n"/>
      <c r="AB62" s="17" t="n"/>
      <c r="AC62" s="17" t="n"/>
      <c r="AD62" s="17" t="n"/>
      <c r="AE62" s="17" t="n"/>
      <c r="AF62" s="17" t="n"/>
      <c r="AG62" s="17" t="n"/>
      <c r="AH62" s="16" t="n">
        <v>-0.824778</v>
      </c>
      <c r="AI62" s="16" t="n">
        <v>-3.075704</v>
      </c>
      <c r="AJ62" s="16" t="n">
        <v>796.736008</v>
      </c>
      <c r="AK62" s="16" t="n">
        <v>796.736008</v>
      </c>
      <c r="AM62" s="1">
        <f>B62</f>
        <v/>
      </c>
      <c r="AN62" s="1">
        <f>C62</f>
        <v/>
      </c>
      <c r="AO62" s="12">
        <f>SUM(AU62:BC62)+BE62+BF62</f>
        <v/>
      </c>
      <c r="AP62" s="12">
        <f>SUM(AU62:BC62)+BH62+BI62</f>
        <v/>
      </c>
      <c r="AQ62" s="5">
        <f>AO62-AP62</f>
        <v/>
      </c>
      <c r="AR62" s="12">
        <f>SUM(AU62:BC62)+BK62+BL62</f>
        <v/>
      </c>
      <c r="AS62" s="12">
        <f>SUM(AU62:BC62)+BN62+BO62</f>
        <v/>
      </c>
      <c r="AT62" s="5">
        <f>AR62-AS62</f>
        <v/>
      </c>
      <c r="AU62" s="5">
        <f>D62/G62*Z62</f>
        <v/>
      </c>
      <c r="AV62" s="1">
        <f>E62/G62*Z62*-1</f>
        <v/>
      </c>
      <c r="AW62" s="1">
        <f>F62/G62*Y62</f>
        <v/>
      </c>
      <c r="AX62" s="1">
        <f>1/G62*V62</f>
        <v/>
      </c>
      <c r="AY62" s="1">
        <f>H62/G62*AH62</f>
        <v/>
      </c>
      <c r="AZ62" s="1">
        <f>I62/G62*AH62*-1</f>
        <v/>
      </c>
      <c r="BA62" s="1">
        <f>L62/G62/(0.9*8760)</f>
        <v/>
      </c>
      <c r="BB62" s="1">
        <f>M62/G62/(0.9*8760)</f>
        <v/>
      </c>
      <c r="BC62" s="1">
        <f>N62/G62</f>
        <v/>
      </c>
      <c r="BD62" s="1">
        <f>BZ62+CA62+CB62</f>
        <v/>
      </c>
      <c r="BE62" s="1">
        <f>(Q62+R62)*-1*J62/G62</f>
        <v/>
      </c>
      <c r="BF62" s="1">
        <f>BD62*Q62</f>
        <v/>
      </c>
      <c r="BG62" s="1">
        <f>BZ62+CA62</f>
        <v/>
      </c>
      <c r="BH62" s="1">
        <f>R62*J62*-1/G62</f>
        <v/>
      </c>
      <c r="BI62" s="1">
        <f>BG62*Q62</f>
        <v/>
      </c>
      <c r="BJ62" s="1">
        <f>SUM(BY62:CC62)</f>
        <v/>
      </c>
      <c r="BK62" s="1">
        <f>(Q62+R62)*-1*J62/G62</f>
        <v/>
      </c>
      <c r="BL62" s="1">
        <f>BJ62*Q62</f>
        <v/>
      </c>
      <c r="BM62" s="1">
        <f>BY62+BZ62+CA62+CC62</f>
        <v/>
      </c>
      <c r="BN62" s="1">
        <f>J62/G62*R62*-1</f>
        <v/>
      </c>
      <c r="BO62" s="1">
        <f>Q62*BM62</f>
        <v/>
      </c>
      <c r="BQ62" s="9" t="n">
        <v>3.14</v>
      </c>
      <c r="BR62" s="10" t="n">
        <v>0.2218110024</v>
      </c>
      <c r="BS62" s="9" t="n">
        <v>0.18104824</v>
      </c>
      <c r="BU62" s="10">
        <f>1/G62*BR62</f>
        <v/>
      </c>
      <c r="BV62" s="10">
        <f>H62/G62*BS62</f>
        <v/>
      </c>
      <c r="BW62" s="10">
        <f>BU62+BV62</f>
        <v/>
      </c>
      <c r="BY62" s="10">
        <f>BQ62</f>
        <v/>
      </c>
      <c r="BZ62" s="10">
        <f>I62/G62*BS62</f>
        <v/>
      </c>
      <c r="CA62" s="10">
        <f>K62/G62</f>
        <v/>
      </c>
      <c r="CB62" s="10">
        <f>J62/G62</f>
        <v/>
      </c>
      <c r="CC62" s="10">
        <f>BW62-SUM(BY62:CB62)</f>
        <v/>
      </c>
      <c r="CD62" s="10">
        <f>SUM(BY62:CC62)</f>
        <v/>
      </c>
    </row>
    <row r="63">
      <c r="B63" s="14" t="inlineStr">
        <is>
          <t>CEN_ESC</t>
        </is>
      </c>
      <c r="C63" s="13" t="inlineStr">
        <is>
          <t>Ethane</t>
        </is>
      </c>
      <c r="D63" s="13" t="n">
        <v>0</v>
      </c>
      <c r="E63" s="13" t="n">
        <v>0.1598531434</v>
      </c>
      <c r="F63" s="13" t="n">
        <v>0.1913827933</v>
      </c>
      <c r="G63" s="13" t="n">
        <v>0.05310189724</v>
      </c>
      <c r="H63" s="13" t="n">
        <v>0</v>
      </c>
      <c r="I63" s="13" t="n">
        <v>0.1181424966</v>
      </c>
      <c r="J63" s="13" t="n">
        <v>0</v>
      </c>
      <c r="K63" s="13" t="n">
        <v>0.001283875878</v>
      </c>
      <c r="L63" s="13" t="n">
        <v>131324.1148</v>
      </c>
      <c r="M63" s="13" t="n">
        <v>71875.35400000001</v>
      </c>
      <c r="N63" s="13" t="n">
        <v>2.220647733</v>
      </c>
      <c r="O63" s="11">
        <f>CC63/0.22/14</f>
        <v/>
      </c>
      <c r="Q63" s="17" t="n">
        <v>99.913298</v>
      </c>
      <c r="R63" s="17" t="n">
        <v>-6.197641</v>
      </c>
      <c r="S63" s="16" t="n">
        <v>65.135812</v>
      </c>
      <c r="T63" s="16" t="n">
        <v>43.37233</v>
      </c>
      <c r="U63" s="16" t="n">
        <v>42.438418</v>
      </c>
      <c r="V63" s="11" t="n">
        <v>21.9863533</v>
      </c>
      <c r="W63" s="17" t="n"/>
      <c r="X63" s="17" t="n"/>
      <c r="Y63" s="16" t="n">
        <v>21.530919</v>
      </c>
      <c r="Z63" s="16" t="n">
        <v>6.288532</v>
      </c>
      <c r="AA63" s="17" t="n"/>
      <c r="AB63" s="17" t="n"/>
      <c r="AC63" s="17" t="n"/>
      <c r="AD63" s="17" t="n"/>
      <c r="AE63" s="17" t="n"/>
      <c r="AF63" s="17" t="n"/>
      <c r="AG63" s="17" t="n"/>
      <c r="AH63" s="16" t="n">
        <v>-1.431457</v>
      </c>
      <c r="AI63" s="16" t="n">
        <v>-3.351826</v>
      </c>
      <c r="AJ63" s="16" t="n">
        <v>796.736008</v>
      </c>
      <c r="AK63" s="16" t="n">
        <v>796.736008</v>
      </c>
      <c r="AM63" s="1">
        <f>B63</f>
        <v/>
      </c>
      <c r="AN63" s="1">
        <f>C63</f>
        <v/>
      </c>
      <c r="AO63" s="12">
        <f>SUM(AU63:BC63)+BE63+BF63</f>
        <v/>
      </c>
      <c r="AP63" s="12">
        <f>SUM(AU63:BC63)+BH63+BI63</f>
        <v/>
      </c>
      <c r="AQ63" s="5">
        <f>AO63-AP63</f>
        <v/>
      </c>
      <c r="AR63" s="12">
        <f>SUM(AU63:BC63)+BK63+BL63</f>
        <v/>
      </c>
      <c r="AS63" s="12">
        <f>SUM(AU63:BC63)+BN63+BO63</f>
        <v/>
      </c>
      <c r="AT63" s="5">
        <f>AR63-AS63</f>
        <v/>
      </c>
      <c r="AU63" s="5">
        <f>D63/G63*Z63</f>
        <v/>
      </c>
      <c r="AV63" s="1">
        <f>E63/G63*Z63*-1</f>
        <v/>
      </c>
      <c r="AW63" s="1">
        <f>F63/G63*Y63</f>
        <v/>
      </c>
      <c r="AX63" s="1">
        <f>1/G63*V63</f>
        <v/>
      </c>
      <c r="AY63" s="1">
        <f>H63/G63*AH63</f>
        <v/>
      </c>
      <c r="AZ63" s="1">
        <f>I63/G63*AH63*-1</f>
        <v/>
      </c>
      <c r="BA63" s="1">
        <f>L63/G63/(0.9*8760)</f>
        <v/>
      </c>
      <c r="BB63" s="1">
        <f>M63/G63/(0.9*8760)</f>
        <v/>
      </c>
      <c r="BC63" s="1">
        <f>N63/G63</f>
        <v/>
      </c>
      <c r="BD63" s="1">
        <f>BZ63+CA63+CB63</f>
        <v/>
      </c>
      <c r="BE63" s="1">
        <f>(Q63+R63)*-1*J63/G63</f>
        <v/>
      </c>
      <c r="BF63" s="1">
        <f>BD63*Q63</f>
        <v/>
      </c>
      <c r="BG63" s="1">
        <f>BZ63+CA63</f>
        <v/>
      </c>
      <c r="BH63" s="1">
        <f>R63*J63*-1/G63</f>
        <v/>
      </c>
      <c r="BI63" s="1">
        <f>BG63*Q63</f>
        <v/>
      </c>
      <c r="BJ63" s="1">
        <f>SUM(BY63:CC63)</f>
        <v/>
      </c>
      <c r="BK63" s="1">
        <f>(Q63+R63)*-1*J63/G63</f>
        <v/>
      </c>
      <c r="BL63" s="1">
        <f>BJ63*Q63</f>
        <v/>
      </c>
      <c r="BM63" s="1">
        <f>BY63+BZ63+CA63+CC63</f>
        <v/>
      </c>
      <c r="BN63" s="1">
        <f>J63/G63*R63*-1</f>
        <v/>
      </c>
      <c r="BO63" s="1">
        <f>Q63*BM63</f>
        <v/>
      </c>
      <c r="BQ63" s="9" t="n">
        <v>3.14</v>
      </c>
      <c r="BR63" s="10" t="n">
        <v>0.2218110024</v>
      </c>
      <c r="BS63" s="9" t="n">
        <v>0.18104824</v>
      </c>
      <c r="BU63" s="10">
        <f>1/G63*BR63</f>
        <v/>
      </c>
      <c r="BV63" s="10">
        <f>H63/G63*BS63</f>
        <v/>
      </c>
      <c r="BW63" s="10">
        <f>BU63+BV63</f>
        <v/>
      </c>
      <c r="BY63" s="10">
        <f>BQ63</f>
        <v/>
      </c>
      <c r="BZ63" s="10">
        <f>I63/G63*BS63</f>
        <v/>
      </c>
      <c r="CA63" s="10">
        <f>K63/G63</f>
        <v/>
      </c>
      <c r="CB63" s="10">
        <f>J63/G63</f>
        <v/>
      </c>
      <c r="CC63" s="10">
        <f>BW63-SUM(BY63:CB63)</f>
        <v/>
      </c>
      <c r="CD63" s="10">
        <f>SUM(BY63:CC63)</f>
        <v/>
      </c>
    </row>
    <row r="64">
      <c r="B64" s="14" t="inlineStr">
        <is>
          <t>SE_ESC</t>
        </is>
      </c>
      <c r="C64" s="13" t="inlineStr">
        <is>
          <t>Ethane</t>
        </is>
      </c>
      <c r="D64" s="13" t="n">
        <v>0</v>
      </c>
      <c r="E64" s="13" t="n">
        <v>0.1598531434</v>
      </c>
      <c r="F64" s="13" t="n">
        <v>0.1913827933</v>
      </c>
      <c r="G64" s="13" t="n">
        <v>0.05310189724</v>
      </c>
      <c r="H64" s="13" t="n">
        <v>0</v>
      </c>
      <c r="I64" s="13" t="n">
        <v>0.1181424966</v>
      </c>
      <c r="J64" s="13" t="n">
        <v>0</v>
      </c>
      <c r="K64" s="13" t="n">
        <v>0.001283875878</v>
      </c>
      <c r="L64" s="13" t="n">
        <v>131324.1148</v>
      </c>
      <c r="M64" s="13" t="n">
        <v>71875.35400000001</v>
      </c>
      <c r="N64" s="13" t="n">
        <v>2.220647733</v>
      </c>
      <c r="O64" s="11">
        <f>CC64/0.22/14</f>
        <v/>
      </c>
      <c r="Q64" s="17" t="n">
        <v>99.913298</v>
      </c>
      <c r="R64" s="17" t="n">
        <v>-6.084348</v>
      </c>
      <c r="S64" s="16" t="n">
        <v>64.97039700000001</v>
      </c>
      <c r="T64" s="16" t="n">
        <v>43.861592</v>
      </c>
      <c r="U64" s="16" t="n">
        <v>39.255601</v>
      </c>
      <c r="V64" s="11" t="n">
        <v>21.9863533</v>
      </c>
      <c r="W64" s="17" t="n"/>
      <c r="X64" s="17" t="n"/>
      <c r="Y64" s="16" t="n">
        <v>21.109138</v>
      </c>
      <c r="Z64" s="16" t="n">
        <v>6.240639</v>
      </c>
      <c r="AA64" s="17" t="n"/>
      <c r="AB64" s="17" t="n"/>
      <c r="AC64" s="17" t="n"/>
      <c r="AD64" s="17" t="n"/>
      <c r="AE64" s="17" t="n"/>
      <c r="AF64" s="17" t="n"/>
      <c r="AG64" s="17" t="n"/>
      <c r="AH64" s="16" t="n">
        <v>-1.452344</v>
      </c>
      <c r="AI64" s="16" t="n">
        <v>-3.071509</v>
      </c>
      <c r="AJ64" s="16" t="n">
        <v>796.736008</v>
      </c>
      <c r="AK64" s="16" t="n">
        <v>796.736008</v>
      </c>
      <c r="AM64" s="1">
        <f>B64</f>
        <v/>
      </c>
      <c r="AN64" s="1">
        <f>C64</f>
        <v/>
      </c>
      <c r="AO64" s="12">
        <f>SUM(AU64:BC64)+BE64+BF64</f>
        <v/>
      </c>
      <c r="AP64" s="12">
        <f>SUM(AU64:BC64)+BH64+BI64</f>
        <v/>
      </c>
      <c r="AQ64" s="5">
        <f>AO64-AP64</f>
        <v/>
      </c>
      <c r="AR64" s="12">
        <f>SUM(AU64:BC64)+BK64+BL64</f>
        <v/>
      </c>
      <c r="AS64" s="12">
        <f>SUM(AU64:BC64)+BN64+BO64</f>
        <v/>
      </c>
      <c r="AT64" s="5">
        <f>AR64-AS64</f>
        <v/>
      </c>
      <c r="AU64" s="5">
        <f>D64/G64*Z64</f>
        <v/>
      </c>
      <c r="AV64" s="1">
        <f>E64/G64*Z64*-1</f>
        <v/>
      </c>
      <c r="AW64" s="1">
        <f>F64/G64*Y64</f>
        <v/>
      </c>
      <c r="AX64" s="1">
        <f>1/G64*V64</f>
        <v/>
      </c>
      <c r="AY64" s="1">
        <f>H64/G64*AH64</f>
        <v/>
      </c>
      <c r="AZ64" s="1">
        <f>I64/G64*AH64*-1</f>
        <v/>
      </c>
      <c r="BA64" s="1">
        <f>L64/G64/(0.9*8760)</f>
        <v/>
      </c>
      <c r="BB64" s="1">
        <f>M64/G64/(0.9*8760)</f>
        <v/>
      </c>
      <c r="BC64" s="1">
        <f>N64/G64</f>
        <v/>
      </c>
      <c r="BD64" s="1">
        <f>BZ64+CA64+CB64</f>
        <v/>
      </c>
      <c r="BE64" s="1">
        <f>(Q64+R64)*-1*J64/G64</f>
        <v/>
      </c>
      <c r="BF64" s="1">
        <f>BD64*Q64</f>
        <v/>
      </c>
      <c r="BG64" s="1">
        <f>BZ64+CA64</f>
        <v/>
      </c>
      <c r="BH64" s="1">
        <f>R64*J64*-1/G64</f>
        <v/>
      </c>
      <c r="BI64" s="1">
        <f>BG64*Q64</f>
        <v/>
      </c>
      <c r="BJ64" s="1">
        <f>SUM(BY64:CC64)</f>
        <v/>
      </c>
      <c r="BK64" s="1">
        <f>(Q64+R64)*-1*J64/G64</f>
        <v/>
      </c>
      <c r="BL64" s="1">
        <f>BJ64*Q64</f>
        <v/>
      </c>
      <c r="BM64" s="1">
        <f>BY64+BZ64+CA64+CC64</f>
        <v/>
      </c>
      <c r="BN64" s="1">
        <f>J64/G64*R64*-1</f>
        <v/>
      </c>
      <c r="BO64" s="1">
        <f>Q64*BM64</f>
        <v/>
      </c>
      <c r="BQ64" s="9" t="n">
        <v>3.14</v>
      </c>
      <c r="BR64" s="10" t="n">
        <v>0.2218110024</v>
      </c>
      <c r="BS64" s="9" t="n">
        <v>0.18104824</v>
      </c>
      <c r="BU64" s="10">
        <f>1/G64*BR64</f>
        <v/>
      </c>
      <c r="BV64" s="10">
        <f>H64/G64*BS64</f>
        <v/>
      </c>
      <c r="BW64" s="10">
        <f>BU64+BV64</f>
        <v/>
      </c>
      <c r="BY64" s="10">
        <f>BQ64</f>
        <v/>
      </c>
      <c r="BZ64" s="10">
        <f>I64/G64*BS64</f>
        <v/>
      </c>
      <c r="CA64" s="10">
        <f>K64/G64</f>
        <v/>
      </c>
      <c r="CB64" s="10">
        <f>J64/G64</f>
        <v/>
      </c>
      <c r="CC64" s="10">
        <f>BW64-SUM(BY64:CB64)</f>
        <v/>
      </c>
      <c r="CD64" s="10">
        <f>SUM(BY64:CC64)</f>
        <v/>
      </c>
    </row>
    <row r="65">
      <c r="B65" s="14" t="inlineStr">
        <is>
          <t>MIDAT_ESC</t>
        </is>
      </c>
      <c r="C65" s="13" t="inlineStr">
        <is>
          <t>Ethane</t>
        </is>
      </c>
      <c r="D65" s="13" t="n">
        <v>0</v>
      </c>
      <c r="E65" s="13" t="n">
        <v>0.1598531434</v>
      </c>
      <c r="F65" s="13" t="n">
        <v>0.1913827933</v>
      </c>
      <c r="G65" s="13" t="n">
        <v>0.05310189724</v>
      </c>
      <c r="H65" s="13" t="n">
        <v>0</v>
      </c>
      <c r="I65" s="13" t="n">
        <v>0.1181424966</v>
      </c>
      <c r="J65" s="13" t="n">
        <v>0</v>
      </c>
      <c r="K65" s="13" t="n">
        <v>0.001283875878</v>
      </c>
      <c r="L65" s="13" t="n">
        <v>131324.1148</v>
      </c>
      <c r="M65" s="13" t="n">
        <v>71875.35400000001</v>
      </c>
      <c r="N65" s="13" t="n">
        <v>2.220647733</v>
      </c>
      <c r="O65" s="11">
        <f>CC65/0.22/14</f>
        <v/>
      </c>
      <c r="Q65" s="17" t="n">
        <v>99.913298</v>
      </c>
      <c r="R65" s="17" t="n">
        <v>-15.650257</v>
      </c>
      <c r="S65" s="16" t="n">
        <v>63.953341</v>
      </c>
      <c r="T65" s="16" t="n">
        <v>39.720462</v>
      </c>
      <c r="U65" s="16" t="n">
        <v>40.53758</v>
      </c>
      <c r="V65" s="11" t="n">
        <v>21.9863533</v>
      </c>
      <c r="W65" s="17" t="n"/>
      <c r="X65" s="17" t="n"/>
      <c r="Y65" s="16" t="n">
        <v>21.699949</v>
      </c>
      <c r="Z65" s="16" t="n">
        <v>8.045609000000001</v>
      </c>
      <c r="AA65" s="17" t="n"/>
      <c r="AB65" s="17" t="n"/>
      <c r="AC65" s="17" t="n"/>
      <c r="AD65" s="17" t="n"/>
      <c r="AE65" s="17" t="n"/>
      <c r="AF65" s="17" t="n"/>
      <c r="AG65" s="17" t="n"/>
      <c r="AH65" s="16" t="n">
        <v>-0.930222</v>
      </c>
      <c r="AI65" s="16" t="n">
        <v>-2.781275</v>
      </c>
      <c r="AJ65" s="16" t="n">
        <v>796.736008</v>
      </c>
      <c r="AK65" s="16" t="n">
        <v>796.736008</v>
      </c>
      <c r="AM65" s="1">
        <f>B65</f>
        <v/>
      </c>
      <c r="AN65" s="1">
        <f>C65</f>
        <v/>
      </c>
      <c r="AO65" s="12">
        <f>SUM(AU65:BC65)+BE65+BF65</f>
        <v/>
      </c>
      <c r="AP65" s="12">
        <f>SUM(AU65:BC65)+BH65+BI65</f>
        <v/>
      </c>
      <c r="AQ65" s="5">
        <f>AO65-AP65</f>
        <v/>
      </c>
      <c r="AR65" s="12">
        <f>SUM(AU65:BC65)+BK65+BL65</f>
        <v/>
      </c>
      <c r="AS65" s="12">
        <f>SUM(AU65:BC65)+BN65+BO65</f>
        <v/>
      </c>
      <c r="AT65" s="5">
        <f>AR65-AS65</f>
        <v/>
      </c>
      <c r="AU65" s="5">
        <f>D65/G65*Z65</f>
        <v/>
      </c>
      <c r="AV65" s="1">
        <f>E65/G65*Z65*-1</f>
        <v/>
      </c>
      <c r="AW65" s="1">
        <f>F65/G65*Y65</f>
        <v/>
      </c>
      <c r="AX65" s="1">
        <f>1/G65*V65</f>
        <v/>
      </c>
      <c r="AY65" s="1">
        <f>H65/G65*AH65</f>
        <v/>
      </c>
      <c r="AZ65" s="1">
        <f>I65/G65*AH65*-1</f>
        <v/>
      </c>
      <c r="BA65" s="1">
        <f>L65/G65/(0.9*8760)</f>
        <v/>
      </c>
      <c r="BB65" s="1">
        <f>M65/G65/(0.9*8760)</f>
        <v/>
      </c>
      <c r="BC65" s="1">
        <f>N65/G65</f>
        <v/>
      </c>
      <c r="BD65" s="1">
        <f>BZ65+CA65+CB65</f>
        <v/>
      </c>
      <c r="BE65" s="1">
        <f>(Q65+R65)*-1*J65/G65</f>
        <v/>
      </c>
      <c r="BF65" s="1">
        <f>BD65*Q65</f>
        <v/>
      </c>
      <c r="BG65" s="1">
        <f>BZ65+CA65</f>
        <v/>
      </c>
      <c r="BH65" s="1">
        <f>R65*J65*-1/G65</f>
        <v/>
      </c>
      <c r="BI65" s="1">
        <f>BG65*Q65</f>
        <v/>
      </c>
      <c r="BJ65" s="1">
        <f>SUM(BY65:CC65)</f>
        <v/>
      </c>
      <c r="BK65" s="1">
        <f>(Q65+R65)*-1*J65/G65</f>
        <v/>
      </c>
      <c r="BL65" s="1">
        <f>BJ65*Q65</f>
        <v/>
      </c>
      <c r="BM65" s="1">
        <f>BY65+BZ65+CA65+CC65</f>
        <v/>
      </c>
      <c r="BN65" s="1">
        <f>J65/G65*R65*-1</f>
        <v/>
      </c>
      <c r="BO65" s="1">
        <f>Q65*BM65</f>
        <v/>
      </c>
      <c r="BQ65" s="9" t="n">
        <v>3.14</v>
      </c>
      <c r="BR65" s="10" t="n">
        <v>0.2218110024</v>
      </c>
      <c r="BS65" s="9" t="n">
        <v>0.18104824</v>
      </c>
      <c r="BU65" s="10">
        <f>1/G65*BR65</f>
        <v/>
      </c>
      <c r="BV65" s="10">
        <f>H65/G65*BS65</f>
        <v/>
      </c>
      <c r="BW65" s="10">
        <f>BU65+BV65</f>
        <v/>
      </c>
      <c r="BY65" s="10">
        <f>BQ65</f>
        <v/>
      </c>
      <c r="BZ65" s="10">
        <f>I65/G65*BS65</f>
        <v/>
      </c>
      <c r="CA65" s="10">
        <f>K65/G65</f>
        <v/>
      </c>
      <c r="CB65" s="10">
        <f>J65/G65</f>
        <v/>
      </c>
      <c r="CC65" s="10">
        <f>BW65-SUM(BY65:CB65)</f>
        <v/>
      </c>
      <c r="CD65" s="10">
        <f>SUM(BY65:CC65)</f>
        <v/>
      </c>
    </row>
    <row r="66">
      <c r="B66" s="14" t="inlineStr">
        <is>
          <t>NE_ESC</t>
        </is>
      </c>
      <c r="C66" s="13" t="inlineStr">
        <is>
          <t>Ethane</t>
        </is>
      </c>
      <c r="D66" s="13" t="n">
        <v>0</v>
      </c>
      <c r="E66" s="13" t="n">
        <v>0.1598531434</v>
      </c>
      <c r="F66" s="13" t="n">
        <v>0.1913827933</v>
      </c>
      <c r="G66" s="13" t="n">
        <v>0.05310189724</v>
      </c>
      <c r="H66" s="13" t="n">
        <v>0</v>
      </c>
      <c r="I66" s="13" t="n">
        <v>0.1181424966</v>
      </c>
      <c r="J66" s="13" t="n">
        <v>0</v>
      </c>
      <c r="K66" s="13" t="n">
        <v>0.001283875878</v>
      </c>
      <c r="L66" s="13" t="n">
        <v>131324.1148</v>
      </c>
      <c r="M66" s="13" t="n">
        <v>71875.35400000001</v>
      </c>
      <c r="N66" s="13" t="n">
        <v>2.220647733</v>
      </c>
      <c r="O66" s="11">
        <f>CC66/0.22/14</f>
        <v/>
      </c>
      <c r="Q66" s="17" t="n">
        <v>99.913298</v>
      </c>
      <c r="R66" s="17" t="n">
        <v>-21.727401</v>
      </c>
      <c r="S66" s="16" t="n">
        <v>66.936657</v>
      </c>
      <c r="T66" s="16" t="n">
        <v>41.693039</v>
      </c>
      <c r="U66" s="16" t="n">
        <v>41.333943</v>
      </c>
      <c r="V66" s="11" t="n">
        <v>21.9863533</v>
      </c>
      <c r="W66" s="17" t="n"/>
      <c r="X66" s="17" t="n"/>
      <c r="Y66" s="16" t="n">
        <v>20.978032</v>
      </c>
      <c r="Z66" s="16" t="n">
        <v>12.546751</v>
      </c>
      <c r="AA66" s="17" t="n"/>
      <c r="AB66" s="17" t="n"/>
      <c r="AC66" s="17" t="n"/>
      <c r="AD66" s="17" t="n"/>
      <c r="AE66" s="17" t="n"/>
      <c r="AF66" s="17" t="n"/>
      <c r="AG66" s="17" t="n"/>
      <c r="AH66" s="16" t="n">
        <v>5.888729</v>
      </c>
      <c r="AI66" s="16" t="n">
        <v>0</v>
      </c>
      <c r="AJ66" s="16" t="n">
        <v>796.736008</v>
      </c>
      <c r="AK66" s="16" t="n">
        <v>0</v>
      </c>
      <c r="AM66" s="1">
        <f>B66</f>
        <v/>
      </c>
      <c r="AN66" s="1">
        <f>C66</f>
        <v/>
      </c>
      <c r="AO66" s="12">
        <f>SUM(AU66:BC66)+BE66+BF66</f>
        <v/>
      </c>
      <c r="AP66" s="12">
        <f>SUM(AU66:BC66)+BH66+BI66</f>
        <v/>
      </c>
      <c r="AQ66" s="5">
        <f>AO66-AP66</f>
        <v/>
      </c>
      <c r="AR66" s="12">
        <f>SUM(AU66:BC66)+BK66+BL66</f>
        <v/>
      </c>
      <c r="AS66" s="12">
        <f>SUM(AU66:BC66)+BN66+BO66</f>
        <v/>
      </c>
      <c r="AT66" s="5">
        <f>AR66-AS66</f>
        <v/>
      </c>
      <c r="AU66" s="5">
        <f>D66/G66*Z66</f>
        <v/>
      </c>
      <c r="AV66" s="1">
        <f>E66/G66*Z66*-1</f>
        <v/>
      </c>
      <c r="AW66" s="1">
        <f>F66/G66*Y66</f>
        <v/>
      </c>
      <c r="AX66" s="1">
        <f>1/G66*V66</f>
        <v/>
      </c>
      <c r="AY66" s="1">
        <f>H66/G66*AH66</f>
        <v/>
      </c>
      <c r="AZ66" s="1">
        <f>I66/G66*AH66*-1</f>
        <v/>
      </c>
      <c r="BA66" s="1">
        <f>L66/G66/(0.9*8760)</f>
        <v/>
      </c>
      <c r="BB66" s="1">
        <f>M66/G66/(0.9*8760)</f>
        <v/>
      </c>
      <c r="BC66" s="1">
        <f>N66/G66</f>
        <v/>
      </c>
      <c r="BD66" s="1">
        <f>BZ66+CA66+CB66</f>
        <v/>
      </c>
      <c r="BE66" s="1">
        <f>(Q66+R66)*-1*J66/G66</f>
        <v/>
      </c>
      <c r="BF66" s="1">
        <f>BD66*Q66</f>
        <v/>
      </c>
      <c r="BG66" s="1">
        <f>BZ66+CA66</f>
        <v/>
      </c>
      <c r="BH66" s="1">
        <f>R66*J66*-1/G66</f>
        <v/>
      </c>
      <c r="BI66" s="1">
        <f>BG66*Q66</f>
        <v/>
      </c>
      <c r="BJ66" s="1">
        <f>SUM(BY66:CC66)</f>
        <v/>
      </c>
      <c r="BK66" s="1">
        <f>(Q66+R66)*-1*J66/G66</f>
        <v/>
      </c>
      <c r="BL66" s="1">
        <f>BJ66*Q66</f>
        <v/>
      </c>
      <c r="BM66" s="1">
        <f>BY66+BZ66+CA66+CC66</f>
        <v/>
      </c>
      <c r="BN66" s="1">
        <f>J66/G66*R66*-1</f>
        <v/>
      </c>
      <c r="BO66" s="1">
        <f>Q66*BM66</f>
        <v/>
      </c>
      <c r="BQ66" s="9" t="n">
        <v>3.14</v>
      </c>
      <c r="BR66" s="10" t="n">
        <v>0.2218110024</v>
      </c>
      <c r="BS66" s="9" t="n">
        <v>0.18104824</v>
      </c>
      <c r="BU66" s="10">
        <f>1/G66*BR66</f>
        <v/>
      </c>
      <c r="BV66" s="10">
        <f>H66/G66*BS66</f>
        <v/>
      </c>
      <c r="BW66" s="10">
        <f>BU66+BV66</f>
        <v/>
      </c>
      <c r="BY66" s="10">
        <f>BQ66</f>
        <v/>
      </c>
      <c r="BZ66" s="10">
        <f>I66/G66*BS66</f>
        <v/>
      </c>
      <c r="CA66" s="10">
        <f>K66/G66</f>
        <v/>
      </c>
      <c r="CB66" s="10">
        <f>J66/G66</f>
        <v/>
      </c>
      <c r="CC66" s="10">
        <f>BW66-SUM(BY66:CB66)</f>
        <v/>
      </c>
      <c r="CD66" s="10">
        <f>SUM(BY66:CC66)</f>
        <v/>
      </c>
    </row>
    <row r="67">
      <c r="AO67" s="5" t="n"/>
      <c r="AP67" s="5" t="n"/>
      <c r="AQ67" s="5" t="n"/>
      <c r="AR67" s="5" t="n"/>
      <c r="AS67" s="5" t="n"/>
      <c r="AT67" s="5" t="n"/>
      <c r="AU67" s="5" t="n"/>
      <c r="BQ67" s="8" t="n"/>
      <c r="BS67" s="8" t="n"/>
    </row>
    <row r="68">
      <c r="AO68" s="5" t="n"/>
      <c r="AP68" s="5" t="n"/>
      <c r="AQ68" s="5" t="n"/>
      <c r="AR68" s="5" t="n"/>
      <c r="AS68" s="5" t="n"/>
      <c r="AT68" s="5" t="n"/>
      <c r="AU68" s="5" t="n"/>
      <c r="BQ68" s="8" t="n"/>
      <c r="BS68" s="8" t="n"/>
    </row>
    <row r="69">
      <c r="AO69" s="5" t="n"/>
      <c r="AP69" s="5" t="n"/>
      <c r="AQ69" s="5" t="n"/>
      <c r="AR69" s="5" t="n"/>
      <c r="AS69" s="5" t="n"/>
      <c r="AT69" s="5" t="n"/>
      <c r="AU69" s="5" t="n"/>
      <c r="BQ69" s="8" t="n"/>
      <c r="BS69" s="8" t="n"/>
    </row>
    <row r="70">
      <c r="AO70" s="5" t="n"/>
      <c r="AP70" s="5" t="n"/>
      <c r="AQ70" s="5" t="n"/>
      <c r="AR70" s="5" t="n"/>
      <c r="AS70" s="5" t="n"/>
      <c r="AT70" s="5" t="n"/>
      <c r="AU70" s="5" t="n"/>
      <c r="BQ70" s="8" t="n"/>
      <c r="BS70" s="8" t="n"/>
    </row>
    <row r="71">
      <c r="AO71" s="5" t="n"/>
      <c r="AP71" s="5" t="n"/>
      <c r="AQ71" s="5" t="n"/>
      <c r="AR71" s="5" t="n"/>
      <c r="AS71" s="5" t="n"/>
      <c r="AT71" s="5" t="n"/>
      <c r="AU71" s="5" t="n"/>
      <c r="BQ71" s="8" t="n"/>
      <c r="BS71" s="8" t="n"/>
    </row>
    <row r="72">
      <c r="AO72" s="5" t="n"/>
      <c r="AP72" s="5" t="n"/>
      <c r="AQ72" s="5" t="n"/>
      <c r="AR72" s="5" t="n"/>
      <c r="AS72" s="5" t="n"/>
      <c r="AT72" s="5" t="n"/>
      <c r="AU72" s="5" t="n"/>
      <c r="BQ72" s="8" t="n"/>
      <c r="BS72" s="8" t="n"/>
    </row>
    <row r="73">
      <c r="AO73" s="5" t="n"/>
      <c r="AP73" s="5" t="n"/>
      <c r="AQ73" s="5" t="n"/>
      <c r="AR73" s="5" t="n"/>
      <c r="AS73" s="5" t="n"/>
      <c r="AT73" s="5" t="n"/>
      <c r="AU73" s="5" t="n"/>
      <c r="BQ73" s="8" t="n"/>
      <c r="BS73" s="8" t="n"/>
    </row>
    <row r="74">
      <c r="AO74" s="5" t="n"/>
      <c r="AP74" s="5" t="n"/>
      <c r="AQ74" s="5" t="n"/>
      <c r="AR74" s="5" t="n"/>
      <c r="AS74" s="5" t="n"/>
      <c r="AT74" s="5" t="n"/>
      <c r="AU74" s="5" t="n"/>
      <c r="BQ74" s="8" t="n"/>
      <c r="BS74" s="8" t="n"/>
    </row>
    <row r="75">
      <c r="AO75" s="5" t="n"/>
      <c r="AP75" s="5" t="n"/>
      <c r="AQ75" s="5" t="n"/>
      <c r="AR75" s="5" t="n"/>
      <c r="AS75" s="5" t="n"/>
      <c r="AT75" s="5" t="n"/>
      <c r="AU75" s="5" t="n"/>
      <c r="BQ75" s="8" t="n"/>
      <c r="BS75" s="8" t="n"/>
    </row>
    <row r="76">
      <c r="AO76" s="5" t="n"/>
      <c r="AP76" s="5" t="n"/>
      <c r="AQ76" s="5" t="n"/>
      <c r="AR76" s="5" t="n"/>
      <c r="AS76" s="5" t="n"/>
      <c r="AT76" s="5" t="n"/>
      <c r="AU76" s="5" t="n"/>
      <c r="BQ76" s="8" t="n"/>
      <c r="BS76" s="8" t="n"/>
    </row>
    <row r="77">
      <c r="AO77" s="5" t="n"/>
      <c r="AP77" s="5" t="n"/>
      <c r="AQ77" s="5" t="n"/>
      <c r="AR77" s="5" t="n"/>
      <c r="AS77" s="5" t="n"/>
      <c r="AT77" s="5" t="n"/>
      <c r="AU77" s="5" t="n"/>
      <c r="BQ77" s="8" t="n"/>
      <c r="BS77" s="8" t="n"/>
    </row>
    <row r="78">
      <c r="AO78" s="5" t="n"/>
      <c r="AP78" s="5" t="n"/>
      <c r="AQ78" s="5" t="n"/>
      <c r="AR78" s="5" t="n"/>
      <c r="AS78" s="5" t="n"/>
      <c r="AT78" s="5" t="n"/>
      <c r="AU78" s="5" t="n"/>
      <c r="BQ78" s="8" t="n"/>
      <c r="BS78" s="8" t="n"/>
    </row>
    <row r="79">
      <c r="AO79" s="5" t="n"/>
      <c r="AP79" s="5" t="n"/>
      <c r="AQ79" s="5" t="n"/>
      <c r="AR79" s="5" t="n"/>
      <c r="AS79" s="5" t="n"/>
      <c r="AT79" s="5" t="n"/>
      <c r="AU79" s="5" t="n"/>
      <c r="BQ79" s="8" t="n"/>
      <c r="BS79" s="8" t="n"/>
    </row>
    <row r="80">
      <c r="AO80" s="5" t="n"/>
      <c r="AP80" s="5" t="n"/>
      <c r="AQ80" s="5" t="n"/>
      <c r="AR80" s="5" t="n"/>
      <c r="AS80" s="5" t="n"/>
      <c r="AT80" s="5" t="n"/>
      <c r="AU80" s="5" t="n"/>
      <c r="BQ80" s="8" t="n"/>
      <c r="BS80" s="8" t="n"/>
    </row>
    <row r="81">
      <c r="AO81" s="5" t="n"/>
      <c r="AP81" s="5" t="n"/>
      <c r="AQ81" s="5" t="n"/>
      <c r="AR81" s="5" t="n"/>
      <c r="AS81" s="5" t="n"/>
      <c r="AT81" s="5" t="n"/>
      <c r="AU81" s="5" t="n"/>
      <c r="BQ81" s="8" t="n"/>
      <c r="BS81" s="8" t="n"/>
    </row>
    <row r="82">
      <c r="AO82" s="5" t="n"/>
      <c r="AP82" s="5" t="n"/>
      <c r="AQ82" s="5" t="n"/>
      <c r="AR82" s="5" t="n"/>
      <c r="AS82" s="5" t="n"/>
      <c r="AT82" s="5" t="n"/>
      <c r="AU82" s="5" t="n"/>
      <c r="BQ82" s="8" t="n"/>
      <c r="BS82" s="8" t="n"/>
    </row>
    <row r="83">
      <c r="AO83" s="5" t="n"/>
      <c r="AP83" s="5" t="n"/>
      <c r="AQ83" s="5" t="n"/>
      <c r="AR83" s="5" t="n"/>
      <c r="AS83" s="5" t="n"/>
      <c r="AT83" s="5" t="n"/>
      <c r="AU83" s="5" t="n"/>
      <c r="BQ83" s="8" t="n"/>
      <c r="BS83" s="8" t="n"/>
    </row>
    <row r="84">
      <c r="AO84" s="5" t="n"/>
      <c r="AP84" s="5" t="n"/>
      <c r="AQ84" s="5" t="n"/>
      <c r="AR84" s="5" t="n"/>
      <c r="AS84" s="5" t="n"/>
      <c r="AT84" s="5" t="n"/>
      <c r="AU84" s="5" t="n"/>
      <c r="BQ84" s="8" t="n"/>
      <c r="BS84" s="8" t="n"/>
    </row>
    <row r="85">
      <c r="AO85" s="5" t="n"/>
      <c r="AP85" s="5" t="n"/>
      <c r="AQ85" s="5" t="n"/>
      <c r="AR85" s="5" t="n"/>
      <c r="AS85" s="5" t="n"/>
      <c r="AT85" s="5" t="n"/>
      <c r="AU85" s="5" t="n"/>
      <c r="BQ85" s="8" t="n"/>
      <c r="BS85" s="8" t="n"/>
    </row>
    <row r="86">
      <c r="AO86" s="5" t="n"/>
      <c r="AP86" s="5" t="n"/>
      <c r="AQ86" s="5" t="n"/>
      <c r="AR86" s="5" t="n"/>
      <c r="AS86" s="5" t="n"/>
      <c r="AT86" s="5" t="n"/>
      <c r="AU86" s="5" t="n"/>
      <c r="BQ86" s="8" t="n"/>
      <c r="BS86" s="8" t="n"/>
    </row>
    <row r="87">
      <c r="AO87" s="5" t="n"/>
      <c r="AP87" s="5" t="n"/>
      <c r="AQ87" s="5" t="n"/>
      <c r="AR87" s="5" t="n"/>
      <c r="AS87" s="5" t="n"/>
      <c r="AT87" s="5" t="n"/>
      <c r="AU87" s="5" t="n"/>
      <c r="BQ87" s="8" t="n"/>
      <c r="BS87" s="8" t="n"/>
    </row>
    <row r="88">
      <c r="AO88" s="5" t="n"/>
      <c r="AP88" s="5" t="n"/>
      <c r="AQ88" s="5" t="n"/>
      <c r="AR88" s="5" t="n"/>
      <c r="AS88" s="5" t="n"/>
      <c r="AT88" s="5" t="n"/>
      <c r="AU88" s="5" t="n"/>
      <c r="BQ88" s="8" t="n"/>
      <c r="BS88" s="8" t="n"/>
    </row>
    <row r="89">
      <c r="AO89" s="5" t="n"/>
      <c r="AP89" s="5" t="n"/>
      <c r="AQ89" s="5" t="n"/>
      <c r="AR89" s="5" t="n"/>
      <c r="AS89" s="5" t="n"/>
      <c r="AT89" s="5" t="n"/>
      <c r="AU89" s="5" t="n"/>
      <c r="BQ89" s="8" t="n"/>
      <c r="BS89" s="8" t="n"/>
    </row>
    <row r="90">
      <c r="AO90" s="5" t="n"/>
      <c r="AP90" s="5" t="n"/>
      <c r="AQ90" s="5" t="n"/>
      <c r="AR90" s="5" t="n"/>
      <c r="AS90" s="5" t="n"/>
      <c r="AT90" s="5" t="n"/>
      <c r="AU90" s="5" t="n"/>
      <c r="BQ90" s="8" t="n"/>
      <c r="BS90" s="8" t="n"/>
    </row>
    <row r="91">
      <c r="AO91" s="5" t="n"/>
      <c r="AP91" s="5" t="n"/>
      <c r="AQ91" s="5" t="n"/>
      <c r="AR91" s="5" t="n"/>
      <c r="AS91" s="5" t="n"/>
      <c r="AT91" s="5" t="n"/>
      <c r="AU91" s="5" t="n"/>
      <c r="BQ91" s="8" t="n"/>
      <c r="BS91" s="8" t="n"/>
    </row>
    <row r="92">
      <c r="AO92" s="5" t="n"/>
      <c r="AP92" s="5" t="n"/>
      <c r="AQ92" s="5" t="n"/>
      <c r="AR92" s="5" t="n"/>
      <c r="AS92" s="5" t="n"/>
      <c r="AT92" s="5" t="n"/>
      <c r="AU92" s="5" t="n"/>
      <c r="BQ92" s="8" t="n"/>
      <c r="BS92" s="8" t="n"/>
    </row>
    <row r="93">
      <c r="AO93" s="5" t="n"/>
      <c r="AP93" s="5" t="n"/>
      <c r="AQ93" s="5" t="n"/>
      <c r="AR93" s="5" t="n"/>
      <c r="AS93" s="5" t="n"/>
      <c r="AT93" s="5" t="n"/>
      <c r="AU93" s="5" t="n"/>
      <c r="BQ93" s="8" t="n"/>
      <c r="BS93" s="8" t="n"/>
    </row>
    <row r="94">
      <c r="AO94" s="5" t="n"/>
      <c r="AP94" s="5" t="n"/>
      <c r="AQ94" s="5" t="n"/>
      <c r="AR94" s="5" t="n"/>
      <c r="AS94" s="5" t="n"/>
      <c r="AT94" s="5" t="n"/>
      <c r="AU94" s="5" t="n"/>
      <c r="BQ94" s="8" t="n"/>
      <c r="BS94" s="8" t="n"/>
    </row>
    <row r="95">
      <c r="AO95" s="5" t="n"/>
      <c r="AP95" s="5" t="n"/>
      <c r="AQ95" s="5" t="n"/>
      <c r="AR95" s="5" t="n"/>
      <c r="AS95" s="5" t="n"/>
      <c r="AT95" s="5" t="n"/>
      <c r="AU95" s="5" t="n"/>
      <c r="BQ95" s="8" t="n"/>
      <c r="BS95" s="8" t="n"/>
    </row>
    <row r="96">
      <c r="AO96" s="5" t="n"/>
      <c r="AP96" s="5" t="n"/>
      <c r="AQ96" s="5" t="n"/>
      <c r="AR96" s="5" t="n"/>
      <c r="AS96" s="5" t="n"/>
      <c r="AT96" s="5" t="n"/>
      <c r="AU96" s="5" t="n"/>
      <c r="BQ96" s="8" t="n"/>
      <c r="BS96" s="8" t="n"/>
    </row>
    <row r="97">
      <c r="AO97" s="5" t="n"/>
      <c r="AP97" s="5" t="n"/>
      <c r="AQ97" s="5" t="n"/>
      <c r="AR97" s="5" t="n"/>
      <c r="AS97" s="5" t="n"/>
      <c r="AT97" s="5" t="n"/>
      <c r="AU97" s="5" t="n"/>
      <c r="BQ97" s="8" t="n"/>
      <c r="BS97" s="8" t="n"/>
    </row>
    <row r="98">
      <c r="AO98" s="5" t="n"/>
      <c r="AP98" s="5" t="n"/>
      <c r="AQ98" s="5" t="n"/>
      <c r="AR98" s="5" t="n"/>
      <c r="AS98" s="5" t="n"/>
      <c r="AT98" s="5" t="n"/>
      <c r="AU98" s="5" t="n"/>
      <c r="BQ98" s="8" t="n"/>
      <c r="BS98" s="8" t="n"/>
    </row>
    <row r="99">
      <c r="AO99" s="5" t="n"/>
      <c r="AP99" s="5" t="n"/>
      <c r="AQ99" s="5" t="n"/>
      <c r="AR99" s="5" t="n"/>
      <c r="AS99" s="5" t="n"/>
      <c r="AT99" s="5" t="n"/>
      <c r="AU99" s="5" t="n"/>
      <c r="BQ99" s="8" t="n"/>
      <c r="BS99" s="8" t="n"/>
    </row>
    <row r="100">
      <c r="AO100" s="5" t="n"/>
      <c r="AP100" s="5" t="n"/>
      <c r="AQ100" s="5" t="n"/>
      <c r="AR100" s="5" t="n"/>
      <c r="AS100" s="5" t="n"/>
      <c r="AT100" s="5" t="n"/>
      <c r="AU100" s="5" t="n"/>
      <c r="BQ100" s="8" t="n"/>
      <c r="BS100" s="8" t="n"/>
    </row>
    <row r="101">
      <c r="AO101" s="5" t="n"/>
      <c r="AP101" s="5" t="n"/>
      <c r="AQ101" s="5" t="n"/>
      <c r="AR101" s="5" t="n"/>
      <c r="AS101" s="5" t="n"/>
      <c r="AT101" s="5" t="n"/>
      <c r="AU101" s="5" t="n"/>
      <c r="BQ101" s="8" t="n"/>
      <c r="BS101" s="8" t="n"/>
    </row>
    <row r="102">
      <c r="AO102" s="5" t="n"/>
      <c r="AP102" s="5" t="n"/>
      <c r="AQ102" s="5" t="n"/>
      <c r="AR102" s="5" t="n"/>
      <c r="AS102" s="5" t="n"/>
      <c r="AT102" s="5" t="n"/>
      <c r="AU102" s="5" t="n"/>
      <c r="BQ102" s="8" t="n"/>
      <c r="BS102" s="8" t="n"/>
    </row>
    <row r="103">
      <c r="AO103" s="5" t="n"/>
      <c r="AP103" s="5" t="n"/>
      <c r="AQ103" s="5" t="n"/>
      <c r="AR103" s="5" t="n"/>
      <c r="AS103" s="5" t="n"/>
      <c r="AT103" s="5" t="n"/>
      <c r="AU103" s="5" t="n"/>
      <c r="BQ103" s="8" t="n"/>
      <c r="BS103" s="8" t="n"/>
    </row>
    <row r="104">
      <c r="AO104" s="5" t="n"/>
      <c r="AP104" s="5" t="n"/>
      <c r="AQ104" s="5" t="n"/>
      <c r="AR104" s="5" t="n"/>
      <c r="AS104" s="5" t="n"/>
      <c r="AT104" s="5" t="n"/>
      <c r="AU104" s="5" t="n"/>
      <c r="BQ104" s="8" t="n"/>
      <c r="BS104" s="8" t="n"/>
    </row>
    <row r="105">
      <c r="AO105" s="5" t="n"/>
      <c r="AP105" s="5" t="n"/>
      <c r="AQ105" s="5" t="n"/>
      <c r="AR105" s="5" t="n"/>
      <c r="AS105" s="5" t="n"/>
      <c r="AT105" s="5" t="n"/>
      <c r="AU105" s="5" t="n"/>
    </row>
    <row r="106">
      <c r="AO106" s="5" t="n"/>
      <c r="AP106" s="5" t="n"/>
      <c r="AQ106" s="5" t="n"/>
      <c r="AR106" s="5" t="n"/>
      <c r="AS106" s="5" t="n"/>
      <c r="AT106" s="5" t="n"/>
      <c r="AU106" s="5" t="n"/>
    </row>
    <row r="107">
      <c r="AO107" s="5" t="n"/>
      <c r="AP107" s="5" t="n"/>
      <c r="AQ107" s="5" t="n"/>
      <c r="AR107" s="5" t="n"/>
      <c r="AS107" s="5" t="n"/>
      <c r="AT107" s="5" t="n"/>
      <c r="AU107" s="5" t="n"/>
    </row>
    <row r="108">
      <c r="AU108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2026-04-06T20:08:37Z</dcterms:modified>
  <cp:lastModifiedBy>Abigail Cheng</cp:lastModifiedBy>
</cp:coreProperties>
</file>