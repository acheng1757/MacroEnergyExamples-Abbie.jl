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lcoe_plots/bio_ethanol_lcoe/"/>
    </mc:Choice>
  </mc:AlternateContent>
  <xr:revisionPtr revIDLastSave="0" documentId="13_ncr:1_{97023F85-A260-3444-A124-FCACA1BD8636}" xr6:coauthVersionLast="47" xr6:coauthVersionMax="47" xr10:uidLastSave="{00000000-0000-0000-0000-000000000000}"/>
  <bookViews>
    <workbookView xWindow="0" yWindow="740" windowWidth="29400" windowHeight="17740" activeTab="1" xr2:uid="{00000000-000D-0000-FFFF-FFFF00000000}"/>
  </bookViews>
  <sheets>
    <sheet name="lc_detailed" sheetId="1" r:id="rId1"/>
    <sheet name="lc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L5" i="3"/>
  <c r="K6" i="3"/>
  <c r="L6" i="3"/>
  <c r="K7" i="3"/>
  <c r="L7" i="3"/>
  <c r="L4" i="3"/>
  <c r="K4" i="3"/>
  <c r="M5" i="3"/>
  <c r="M6" i="3"/>
  <c r="M7" i="3"/>
  <c r="M4" i="3"/>
  <c r="N4" i="3"/>
  <c r="O4" i="3" s="1"/>
  <c r="J4" i="3"/>
  <c r="I4" i="3"/>
  <c r="D4" i="3"/>
  <c r="B5" i="3"/>
  <c r="C5" i="3"/>
  <c r="D5" i="3"/>
  <c r="E5" i="3"/>
  <c r="P5" i="3" s="1"/>
  <c r="F5" i="3"/>
  <c r="G5" i="3"/>
  <c r="H5" i="3"/>
  <c r="I5" i="3"/>
  <c r="J5" i="3"/>
  <c r="N5" i="3"/>
  <c r="O5" i="3" s="1"/>
  <c r="B6" i="3"/>
  <c r="C6" i="3"/>
  <c r="D6" i="3"/>
  <c r="E6" i="3"/>
  <c r="F6" i="3"/>
  <c r="G6" i="3"/>
  <c r="H6" i="3"/>
  <c r="I6" i="3"/>
  <c r="J6" i="3"/>
  <c r="N6" i="3"/>
  <c r="O6" i="3"/>
  <c r="P6" i="3"/>
  <c r="B7" i="3"/>
  <c r="C7" i="3"/>
  <c r="D7" i="3"/>
  <c r="E7" i="3"/>
  <c r="F7" i="3"/>
  <c r="G7" i="3"/>
  <c r="H7" i="3"/>
  <c r="I7" i="3"/>
  <c r="P7" i="3" s="1"/>
  <c r="J7" i="3"/>
  <c r="N7" i="3"/>
  <c r="O7" i="3"/>
  <c r="E4" i="3"/>
  <c r="F4" i="3"/>
  <c r="G4" i="3"/>
  <c r="H4" i="3"/>
  <c r="C4" i="3"/>
  <c r="B4" i="3"/>
  <c r="P4" i="3" l="1"/>
  <c r="BQ7" i="1" l="1"/>
  <c r="BM4" i="1" l="1"/>
  <c r="BT4" i="1" s="1"/>
  <c r="BT5" i="1"/>
  <c r="BT6" i="1"/>
  <c r="K6" i="1"/>
  <c r="J6" i="1" s="1"/>
  <c r="BP6" i="1" s="1"/>
  <c r="K7" i="1"/>
  <c r="J7" i="1" s="1"/>
  <c r="BP7" i="1" s="1"/>
  <c r="BG4" i="1"/>
  <c r="BO7" i="1"/>
  <c r="BL7" i="1"/>
  <c r="BG7" i="1"/>
  <c r="BK7" i="1" s="1"/>
  <c r="BD7" i="1"/>
  <c r="BA7" i="1"/>
  <c r="AY7" i="1"/>
  <c r="AX7" i="1"/>
  <c r="AW7" i="1"/>
  <c r="AV7" i="1"/>
  <c r="AU7" i="1" a="1"/>
  <c r="AU7" i="1" s="1"/>
  <c r="AT7" i="1"/>
  <c r="AS7" i="1"/>
  <c r="AM7" i="1"/>
  <c r="AL7" i="1"/>
  <c r="BQ6" i="1"/>
  <c r="BO6" i="1"/>
  <c r="BL6" i="1"/>
  <c r="BG6" i="1"/>
  <c r="BK6" i="1" s="1"/>
  <c r="BD6" i="1"/>
  <c r="BA6" i="1"/>
  <c r="AY6" i="1"/>
  <c r="AX6" i="1"/>
  <c r="AW6" i="1"/>
  <c r="AV6" i="1"/>
  <c r="AU6" i="1" a="1"/>
  <c r="AU6" i="1" s="1"/>
  <c r="AT6" i="1"/>
  <c r="AS6" i="1"/>
  <c r="AM6" i="1"/>
  <c r="AL6" i="1"/>
  <c r="BQ5" i="1"/>
  <c r="BO5" i="1"/>
  <c r="BL5" i="1"/>
  <c r="K5" i="1" s="1"/>
  <c r="J5" i="1" s="1"/>
  <c r="BP5" i="1" s="1"/>
  <c r="BR5" i="1" s="1"/>
  <c r="BG5" i="1"/>
  <c r="BK5" i="1" s="1"/>
  <c r="BD5" i="1"/>
  <c r="BA5" i="1"/>
  <c r="AY5" i="1"/>
  <c r="AX5" i="1"/>
  <c r="AW5" i="1"/>
  <c r="AV5" i="1"/>
  <c r="AU5" i="1" a="1"/>
  <c r="AU5" i="1" s="1"/>
  <c r="AT5" i="1"/>
  <c r="AS5" i="1"/>
  <c r="AM5" i="1"/>
  <c r="AL5" i="1"/>
  <c r="BQ4" i="1"/>
  <c r="BO4" i="1"/>
  <c r="BL4" i="1"/>
  <c r="K4" i="1" s="1"/>
  <c r="J4" i="1" s="1"/>
  <c r="BP4" i="1" s="1"/>
  <c r="BK4" i="1"/>
  <c r="BD4" i="1"/>
  <c r="BA4" i="1"/>
  <c r="AY4" i="1"/>
  <c r="AX4" i="1"/>
  <c r="AW4" i="1"/>
  <c r="AV4" i="1"/>
  <c r="AU4" i="1" a="1"/>
  <c r="AU4" i="1" s="1"/>
  <c r="AT4" i="1"/>
  <c r="AS4" i="1"/>
  <c r="AM4" i="1"/>
  <c r="AL4" i="1"/>
  <c r="BC5" i="1" l="1"/>
  <c r="BE5" i="1" s="1"/>
  <c r="BR6" i="1"/>
  <c r="BR7" i="1"/>
  <c r="BT7" i="1" s="1"/>
  <c r="BC4" i="1"/>
  <c r="BE4" i="1" s="1"/>
  <c r="BM6" i="1"/>
  <c r="AZ6" i="1"/>
  <c r="BB6" i="1" s="1"/>
  <c r="AN6" i="1" s="1"/>
  <c r="AZ4" i="1"/>
  <c r="BB4" i="1" s="1"/>
  <c r="AN4" i="1" s="1"/>
  <c r="BR4" i="1"/>
  <c r="BC7" i="1"/>
  <c r="BE7" i="1" s="1"/>
  <c r="AO7" i="1" s="1"/>
  <c r="AQ7" i="1" s="1"/>
  <c r="BM7" i="1"/>
  <c r="AZ7" i="1"/>
  <c r="BB7" i="1" s="1"/>
  <c r="AN7" i="1" s="1"/>
  <c r="AO4" i="1"/>
  <c r="AQ4" i="1" s="1"/>
  <c r="AO5" i="1"/>
  <c r="AQ5" i="1" s="1"/>
  <c r="AZ5" i="1"/>
  <c r="BB5" i="1" s="1"/>
  <c r="AN5" i="1" s="1"/>
  <c r="BC6" i="1"/>
  <c r="BE6" i="1" s="1"/>
  <c r="AO6" i="1" s="1"/>
  <c r="AQ6" i="1" s="1"/>
  <c r="BM5" i="1"/>
  <c r="AP5" i="1" l="1"/>
  <c r="AR5" i="1"/>
  <c r="AR6" i="1"/>
  <c r="AP6" i="1"/>
  <c r="AP7" i="1"/>
  <c r="AR7" i="1"/>
  <c r="AR4" i="1"/>
  <c r="AP4" i="1"/>
</calcChain>
</file>

<file path=xl/sharedStrings.xml><?xml version="1.0" encoding="utf-8"?>
<sst xmlns="http://schemas.openxmlformats.org/spreadsheetml/2006/main" count="105" uniqueCount="80">
  <si>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</si>
  <si>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</si>
  <si>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</si>
  <si>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</si>
  <si>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</si>
  <si>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</si>
  <si>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</si>
  <si>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</si>
  <si>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</si>
  <si>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</si>
  <si>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id</t>
  </si>
  <si>
    <t>commodity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</si>
  <si>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</si>
  <si>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</si>
  <si>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</si>
  <si>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</si>
  <si>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</si>
  <si>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capture_rate (t-CO2/t-bio)</t>
  </si>
  <si>
    <t>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</si>
  <si>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</si>
  <si>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</si>
  <si>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</si>
  <si>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</si>
  <si>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</si>
  <si>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</si>
  <si>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</si>
  <si>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</si>
  <si>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</si>
  <si>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</si>
  <si>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</si>
  <si>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</si>
  <si>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</si>
  <si>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</si>
  <si>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</si>
  <si>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</si>
  <si>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</si>
  <si>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</si>
  <si>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</si>
  <si>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</si>
  <si>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</si>
  <si>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</si>
  <si>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</si>
  <si>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</si>
  <si>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</si>
  <si>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</si>
  <si>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($/MWh-ethanol)</t>
  </si>
  <si>
    <t>LCOE ($/GJ-ethanol)</t>
  </si>
  <si>
    <t>Diff. Between Methods ($/MWh)</t>
  </si>
  <si>
    <t>elec_production</t>
  </si>
  <si>
    <t>elec_consumption</t>
  </si>
  <si>
    <t>biomass_consumption</t>
  </si>
  <si>
    <t>natgas_consumption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</si>
  <si>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</si>
  <si>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</si>
  <si>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</si>
  <si>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</si>
  <si>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</si>
  <si>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</si>
  <si>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</si>
  <si>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</si>
  <si>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</si>
  <si>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</si>
  <si>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Emissions (t-CO2/MWh-ethanol)</t>
  </si>
  <si>
    <t>Captured (t-CO2/MWh-ethanol)</t>
  </si>
  <si>
    <t>Total Output (t-CO2/MWh-ethanol)</t>
  </si>
  <si>
    <t>SE_DryMill_Existing_Non_CCS</t>
  </si>
  <si>
    <t>Biomass_Corn</t>
  </si>
  <si>
    <t>SE_Biochemical_Non_CCS</t>
  </si>
  <si>
    <t>Biomass_Herb</t>
  </si>
  <si>
    <t>SE_Biochemical_CCS_20</t>
  </si>
  <si>
    <t>SE_Biochemical_CCS_86</t>
  </si>
  <si>
    <t>Biomass_Agri</t>
  </si>
  <si>
    <t>calculated_emission_rate (t-CO2/t-bio)</t>
  </si>
  <si>
    <t>Sanity Checks</t>
  </si>
  <si>
    <t>Carbon INPUT - OUTPUT</t>
  </si>
  <si>
    <t>Total input (t-CO2/MWh-ethanol)</t>
  </si>
  <si>
    <t>LC for bioethanol production $/GJ</t>
  </si>
  <si>
    <t>CHECK LCOE ($/GJ-ethanol)</t>
  </si>
  <si>
    <t>Conversion</t>
  </si>
  <si>
    <t>GJ/MWh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</si>
</sst>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0" fillId="14" borderId="0" xfId="0" applyFill="1"/>
    <xf numFmtId="0" fontId="2" fillId="5" borderId="0" xfId="0" applyFont="1" applyFill="1" applyAlignment="1">
      <alignment horizontal="left" wrapText="1"/>
    </xf>
    <xf numFmtId="0" fontId="5" fillId="0" borderId="0" xfId="0" applyFon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E9FF"/>
      <color rgb="FFADD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T107"/>
  <sheetViews>
    <sheetView topLeftCell="AM1" zoomScale="75" zoomScaleNormal="157" workbookViewId="0">
      <selection activeCell="AN4" sqref="AN4"/>
    </sheetView>
  </sheetViews>
  <sheetFormatPr baseColWidth="10" defaultRowHeight="16" x14ac:dyDescent="0.2"/>
  <cols>
    <col min="1" max="1" width="2.6640625" style="1" customWidth="1"/>
    <col min="2" max="2" width="27.1640625" style="1" customWidth="1"/>
    <col min="3" max="3" width="13" style="1" bestFit="1" customWidth="1"/>
    <col min="4" max="4" width="13.1640625" style="1" customWidth="1"/>
    <col min="5" max="5" width="14.83203125" style="1" customWidth="1"/>
    <col min="6" max="6" width="33.33203125" style="1" bestFit="1" customWidth="1"/>
    <col min="7" max="7" width="16.6640625" style="1" customWidth="1"/>
    <col min="8" max="8" width="17.33203125" style="1" customWidth="1"/>
    <col min="9" max="9" width="10.6640625" style="1" customWidth="1"/>
    <col min="10" max="10" width="11.33203125" style="1" customWidth="1"/>
    <col min="11" max="11" width="30.83203125" style="1" bestFit="1" customWidth="1"/>
    <col min="12" max="12" width="13.1640625" style="1" customWidth="1"/>
    <col min="13" max="13" width="11.6640625" style="1" customWidth="1"/>
    <col min="14" max="14" width="14" style="1" customWidth="1"/>
    <col min="15" max="15" width="3" style="1" customWidth="1"/>
    <col min="16" max="16" width="12.83203125" style="1" bestFit="1" customWidth="1"/>
    <col min="17" max="18" width="11" style="1" customWidth="1"/>
    <col min="19" max="19" width="12.83203125" style="1" customWidth="1"/>
    <col min="20" max="20" width="13.83203125" style="1" customWidth="1"/>
    <col min="21" max="21" width="12" style="1" customWidth="1"/>
    <col min="22" max="22" width="13.5" style="1" customWidth="1"/>
    <col min="23" max="23" width="14.33203125" style="1" customWidth="1"/>
    <col min="24" max="24" width="11" style="1" customWidth="1"/>
    <col min="25" max="25" width="9.33203125" style="1" customWidth="1"/>
    <col min="26" max="26" width="10.33203125" style="1" customWidth="1"/>
    <col min="27" max="27" width="14.83203125" style="1" customWidth="1"/>
    <col min="28" max="28" width="14.5" style="1" customWidth="1"/>
    <col min="29" max="30" width="12.5" style="1" customWidth="1"/>
    <col min="31" max="31" width="12.1640625" style="1" customWidth="1"/>
    <col min="32" max="32" width="13.1640625" style="1" customWidth="1"/>
    <col min="33" max="33" width="9.6640625" style="1" customWidth="1"/>
    <col min="34" max="34" width="9.83203125" style="1" customWidth="1"/>
    <col min="35" max="35" width="14.5" style="1" customWidth="1"/>
    <col min="36" max="36" width="15.33203125" style="1" customWidth="1"/>
    <col min="37" max="37" width="3.33203125" customWidth="1"/>
    <col min="38" max="38" width="18.83203125" style="1" customWidth="1"/>
    <col min="39" max="39" width="19.83203125" style="1" customWidth="1"/>
    <col min="40" max="41" width="18.83203125" style="1" bestFit="1" customWidth="1"/>
    <col min="42" max="43" width="16.5" style="1" bestFit="1" customWidth="1"/>
    <col min="44" max="44" width="27.83203125" style="1" bestFit="1" customWidth="1"/>
    <col min="45" max="45" width="12.6640625" style="1" bestFit="1" customWidth="1"/>
    <col min="46" max="46" width="15.1640625" style="1" bestFit="1" customWidth="1"/>
    <col min="47" max="47" width="18.5" style="1" bestFit="1" customWidth="1"/>
    <col min="48" max="48" width="17.1640625" style="1" bestFit="1" customWidth="1"/>
    <col min="49" max="49" width="13.6640625" style="1" bestFit="1" customWidth="1"/>
    <col min="50" max="50" width="12.1640625" style="1" bestFit="1" customWidth="1"/>
    <col min="51" max="51" width="14.5" style="1" bestFit="1" customWidth="1"/>
    <col min="52" max="52" width="10.5" style="1" customWidth="1"/>
    <col min="53" max="53" width="17.83203125" style="1" bestFit="1" customWidth="1"/>
    <col min="54" max="54" width="19.6640625" style="1" bestFit="1" customWidth="1"/>
    <col min="55" max="55" width="12.1640625" style="1" customWidth="1"/>
    <col min="56" max="56" width="17.83203125" style="1" bestFit="1" customWidth="1"/>
    <col min="57" max="57" width="19.33203125" style="1" bestFit="1" customWidth="1"/>
    <col min="58" max="58" width="3.33203125" style="1" customWidth="1"/>
    <col min="59" max="59" width="16.5" style="1" customWidth="1"/>
    <col min="60" max="60" width="10.6640625" style="1" customWidth="1"/>
    <col min="61" max="61" width="14.5" style="1" customWidth="1"/>
    <col min="62" max="62" width="3.6640625" style="1" customWidth="1"/>
    <col min="63" max="63" width="24.5" style="1" bestFit="1" customWidth="1"/>
    <col min="64" max="64" width="20.5" style="1" bestFit="1" customWidth="1"/>
    <col min="65" max="65" width="26.83203125" style="1" bestFit="1" customWidth="1"/>
    <col min="66" max="66" width="3.33203125" style="1" customWidth="1"/>
    <col min="67" max="67" width="24.1640625" style="1" bestFit="1" customWidth="1"/>
    <col min="68" max="68" width="25.6640625" style="1" bestFit="1" customWidth="1"/>
    <col min="69" max="69" width="25.33203125" style="1" bestFit="1" customWidth="1"/>
    <col min="70" max="70" width="28.1640625" style="1" bestFit="1" customWidth="1"/>
    <col min="71" max="71" width="10.83203125" style="1" customWidth="1"/>
    <col min="72" max="72" width="19.1640625" style="1" bestFit="1" customWidth="1"/>
    <col min="73" max="83" width="10.83203125" style="1" customWidth="1"/>
    <col min="84" max="16384" width="10.83203125" style="1"/>
  </cols>
  <sheetData>
    <row r="1" spans="2:72" ht="15" customHeight="1" x14ac:dyDescent="0.2">
      <c r="AK1" s="1"/>
      <c r="AS1" s="17"/>
      <c r="AT1" s="17"/>
      <c r="AU1" s="17"/>
      <c r="AV1" s="17"/>
      <c r="AW1" s="17"/>
      <c r="AX1" s="17"/>
      <c r="AY1" s="17"/>
      <c r="AZ1" s="17"/>
    </row>
    <row r="2" spans="2:72" x14ac:dyDescent="0.2">
      <c r="B2" s="1" t="s">
        <v>0</v>
      </c>
      <c r="P2" s="1" t="s">
        <v>1</v>
      </c>
      <c r="AL2" s="1" t="s">
        <v>2</v>
      </c>
      <c r="AN2" s="1" t="s">
        <v>3</v>
      </c>
      <c r="AO2" s="1" t="s">
        <v>4</v>
      </c>
      <c r="AP2" s="1" t="s">
        <v>3</v>
      </c>
      <c r="AQ2" s="1" t="s">
        <v>4</v>
      </c>
      <c r="AZ2" s="1" t="s">
        <v>5</v>
      </c>
      <c r="BC2" s="1" t="s">
        <v>6</v>
      </c>
      <c r="BG2" s="1" t="s">
        <v>7</v>
      </c>
      <c r="BK2" s="1" t="s">
        <v>8</v>
      </c>
      <c r="BO2" s="1" t="s">
        <v>9</v>
      </c>
      <c r="BT2" s="1" t="s">
        <v>73</v>
      </c>
    </row>
    <row r="3" spans="2:72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7" t="s">
        <v>72</v>
      </c>
      <c r="L3" s="2" t="s">
        <v>19</v>
      </c>
      <c r="M3" s="2" t="s">
        <v>20</v>
      </c>
      <c r="N3" s="2" t="s">
        <v>21</v>
      </c>
      <c r="P3" s="14" t="s">
        <v>22</v>
      </c>
      <c r="Q3" s="14" t="s">
        <v>23</v>
      </c>
      <c r="R3" s="14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L3" s="4" t="s">
        <v>43</v>
      </c>
      <c r="AM3" s="4" t="s">
        <v>44</v>
      </c>
      <c r="AN3" s="3" t="s">
        <v>45</v>
      </c>
      <c r="AO3" s="6" t="s">
        <v>45</v>
      </c>
      <c r="AP3" s="3" t="s">
        <v>46</v>
      </c>
      <c r="AQ3" s="6" t="s">
        <v>46</v>
      </c>
      <c r="AR3" s="7" t="s">
        <v>47</v>
      </c>
      <c r="AS3" s="4" t="s">
        <v>48</v>
      </c>
      <c r="AT3" s="4" t="s">
        <v>49</v>
      </c>
      <c r="AU3" s="4" t="s">
        <v>50</v>
      </c>
      <c r="AV3" s="4" t="s">
        <v>51</v>
      </c>
      <c r="AW3" s="4" t="s">
        <v>52</v>
      </c>
      <c r="AX3" s="4" t="s">
        <v>53</v>
      </c>
      <c r="AY3" s="4" t="s">
        <v>54</v>
      </c>
      <c r="AZ3" s="3" t="s">
        <v>3</v>
      </c>
      <c r="BA3" s="3" t="s">
        <v>55</v>
      </c>
      <c r="BB3" s="3" t="s">
        <v>56</v>
      </c>
      <c r="BC3" s="6" t="s">
        <v>3</v>
      </c>
      <c r="BD3" s="6" t="s">
        <v>55</v>
      </c>
      <c r="BE3" s="6" t="s">
        <v>56</v>
      </c>
      <c r="BG3" s="7" t="s">
        <v>57</v>
      </c>
      <c r="BH3" s="7" t="s">
        <v>58</v>
      </c>
      <c r="BI3" s="7" t="s">
        <v>59</v>
      </c>
      <c r="BK3" s="7" t="s">
        <v>60</v>
      </c>
      <c r="BL3" s="7" t="s">
        <v>61</v>
      </c>
      <c r="BM3" s="7" t="s">
        <v>75</v>
      </c>
      <c r="BO3" s="7" t="s">
        <v>59</v>
      </c>
      <c r="BP3" s="7" t="s">
        <v>62</v>
      </c>
      <c r="BQ3" s="7" t="s">
        <v>63</v>
      </c>
      <c r="BR3" s="7" t="s">
        <v>64</v>
      </c>
      <c r="BT3" s="7" t="s">
        <v>74</v>
      </c>
    </row>
    <row r="4" spans="2:72" x14ac:dyDescent="0.2">
      <c r="B4" s="13" t="s">
        <v>65</v>
      </c>
      <c r="C4" s="12" t="s">
        <v>66</v>
      </c>
      <c r="D4" s="12">
        <v>0</v>
      </c>
      <c r="E4" s="12">
        <v>0.06</v>
      </c>
      <c r="F4" s="12">
        <v>3.26</v>
      </c>
      <c r="G4" s="12">
        <v>0.75</v>
      </c>
      <c r="H4" s="12">
        <v>1.65</v>
      </c>
      <c r="I4" s="12">
        <v>0</v>
      </c>
      <c r="J4" s="12">
        <f>K4</f>
        <v>1.0345289563701205</v>
      </c>
      <c r="K4" s="18">
        <f>(BL4+(BK4-BO4-BQ4))*F4</f>
        <v>1.0345289563701205</v>
      </c>
      <c r="L4" s="12">
        <v>0</v>
      </c>
      <c r="M4" s="12">
        <v>154043.63</v>
      </c>
      <c r="N4" s="12">
        <v>79.650000000000006</v>
      </c>
      <c r="P4" s="15">
        <v>122.135409</v>
      </c>
      <c r="Q4" s="15">
        <v>-10.071578000000001</v>
      </c>
      <c r="R4" s="15"/>
      <c r="S4" s="15">
        <v>73.297528</v>
      </c>
      <c r="T4" s="15">
        <v>77.158259999999999</v>
      </c>
      <c r="U4" s="15">
        <v>59.694023999999999</v>
      </c>
      <c r="V4" s="16"/>
      <c r="W4" s="16"/>
      <c r="X4" s="15">
        <v>26.556269</v>
      </c>
      <c r="Y4" s="15">
        <v>8.6278919999999992</v>
      </c>
      <c r="Z4" s="15"/>
      <c r="AA4" s="16">
        <v>-96.133976000000004</v>
      </c>
      <c r="AB4" s="16">
        <v>-96.133976000000004</v>
      </c>
      <c r="AC4" s="16"/>
      <c r="AD4" s="16"/>
      <c r="AE4" s="16"/>
      <c r="AF4" s="16"/>
      <c r="AG4" s="15">
        <v>4.7546840000000001</v>
      </c>
      <c r="AH4" s="15">
        <v>-0.13628299999999999</v>
      </c>
      <c r="AI4" s="15">
        <v>576.81126900000004</v>
      </c>
      <c r="AJ4" s="15">
        <v>576.81126900000004</v>
      </c>
      <c r="AL4" s="1" t="str">
        <f t="shared" ref="AL4:AM7" si="0">B4</f>
        <v>SE_DryMill_Existing_Non_CCS</v>
      </c>
      <c r="AM4" s="1" t="str">
        <f t="shared" si="0"/>
        <v>Biomass_Corn</v>
      </c>
      <c r="AN4" s="11">
        <f>SUM(AS4:AY4)+BA4+BB4</f>
        <v>37.095845147977556</v>
      </c>
      <c r="AO4" s="11">
        <f>SUM(AS4:AY4)+BD4+BE4</f>
        <v>37.095845147977556</v>
      </c>
      <c r="AP4" s="11">
        <f t="shared" ref="AP4:AQ7" si="1">AN4/3.6</f>
        <v>10.304401429993765</v>
      </c>
      <c r="AQ4" s="11">
        <f t="shared" si="1"/>
        <v>10.304401429993765</v>
      </c>
      <c r="AR4" s="5">
        <f>AN4-AO4</f>
        <v>0</v>
      </c>
      <c r="AS4" s="1">
        <f>D4/F4*X4*-1</f>
        <v>0</v>
      </c>
      <c r="AT4" s="1">
        <f>E4/F4*X4</f>
        <v>0.48876568711656448</v>
      </c>
      <c r="AU4" s="1">
        <f t="array" ref="AU4">_xlfn.IFS(C4="Biomass_Corn", 1/F4*R4, C4="Biomass_Agri", 1/F4*U4, C4="Biomass_Wood", 1/F4*T4, C4="Biomass_Herb", 1/F4*S4)</f>
        <v>0</v>
      </c>
      <c r="AV4" s="1">
        <f>G4/F4*AG4</f>
        <v>1.093869018404908</v>
      </c>
      <c r="AW4" s="1">
        <f>L4/F4/(0.9*8760)</f>
        <v>0</v>
      </c>
      <c r="AX4" s="1">
        <f>M4/F4/(0.9*8760)</f>
        <v>5.9934864585570535</v>
      </c>
      <c r="AY4" s="1">
        <f>N4/F4</f>
        <v>24.432515337423315</v>
      </c>
      <c r="AZ4" s="1">
        <f>SUM(BO4:BQ4)-BK4</f>
        <v>4.1652201340527828E-2</v>
      </c>
      <c r="BA4" s="1">
        <f>(P4+Q4)*-1*I4/F4</f>
        <v>0</v>
      </c>
      <c r="BB4" s="1">
        <f>AZ4*P4</f>
        <v>5.0872086464757142</v>
      </c>
      <c r="BC4" s="1">
        <f>SUM(BO4:BP4)-BK4</f>
        <v>4.1652201340527828E-2</v>
      </c>
      <c r="BD4" s="1">
        <f>I4/F4*-1*Q4</f>
        <v>0</v>
      </c>
      <c r="BE4" s="1">
        <f>BC4*P4</f>
        <v>5.0872086464757142</v>
      </c>
      <c r="BG4" s="9">
        <f>H4</f>
        <v>1.65</v>
      </c>
      <c r="BH4" s="10">
        <v>0.181048235160161</v>
      </c>
      <c r="BI4" s="9">
        <v>0.23044700000000001</v>
      </c>
      <c r="BK4" s="10">
        <f>BG4/F4</f>
        <v>0.50613496932515334</v>
      </c>
      <c r="BL4" s="10">
        <f>BH4*G4/F4</f>
        <v>4.1652201340527842E-2</v>
      </c>
      <c r="BM4" s="10">
        <f>SUM(BK4:BL4)</f>
        <v>0.54778717066568117</v>
      </c>
      <c r="BO4" s="10">
        <f>BI4</f>
        <v>0.23044700000000001</v>
      </c>
      <c r="BP4" s="10">
        <f>J4/F4</f>
        <v>0.31734017066568115</v>
      </c>
      <c r="BQ4" s="10">
        <f>I4/F4</f>
        <v>0</v>
      </c>
      <c r="BR4" s="10">
        <f>SUM(BO4:BQ4)</f>
        <v>0.54778717066568117</v>
      </c>
      <c r="BT4" s="1">
        <f>BM4-BR4</f>
        <v>0</v>
      </c>
    </row>
    <row r="5" spans="2:72" x14ac:dyDescent="0.2">
      <c r="B5" s="13" t="s">
        <v>67</v>
      </c>
      <c r="C5" s="12" t="s">
        <v>68</v>
      </c>
      <c r="D5" s="12">
        <v>0.1227</v>
      </c>
      <c r="E5" s="12">
        <v>0</v>
      </c>
      <c r="F5" s="12">
        <v>1.5508999999999999</v>
      </c>
      <c r="G5" s="12">
        <v>0</v>
      </c>
      <c r="H5" s="12">
        <v>1.32</v>
      </c>
      <c r="I5" s="12">
        <v>0</v>
      </c>
      <c r="J5" s="12">
        <f t="shared" ref="J5:J7" si="2">K5</f>
        <v>0.9625997476999999</v>
      </c>
      <c r="K5" s="18">
        <f t="shared" ref="K5:K7" si="3">(BL5+(BK5-BO5-BQ5))*F5</f>
        <v>0.9625997476999999</v>
      </c>
      <c r="L5" s="12">
        <v>656536.27</v>
      </c>
      <c r="M5" s="12">
        <v>194987.35</v>
      </c>
      <c r="N5" s="12">
        <v>55.68</v>
      </c>
      <c r="P5" s="15">
        <v>122.135409</v>
      </c>
      <c r="Q5" s="15">
        <v>-10.071578000000001</v>
      </c>
      <c r="R5" s="15"/>
      <c r="S5" s="15">
        <v>73.297528</v>
      </c>
      <c r="T5" s="15">
        <v>77.158259999999999</v>
      </c>
      <c r="U5" s="15">
        <v>59.694023999999999</v>
      </c>
      <c r="V5" s="16"/>
      <c r="W5" s="16"/>
      <c r="X5" s="15">
        <v>26.556269</v>
      </c>
      <c r="Y5" s="15">
        <v>8.6278919999999992</v>
      </c>
      <c r="Z5" s="15"/>
      <c r="AA5" s="16">
        <v>-96.133976000000004</v>
      </c>
      <c r="AB5" s="16">
        <v>-96.133976000000004</v>
      </c>
      <c r="AC5" s="16"/>
      <c r="AD5" s="16"/>
      <c r="AE5" s="16"/>
      <c r="AF5" s="16"/>
      <c r="AG5" s="15">
        <v>4.7546840000000001</v>
      </c>
      <c r="AH5" s="15">
        <v>-0.13628299999999999</v>
      </c>
      <c r="AI5" s="15">
        <v>576.81126900000004</v>
      </c>
      <c r="AJ5" s="15">
        <v>576.81126900000004</v>
      </c>
      <c r="AL5" s="1" t="str">
        <f t="shared" si="0"/>
        <v>SE_Biochemical_Non_CCS</v>
      </c>
      <c r="AM5" s="1" t="str">
        <f t="shared" si="0"/>
        <v>Biomass_Herb</v>
      </c>
      <c r="AN5" s="11">
        <f>SUM(AS5:AY5)+BA5+BB5</f>
        <v>150.7032182807072</v>
      </c>
      <c r="AO5" s="11">
        <f>SUM(AS5:AY5)+BD5+BE5</f>
        <v>150.7032182807072</v>
      </c>
      <c r="AP5" s="11">
        <f t="shared" si="1"/>
        <v>41.862005077974224</v>
      </c>
      <c r="AQ5" s="11">
        <f t="shared" si="1"/>
        <v>41.862005077974224</v>
      </c>
      <c r="AR5" s="5">
        <f>AN5-AO5</f>
        <v>0</v>
      </c>
      <c r="AS5" s="1">
        <f>D5/F5*X5*-1</f>
        <v>-2.1010085797279001</v>
      </c>
      <c r="AT5" s="1">
        <f>E5/F5*X5</f>
        <v>0</v>
      </c>
      <c r="AU5" s="1">
        <f t="array" ref="AU5">_xlfn.IFS(C5="Biomass_Corn", 1/F5*R5, C5="Biomass_Agri", 1/F5*U5, C5="Biomass_Wood", 1/F5*T5, C5="Biomass_Herb", 1/F5*S5)</f>
        <v>47.261285705074471</v>
      </c>
      <c r="AV5" s="1">
        <f>G5/F5*AG5</f>
        <v>0</v>
      </c>
      <c r="AW5" s="1">
        <f>L5/F5/(0.9*8760)</f>
        <v>53.694315691525446</v>
      </c>
      <c r="AX5" s="1">
        <f>M5/F5/(0.9*8760)</f>
        <v>15.94689098707976</v>
      </c>
      <c r="AY5" s="1">
        <f>N5/F5</f>
        <v>35.901734476755436</v>
      </c>
      <c r="AZ5" s="1">
        <f>SUM(BO5:BQ5)-BK5</f>
        <v>0</v>
      </c>
      <c r="BA5" s="1">
        <f>(P5+Q5)*-1*I5/F5</f>
        <v>0</v>
      </c>
      <c r="BB5" s="1">
        <f>AZ5*P5</f>
        <v>0</v>
      </c>
      <c r="BC5" s="1">
        <f>SUM(BO5:BP5)-BK5</f>
        <v>0</v>
      </c>
      <c r="BD5" s="1">
        <f>I5/F5*-1*Q5</f>
        <v>0</v>
      </c>
      <c r="BE5" s="1">
        <f>BC5*P5</f>
        <v>0</v>
      </c>
      <c r="BG5" s="9">
        <f>H5</f>
        <v>1.32</v>
      </c>
      <c r="BH5" s="10">
        <v>0.181048235160161</v>
      </c>
      <c r="BI5" s="9">
        <v>0.23044700000000001</v>
      </c>
      <c r="BK5" s="10">
        <f>BG5/F5</f>
        <v>0.851118705267909</v>
      </c>
      <c r="BL5" s="10">
        <f>BH5*G5/F5</f>
        <v>0</v>
      </c>
      <c r="BM5" s="10">
        <f>SUM(BK5:BL5)</f>
        <v>0.851118705267909</v>
      </c>
      <c r="BO5" s="10">
        <f>BI5</f>
        <v>0.23044700000000001</v>
      </c>
      <c r="BP5" s="10">
        <f>J5/F5</f>
        <v>0.62067170526790894</v>
      </c>
      <c r="BQ5" s="10">
        <f>I5/F5</f>
        <v>0</v>
      </c>
      <c r="BR5" s="10">
        <f>SUM(BO5:BQ5)</f>
        <v>0.851118705267909</v>
      </c>
      <c r="BT5" s="1">
        <f t="shared" ref="BT5:BT7" si="4">BM5-BR5</f>
        <v>0</v>
      </c>
    </row>
    <row r="6" spans="2:72" x14ac:dyDescent="0.2">
      <c r="B6" s="13" t="s">
        <v>69</v>
      </c>
      <c r="C6" s="12" t="s">
        <v>68</v>
      </c>
      <c r="D6" s="12">
        <v>0.1227</v>
      </c>
      <c r="E6" s="12">
        <v>0</v>
      </c>
      <c r="F6" s="12">
        <v>1.5508999999999999</v>
      </c>
      <c r="G6" s="12">
        <v>0</v>
      </c>
      <c r="H6" s="12">
        <v>1.32</v>
      </c>
      <c r="I6" s="12">
        <v>0.19</v>
      </c>
      <c r="J6" s="12">
        <f t="shared" si="2"/>
        <v>0.77259974769999995</v>
      </c>
      <c r="K6" s="18">
        <f t="shared" si="3"/>
        <v>0.77259974769999995</v>
      </c>
      <c r="L6" s="12">
        <v>658128.84</v>
      </c>
      <c r="M6" s="12">
        <v>195838.97</v>
      </c>
      <c r="N6" s="12">
        <v>55.71</v>
      </c>
      <c r="P6" s="15">
        <v>122.135409</v>
      </c>
      <c r="Q6" s="15">
        <v>-10.071578000000001</v>
      </c>
      <c r="R6" s="15"/>
      <c r="S6" s="15">
        <v>73.297528</v>
      </c>
      <c r="T6" s="15">
        <v>77.158259999999999</v>
      </c>
      <c r="U6" s="15">
        <v>59.694023999999999</v>
      </c>
      <c r="V6" s="16"/>
      <c r="W6" s="16"/>
      <c r="X6" s="15">
        <v>26.556269</v>
      </c>
      <c r="Y6" s="15">
        <v>8.6278919999999992</v>
      </c>
      <c r="Z6" s="15"/>
      <c r="AA6" s="16">
        <v>-96.133976000000004</v>
      </c>
      <c r="AB6" s="16">
        <v>-96.133976000000004</v>
      </c>
      <c r="AC6" s="16"/>
      <c r="AD6" s="16"/>
      <c r="AE6" s="16"/>
      <c r="AF6" s="16"/>
      <c r="AG6" s="15">
        <v>4.7546840000000001</v>
      </c>
      <c r="AH6" s="15">
        <v>-0.13628299999999999</v>
      </c>
      <c r="AI6" s="15">
        <v>576.81126900000004</v>
      </c>
      <c r="AJ6" s="15">
        <v>576.81126900000004</v>
      </c>
      <c r="AL6" s="1" t="str">
        <f t="shared" si="0"/>
        <v>SE_Biochemical_CCS_20</v>
      </c>
      <c r="AM6" s="1" t="str">
        <f t="shared" si="0"/>
        <v>Biomass_Herb</v>
      </c>
      <c r="AN6" s="11">
        <f>SUM(AS6:AY6)+BA6+BB6</f>
        <v>137.19357300111162</v>
      </c>
      <c r="AO6" s="11">
        <f>SUM(AS6:AY6)+BD6+BE6</f>
        <v>137.19357300111162</v>
      </c>
      <c r="AP6" s="11">
        <f t="shared" si="1"/>
        <v>38.109325833642117</v>
      </c>
      <c r="AQ6" s="11">
        <f t="shared" si="1"/>
        <v>38.109325833642117</v>
      </c>
      <c r="AR6" s="5">
        <f>AN6-AO6</f>
        <v>0</v>
      </c>
      <c r="AS6" s="1">
        <f>D6/F6*X6*-1</f>
        <v>-2.1010085797279001</v>
      </c>
      <c r="AT6" s="1">
        <f>E6/F6*X6</f>
        <v>0</v>
      </c>
      <c r="AU6" s="1">
        <f t="array" ref="AU6">_xlfn.IFS(C6="Biomass_Corn", 1/F6*R6, C6="Biomass_Agri", 1/F6*U6, C6="Biomass_Wood", 1/F6*T6, C6="Biomass_Herb", 1/F6*S6)</f>
        <v>47.261285705074471</v>
      </c>
      <c r="AV6" s="1">
        <f>G6/F6*AG6</f>
        <v>0</v>
      </c>
      <c r="AW6" s="1">
        <f>L6/F6/(0.9*8760)</f>
        <v>53.824562808475818</v>
      </c>
      <c r="AX6" s="1">
        <f>M6/F6/(0.9*8760)</f>
        <v>16.016540076122801</v>
      </c>
      <c r="AY6" s="1">
        <f>N6/F6</f>
        <v>35.921078083693338</v>
      </c>
      <c r="AZ6" s="1">
        <f>SUM(BO6:BQ6)-BK6</f>
        <v>0</v>
      </c>
      <c r="BA6" s="1">
        <f>(P6+Q6)*-1*I6/F6</f>
        <v>-13.728885092526919</v>
      </c>
      <c r="BB6" s="1">
        <f>AZ6*P6</f>
        <v>0</v>
      </c>
      <c r="BC6" s="1">
        <f>SUM(BO6:BP6)-BK6</f>
        <v>-0.12250951060674453</v>
      </c>
      <c r="BD6" s="1">
        <f>I6/F6*-1*Q6</f>
        <v>1.2338640918176544</v>
      </c>
      <c r="BE6" s="1">
        <f>BC6*P6</f>
        <v>-14.962749184344581</v>
      </c>
      <c r="BG6" s="9">
        <f>H6</f>
        <v>1.32</v>
      </c>
      <c r="BH6" s="10">
        <v>0.181048235160161</v>
      </c>
      <c r="BI6" s="9">
        <v>0.23044700000000001</v>
      </c>
      <c r="BK6" s="10">
        <f>BG6/F6</f>
        <v>0.851118705267909</v>
      </c>
      <c r="BL6" s="10">
        <f>BH6*G6/F6</f>
        <v>0</v>
      </c>
      <c r="BM6" s="10">
        <f>SUM(BK6:BL6)</f>
        <v>0.851118705267909</v>
      </c>
      <c r="BO6" s="10">
        <f>BI6</f>
        <v>0.23044700000000001</v>
      </c>
      <c r="BP6" s="10">
        <f>J6/F6</f>
        <v>0.49816219466116446</v>
      </c>
      <c r="BQ6" s="10">
        <f>I6/F6</f>
        <v>0.12250951060674448</v>
      </c>
      <c r="BR6" s="10">
        <f>SUM(BO6:BQ6)</f>
        <v>0.851118705267909</v>
      </c>
      <c r="BT6" s="1">
        <f t="shared" si="4"/>
        <v>0</v>
      </c>
    </row>
    <row r="7" spans="2:72" x14ac:dyDescent="0.2">
      <c r="B7" s="13" t="s">
        <v>70</v>
      </c>
      <c r="C7" s="12" t="s">
        <v>71</v>
      </c>
      <c r="D7" s="12">
        <v>0.1227</v>
      </c>
      <c r="E7" s="12">
        <v>0.26</v>
      </c>
      <c r="F7" s="12">
        <v>1.5508999999999999</v>
      </c>
      <c r="G7" s="12">
        <v>0</v>
      </c>
      <c r="H7" s="12">
        <v>1.32</v>
      </c>
      <c r="I7" s="12">
        <v>0.83</v>
      </c>
      <c r="J7" s="12">
        <f t="shared" si="2"/>
        <v>0.13259974769999996</v>
      </c>
      <c r="K7" s="18">
        <f t="shared" si="3"/>
        <v>0.13259974769999996</v>
      </c>
      <c r="L7" s="12">
        <v>727064.6</v>
      </c>
      <c r="M7" s="12">
        <v>233553.61</v>
      </c>
      <c r="N7" s="12">
        <v>56.9</v>
      </c>
      <c r="P7" s="15">
        <v>122.135409</v>
      </c>
      <c r="Q7" s="15">
        <v>-10.071578000000001</v>
      </c>
      <c r="R7" s="15"/>
      <c r="S7" s="15">
        <v>73.297528</v>
      </c>
      <c r="T7" s="15">
        <v>77.158259999999999</v>
      </c>
      <c r="U7" s="15">
        <v>59.694023999999999</v>
      </c>
      <c r="V7" s="16"/>
      <c r="W7" s="16"/>
      <c r="X7" s="15">
        <v>26.556269</v>
      </c>
      <c r="Y7" s="15">
        <v>8.6278919999999992</v>
      </c>
      <c r="Z7" s="15"/>
      <c r="AA7" s="16">
        <v>-96.133976000000004</v>
      </c>
      <c r="AB7" s="16">
        <v>-96.133976000000004</v>
      </c>
      <c r="AC7" s="16"/>
      <c r="AD7" s="16"/>
      <c r="AE7" s="16"/>
      <c r="AF7" s="16"/>
      <c r="AG7" s="15">
        <v>4.7546840000000001</v>
      </c>
      <c r="AH7" s="15">
        <v>-0.13628299999999999</v>
      </c>
      <c r="AI7" s="15">
        <v>576.81126900000004</v>
      </c>
      <c r="AJ7" s="15">
        <v>576.81126900000004</v>
      </c>
      <c r="AL7" s="1" t="str">
        <f t="shared" si="0"/>
        <v>SE_Biochemical_CCS_86</v>
      </c>
      <c r="AM7" s="1" t="str">
        <f t="shared" si="0"/>
        <v>Biomass_Agri</v>
      </c>
      <c r="AN7" s="11">
        <f>SUM(AS7:AY7)+BA7+BB7</f>
        <v>96.1191788402638</v>
      </c>
      <c r="AO7" s="11">
        <f>SUM(AS7:AY7)+BD7+BE7</f>
        <v>96.119178840263785</v>
      </c>
      <c r="AP7" s="11">
        <f t="shared" si="1"/>
        <v>26.699771900073276</v>
      </c>
      <c r="AQ7" s="11">
        <f t="shared" si="1"/>
        <v>26.699771900073273</v>
      </c>
      <c r="AR7" s="5">
        <f>AN7-AO7</f>
        <v>0</v>
      </c>
      <c r="AS7" s="1">
        <f>D7/F7*X7*-1</f>
        <v>-2.1010085797279001</v>
      </c>
      <c r="AT7" s="1">
        <f>E7/F7*X7</f>
        <v>4.4520149203688186</v>
      </c>
      <c r="AU7" s="1">
        <f t="array" ref="AU7">_xlfn.IFS(C7="Biomass_Corn", 1/F7*R7, C7="Biomass_Agri", 1/F7*U7, C7="Biomass_Wood", 1/F7*T7, C7="Biomass_Herb", 1/F7*S7)</f>
        <v>38.489924559932938</v>
      </c>
      <c r="AV7" s="1">
        <f>G7/F7*AG7</f>
        <v>0</v>
      </c>
      <c r="AW7" s="1">
        <f>L7/F7/(0.9*8760)</f>
        <v>59.462421109701474</v>
      </c>
      <c r="AX7" s="1">
        <f>M7/F7/(0.9*8760)</f>
        <v>19.101003005112595</v>
      </c>
      <c r="AY7" s="1">
        <f>N7/F7</f>
        <v>36.688374492230317</v>
      </c>
      <c r="AZ7" s="1">
        <f>SUM(BO7:BQ7)-BK7</f>
        <v>0</v>
      </c>
      <c r="BA7" s="1">
        <f>(P7+Q7)*-1*I7/F7</f>
        <v>-59.973550667354431</v>
      </c>
      <c r="BB7" s="1">
        <f>AZ7*P7</f>
        <v>0</v>
      </c>
      <c r="BC7" s="1">
        <f>SUM(BO7:BP7)-BK7</f>
        <v>-0.53517312528209438</v>
      </c>
      <c r="BD7" s="1">
        <f>I7/F7*-1*Q7</f>
        <v>5.3900378747823847</v>
      </c>
      <c r="BE7" s="1">
        <f>BC7*P7</f>
        <v>-65.363588542136839</v>
      </c>
      <c r="BG7" s="9">
        <f>H7</f>
        <v>1.32</v>
      </c>
      <c r="BH7" s="10">
        <v>0.181048235160161</v>
      </c>
      <c r="BI7" s="9">
        <v>0.23044700000000001</v>
      </c>
      <c r="BK7" s="10">
        <f>BG7/F7</f>
        <v>0.851118705267909</v>
      </c>
      <c r="BL7" s="10">
        <f>BH7*G7/F7</f>
        <v>0</v>
      </c>
      <c r="BM7" s="10">
        <f>SUM(BK7:BL7)</f>
        <v>0.851118705267909</v>
      </c>
      <c r="BO7" s="10">
        <f>BI7</f>
        <v>0.23044700000000001</v>
      </c>
      <c r="BP7" s="10">
        <f>J7/F7</f>
        <v>8.5498579985814671E-2</v>
      </c>
      <c r="BQ7" s="10">
        <f>I7/F7</f>
        <v>0.53517312528209426</v>
      </c>
      <c r="BR7" s="10">
        <f>SUM(BO7:BQ7)</f>
        <v>0.851118705267909</v>
      </c>
      <c r="BT7" s="1">
        <f t="shared" si="4"/>
        <v>0</v>
      </c>
    </row>
    <row r="8" spans="2:72" x14ac:dyDescent="0.2">
      <c r="B8" s="13"/>
      <c r="C8" s="12"/>
      <c r="D8" s="12"/>
      <c r="E8" s="12"/>
      <c r="F8" s="12"/>
      <c r="G8" s="12"/>
      <c r="H8" s="12"/>
      <c r="I8" s="12"/>
      <c r="J8" s="12"/>
      <c r="K8" s="18"/>
      <c r="L8" s="12"/>
      <c r="M8" s="12"/>
      <c r="N8" s="12"/>
      <c r="P8" s="15"/>
      <c r="Q8" s="15"/>
      <c r="R8" s="15"/>
      <c r="S8" s="15"/>
      <c r="T8" s="15"/>
      <c r="U8" s="15"/>
      <c r="V8" s="16"/>
      <c r="W8" s="16"/>
      <c r="X8" s="15"/>
      <c r="Y8" s="15"/>
      <c r="Z8" s="15"/>
      <c r="AA8" s="16"/>
      <c r="AB8" s="16"/>
      <c r="AC8" s="16"/>
      <c r="AD8" s="16"/>
      <c r="AE8" s="16"/>
      <c r="AF8" s="16"/>
      <c r="AG8" s="15"/>
      <c r="AH8" s="15"/>
      <c r="AI8" s="15"/>
      <c r="AJ8" s="15"/>
      <c r="AN8" s="11"/>
      <c r="AO8" s="11"/>
      <c r="AP8" s="11"/>
      <c r="AQ8" s="11"/>
      <c r="AR8" s="5"/>
      <c r="BG8" s="9"/>
      <c r="BH8" s="10"/>
      <c r="BI8" s="9"/>
      <c r="BK8" s="10"/>
      <c r="BL8" s="10"/>
      <c r="BM8" s="10"/>
      <c r="BO8" s="10"/>
      <c r="BP8" s="10"/>
      <c r="BQ8" s="10"/>
      <c r="BR8" s="10"/>
    </row>
    <row r="9" spans="2:72" ht="17" customHeight="1" x14ac:dyDescent="0.2">
      <c r="B9" s="13"/>
      <c r="C9" s="12"/>
      <c r="D9" s="12"/>
      <c r="E9" s="12"/>
      <c r="F9" s="12"/>
      <c r="G9" s="12"/>
      <c r="H9" s="12"/>
      <c r="I9" s="12"/>
      <c r="J9" s="12"/>
      <c r="K9" s="18"/>
      <c r="L9" s="12"/>
      <c r="M9" s="12"/>
      <c r="N9" s="12"/>
      <c r="P9" s="15"/>
      <c r="Q9" s="15"/>
      <c r="R9" s="15"/>
      <c r="S9" s="15"/>
      <c r="T9" s="15"/>
      <c r="U9" s="15"/>
      <c r="V9" s="16"/>
      <c r="W9" s="16"/>
      <c r="X9" s="15"/>
      <c r="Y9" s="15"/>
      <c r="Z9" s="15"/>
      <c r="AA9" s="16"/>
      <c r="AB9" s="16"/>
      <c r="AC9" s="16"/>
      <c r="AD9" s="16"/>
      <c r="AE9" s="16"/>
      <c r="AF9" s="16"/>
      <c r="AG9" s="15"/>
      <c r="AH9" s="15"/>
      <c r="AI9" s="15"/>
      <c r="AJ9" s="15"/>
      <c r="AN9" s="11"/>
      <c r="AO9" s="11"/>
      <c r="AP9" s="11"/>
      <c r="AQ9" s="11"/>
      <c r="AR9" s="5"/>
      <c r="BG9" s="9"/>
      <c r="BH9" s="10"/>
      <c r="BI9" s="9"/>
      <c r="BK9" s="10"/>
      <c r="BL9" s="10"/>
      <c r="BM9" s="10"/>
      <c r="BO9" s="10"/>
      <c r="BP9" s="10"/>
      <c r="BQ9" s="10"/>
      <c r="BR9" s="10"/>
    </row>
    <row r="10" spans="2:72" x14ac:dyDescent="0.2">
      <c r="B10" s="13"/>
      <c r="C10" s="12"/>
      <c r="D10" s="12"/>
      <c r="E10" s="12"/>
      <c r="F10" s="12"/>
      <c r="G10" s="12"/>
      <c r="H10" s="12"/>
      <c r="I10" s="12"/>
      <c r="J10" s="12"/>
      <c r="K10" s="18"/>
      <c r="L10" s="12"/>
      <c r="M10" s="12"/>
      <c r="N10" s="12"/>
      <c r="P10" s="15"/>
      <c r="Q10" s="15"/>
      <c r="R10" s="15"/>
      <c r="S10" s="15"/>
      <c r="T10" s="15"/>
      <c r="U10" s="15"/>
      <c r="V10" s="16"/>
      <c r="W10" s="16"/>
      <c r="X10" s="15"/>
      <c r="Y10" s="15"/>
      <c r="Z10" s="15"/>
      <c r="AA10" s="16"/>
      <c r="AB10" s="16"/>
      <c r="AC10" s="16"/>
      <c r="AD10" s="16"/>
      <c r="AE10" s="16"/>
      <c r="AF10" s="16"/>
      <c r="AG10" s="15"/>
      <c r="AH10" s="15"/>
      <c r="AI10" s="15"/>
      <c r="AJ10" s="15"/>
      <c r="AN10" s="11"/>
      <c r="AO10" s="11"/>
      <c r="AP10" s="11"/>
      <c r="AQ10" s="11"/>
      <c r="AR10" s="5"/>
      <c r="BG10" s="9"/>
      <c r="BH10" s="10"/>
      <c r="BI10" s="9"/>
      <c r="BK10" s="10"/>
      <c r="BL10" s="10"/>
      <c r="BM10" s="10"/>
      <c r="BO10" s="10"/>
      <c r="BP10" s="10"/>
      <c r="BQ10" s="10"/>
      <c r="BR10" s="10"/>
    </row>
    <row r="11" spans="2:72" x14ac:dyDescent="0.2">
      <c r="B11" s="13"/>
      <c r="C11" s="12"/>
      <c r="D11" s="12"/>
      <c r="E11" s="12"/>
      <c r="F11" s="12"/>
      <c r="G11" s="12"/>
      <c r="H11" s="12"/>
      <c r="I11" s="12"/>
      <c r="J11" s="12"/>
      <c r="K11" s="18"/>
      <c r="L11" s="12"/>
      <c r="M11" s="12"/>
      <c r="N11" s="12"/>
      <c r="P11" s="15"/>
      <c r="Q11" s="15"/>
      <c r="R11" s="15"/>
      <c r="S11" s="15"/>
      <c r="T11" s="15"/>
      <c r="U11" s="15"/>
      <c r="V11" s="16"/>
      <c r="W11" s="16"/>
      <c r="X11" s="15"/>
      <c r="Y11" s="15"/>
      <c r="Z11" s="15"/>
      <c r="AA11" s="16"/>
      <c r="AB11" s="16"/>
      <c r="AC11" s="16"/>
      <c r="AD11" s="16"/>
      <c r="AE11" s="16"/>
      <c r="AF11" s="16"/>
      <c r="AG11" s="15"/>
      <c r="AH11" s="15"/>
      <c r="AI11" s="15"/>
      <c r="AJ11" s="15"/>
      <c r="AN11" s="11"/>
      <c r="AO11" s="11"/>
      <c r="AP11" s="11"/>
      <c r="AQ11" s="11"/>
      <c r="AR11" s="5"/>
      <c r="BG11" s="9"/>
      <c r="BH11" s="10"/>
      <c r="BI11" s="9"/>
      <c r="BK11" s="10"/>
      <c r="BL11" s="10"/>
      <c r="BM11" s="10"/>
      <c r="BO11" s="10"/>
      <c r="BP11" s="10"/>
      <c r="BQ11" s="10"/>
      <c r="BR11" s="10"/>
    </row>
    <row r="12" spans="2:72" x14ac:dyDescent="0.2">
      <c r="B12" s="13"/>
      <c r="C12" s="12"/>
      <c r="D12" s="12"/>
      <c r="E12" s="12"/>
      <c r="F12" s="12"/>
      <c r="G12" s="12"/>
      <c r="H12" s="12"/>
      <c r="I12" s="12"/>
      <c r="J12" s="12"/>
      <c r="K12" s="18"/>
      <c r="L12" s="12"/>
      <c r="M12" s="12"/>
      <c r="N12" s="12"/>
      <c r="P12" s="15"/>
      <c r="Q12" s="15"/>
      <c r="R12" s="15"/>
      <c r="S12" s="15"/>
      <c r="T12" s="15"/>
      <c r="U12" s="15"/>
      <c r="V12" s="16"/>
      <c r="W12" s="16"/>
      <c r="X12" s="15"/>
      <c r="Y12" s="15"/>
      <c r="Z12" s="15"/>
      <c r="AA12" s="16"/>
      <c r="AB12" s="16"/>
      <c r="AC12" s="16"/>
      <c r="AD12" s="16"/>
      <c r="AE12" s="16"/>
      <c r="AF12" s="16"/>
      <c r="AG12" s="15"/>
      <c r="AH12" s="15"/>
      <c r="AI12" s="15"/>
      <c r="AJ12" s="15"/>
      <c r="AN12" s="11"/>
      <c r="AO12" s="11"/>
      <c r="AP12" s="11"/>
      <c r="AQ12" s="11"/>
      <c r="AR12" s="5"/>
      <c r="BG12" s="9"/>
      <c r="BH12" s="10"/>
      <c r="BI12" s="9"/>
      <c r="BK12" s="10"/>
      <c r="BL12" s="10"/>
      <c r="BM12" s="10"/>
      <c r="BO12" s="10"/>
      <c r="BP12" s="10"/>
      <c r="BQ12" s="10"/>
      <c r="BR12" s="10"/>
    </row>
    <row r="13" spans="2:72" x14ac:dyDescent="0.2">
      <c r="B13" s="13"/>
      <c r="C13" s="12"/>
      <c r="D13" s="12"/>
      <c r="E13" s="12"/>
      <c r="F13" s="12"/>
      <c r="G13" s="12"/>
      <c r="H13" s="12"/>
      <c r="I13" s="12"/>
      <c r="J13" s="12"/>
      <c r="K13" s="18"/>
      <c r="L13" s="12"/>
      <c r="M13" s="12"/>
      <c r="N13" s="12"/>
      <c r="P13" s="15"/>
      <c r="Q13" s="15"/>
      <c r="R13" s="15"/>
      <c r="S13" s="15"/>
      <c r="T13" s="15"/>
      <c r="U13" s="15"/>
      <c r="V13" s="16"/>
      <c r="W13" s="16"/>
      <c r="X13" s="15"/>
      <c r="Y13" s="15"/>
      <c r="Z13" s="15"/>
      <c r="AA13" s="16"/>
      <c r="AB13" s="16"/>
      <c r="AC13" s="16"/>
      <c r="AD13" s="16"/>
      <c r="AE13" s="16"/>
      <c r="AF13" s="16"/>
      <c r="AG13" s="15"/>
      <c r="AH13" s="15"/>
      <c r="AI13" s="15"/>
      <c r="AJ13" s="15"/>
      <c r="AN13" s="11"/>
      <c r="AO13" s="11"/>
      <c r="AP13" s="11"/>
      <c r="AQ13" s="11"/>
      <c r="AR13" s="5"/>
      <c r="BG13" s="9"/>
      <c r="BH13" s="10"/>
      <c r="BI13" s="9"/>
      <c r="BK13" s="10"/>
      <c r="BL13" s="10"/>
      <c r="BM13" s="10"/>
      <c r="BO13" s="10"/>
      <c r="BP13" s="10"/>
      <c r="BQ13" s="10"/>
      <c r="BR13" s="10"/>
    </row>
    <row r="14" spans="2:72" x14ac:dyDescent="0.2">
      <c r="B14" s="13"/>
      <c r="C14" s="12"/>
      <c r="D14" s="12"/>
      <c r="E14" s="12"/>
      <c r="F14" s="12"/>
      <c r="G14" s="12"/>
      <c r="H14" s="12"/>
      <c r="I14" s="12"/>
      <c r="J14" s="12"/>
      <c r="K14" s="18"/>
      <c r="L14" s="12"/>
      <c r="M14" s="12"/>
      <c r="N14" s="12"/>
      <c r="P14" s="15"/>
      <c r="Q14" s="15"/>
      <c r="R14" s="15"/>
      <c r="S14" s="15"/>
      <c r="T14" s="15"/>
      <c r="U14" s="15"/>
      <c r="V14" s="16"/>
      <c r="W14" s="16"/>
      <c r="X14" s="15"/>
      <c r="Y14" s="15"/>
      <c r="Z14" s="15"/>
      <c r="AA14" s="16"/>
      <c r="AB14" s="16"/>
      <c r="AC14" s="16"/>
      <c r="AD14" s="16"/>
      <c r="AE14" s="16"/>
      <c r="AF14" s="16"/>
      <c r="AG14" s="15"/>
      <c r="AH14" s="15"/>
      <c r="AI14" s="15"/>
      <c r="AJ14" s="15"/>
      <c r="AN14" s="11"/>
      <c r="AO14" s="11"/>
      <c r="AP14" s="11"/>
      <c r="AQ14" s="11"/>
      <c r="AR14" s="5"/>
      <c r="BG14" s="9"/>
      <c r="BH14" s="10"/>
      <c r="BI14" s="9"/>
      <c r="BK14" s="10"/>
      <c r="BL14" s="10"/>
      <c r="BM14" s="10"/>
      <c r="BO14" s="10"/>
      <c r="BP14" s="10"/>
      <c r="BQ14" s="10"/>
      <c r="BR14" s="10"/>
    </row>
    <row r="15" spans="2:72" x14ac:dyDescent="0.2">
      <c r="B15" s="13"/>
      <c r="C15" s="12"/>
      <c r="D15" s="12"/>
      <c r="E15" s="12"/>
      <c r="F15" s="12"/>
      <c r="G15" s="12"/>
      <c r="H15" s="12"/>
      <c r="I15" s="12"/>
      <c r="J15" s="12"/>
      <c r="K15" s="18"/>
      <c r="L15" s="12"/>
      <c r="M15" s="12"/>
      <c r="N15" s="12"/>
      <c r="P15" s="15"/>
      <c r="Q15" s="15"/>
      <c r="R15" s="15"/>
      <c r="S15" s="15"/>
      <c r="T15" s="15"/>
      <c r="U15" s="15"/>
      <c r="V15" s="16"/>
      <c r="W15" s="16"/>
      <c r="X15" s="15"/>
      <c r="Y15" s="15"/>
      <c r="Z15" s="15"/>
      <c r="AA15" s="16"/>
      <c r="AB15" s="16"/>
      <c r="AC15" s="16"/>
      <c r="AD15" s="16"/>
      <c r="AE15" s="16"/>
      <c r="AF15" s="16"/>
      <c r="AG15" s="15"/>
      <c r="AH15" s="15"/>
      <c r="AI15" s="15"/>
      <c r="AJ15" s="15"/>
      <c r="AN15" s="11"/>
      <c r="AO15" s="11"/>
      <c r="AP15" s="11"/>
      <c r="AQ15" s="11"/>
      <c r="AR15" s="5"/>
      <c r="BG15" s="9"/>
      <c r="BH15" s="10"/>
      <c r="BI15" s="9"/>
      <c r="BK15" s="10"/>
      <c r="BL15" s="10"/>
      <c r="BM15" s="10"/>
      <c r="BO15" s="10"/>
      <c r="BP15" s="10"/>
      <c r="BQ15" s="10"/>
      <c r="BR15" s="10"/>
    </row>
    <row r="16" spans="2:72" x14ac:dyDescent="0.2">
      <c r="B16" s="13"/>
      <c r="C16" s="12"/>
      <c r="D16" s="12"/>
      <c r="E16" s="12"/>
      <c r="F16" s="12"/>
      <c r="G16" s="12"/>
      <c r="H16" s="12"/>
      <c r="I16" s="12"/>
      <c r="J16" s="12"/>
      <c r="K16" s="18"/>
      <c r="L16" s="12"/>
      <c r="M16" s="12"/>
      <c r="N16" s="12"/>
      <c r="P16" s="15"/>
      <c r="Q16" s="15"/>
      <c r="R16" s="15"/>
      <c r="S16" s="15"/>
      <c r="T16" s="15"/>
      <c r="U16" s="15"/>
      <c r="V16" s="16"/>
      <c r="W16" s="16"/>
      <c r="X16" s="15"/>
      <c r="Y16" s="15"/>
      <c r="Z16" s="15"/>
      <c r="AA16" s="16"/>
      <c r="AB16" s="16"/>
      <c r="AC16" s="16"/>
      <c r="AD16" s="16"/>
      <c r="AE16" s="16"/>
      <c r="AF16" s="16"/>
      <c r="AG16" s="15"/>
      <c r="AH16" s="15"/>
      <c r="AI16" s="15"/>
      <c r="AJ16" s="15"/>
      <c r="AN16" s="11"/>
      <c r="AO16" s="11"/>
      <c r="AP16" s="11"/>
      <c r="AQ16" s="11"/>
      <c r="AR16" s="5"/>
      <c r="BG16" s="9"/>
      <c r="BH16" s="10"/>
      <c r="BI16" s="9"/>
      <c r="BK16" s="10"/>
      <c r="BL16" s="10"/>
      <c r="BM16" s="10"/>
      <c r="BO16" s="10"/>
      <c r="BP16" s="10"/>
      <c r="BQ16" s="10"/>
      <c r="BR16" s="10"/>
    </row>
    <row r="17" spans="2:70" x14ac:dyDescent="0.2">
      <c r="B17" s="13"/>
      <c r="C17" s="12"/>
      <c r="D17" s="12"/>
      <c r="E17" s="12"/>
      <c r="F17" s="12"/>
      <c r="G17" s="12"/>
      <c r="H17" s="12"/>
      <c r="I17" s="12"/>
      <c r="J17" s="12"/>
      <c r="K17" s="18"/>
      <c r="L17" s="12"/>
      <c r="M17" s="12"/>
      <c r="N17" s="12"/>
      <c r="P17" s="15"/>
      <c r="Q17" s="15"/>
      <c r="R17" s="15"/>
      <c r="S17" s="15"/>
      <c r="T17" s="15"/>
      <c r="U17" s="15"/>
      <c r="V17" s="16"/>
      <c r="W17" s="16"/>
      <c r="X17" s="15"/>
      <c r="Y17" s="15"/>
      <c r="Z17" s="15"/>
      <c r="AA17" s="16"/>
      <c r="AB17" s="16"/>
      <c r="AC17" s="16"/>
      <c r="AD17" s="16"/>
      <c r="AE17" s="16"/>
      <c r="AF17" s="16"/>
      <c r="AG17" s="15"/>
      <c r="AH17" s="15"/>
      <c r="AI17" s="15"/>
      <c r="AJ17" s="15"/>
      <c r="AN17" s="11"/>
      <c r="AO17" s="11"/>
      <c r="AP17" s="11"/>
      <c r="AQ17" s="11"/>
      <c r="AR17" s="5"/>
      <c r="BG17" s="9"/>
      <c r="BH17" s="10"/>
      <c r="BI17" s="9"/>
      <c r="BK17" s="10"/>
      <c r="BL17" s="10"/>
      <c r="BM17" s="10"/>
      <c r="BO17" s="10"/>
      <c r="BP17" s="10"/>
      <c r="BQ17" s="10"/>
      <c r="BR17" s="10"/>
    </row>
    <row r="18" spans="2:70" x14ac:dyDescent="0.2">
      <c r="B18" s="13"/>
      <c r="C18" s="12"/>
      <c r="D18" s="12"/>
      <c r="E18" s="12"/>
      <c r="F18" s="12"/>
      <c r="G18" s="12"/>
      <c r="H18" s="12"/>
      <c r="I18" s="12"/>
      <c r="J18" s="12"/>
      <c r="K18" s="18"/>
      <c r="L18" s="12"/>
      <c r="M18" s="12"/>
      <c r="N18" s="12"/>
      <c r="P18" s="15"/>
      <c r="Q18" s="15"/>
      <c r="R18" s="15"/>
      <c r="S18" s="15"/>
      <c r="T18" s="15"/>
      <c r="U18" s="15"/>
      <c r="V18" s="16"/>
      <c r="W18" s="16"/>
      <c r="X18" s="15"/>
      <c r="Y18" s="15"/>
      <c r="Z18" s="15"/>
      <c r="AA18" s="16"/>
      <c r="AB18" s="16"/>
      <c r="AC18" s="16"/>
      <c r="AD18" s="16"/>
      <c r="AE18" s="16"/>
      <c r="AF18" s="16"/>
      <c r="AG18" s="15"/>
      <c r="AH18" s="15"/>
      <c r="AI18" s="15"/>
      <c r="AJ18" s="15"/>
      <c r="AN18" s="11"/>
      <c r="AO18" s="11"/>
      <c r="AP18" s="11"/>
      <c r="AQ18" s="11"/>
      <c r="AR18" s="5"/>
      <c r="BG18" s="9"/>
      <c r="BH18" s="10"/>
      <c r="BI18" s="9"/>
      <c r="BK18" s="10"/>
      <c r="BL18" s="10"/>
      <c r="BM18" s="10"/>
      <c r="BO18" s="10"/>
      <c r="BP18" s="10"/>
      <c r="BQ18" s="10"/>
      <c r="BR18" s="10"/>
    </row>
    <row r="19" spans="2:70" x14ac:dyDescent="0.2">
      <c r="B19" s="13"/>
      <c r="C19" s="12"/>
      <c r="D19" s="12"/>
      <c r="E19" s="12"/>
      <c r="F19" s="12"/>
      <c r="G19" s="12"/>
      <c r="H19" s="12"/>
      <c r="I19" s="12"/>
      <c r="J19" s="12"/>
      <c r="K19" s="18"/>
      <c r="L19" s="12"/>
      <c r="M19" s="12"/>
      <c r="N19" s="12"/>
      <c r="P19" s="15"/>
      <c r="Q19" s="15"/>
      <c r="R19" s="15"/>
      <c r="S19" s="15"/>
      <c r="T19" s="15"/>
      <c r="U19" s="15"/>
      <c r="V19" s="16"/>
      <c r="W19" s="16"/>
      <c r="X19" s="15"/>
      <c r="Y19" s="15"/>
      <c r="Z19" s="15"/>
      <c r="AA19" s="16"/>
      <c r="AB19" s="16"/>
      <c r="AC19" s="16"/>
      <c r="AD19" s="16"/>
      <c r="AE19" s="16"/>
      <c r="AF19" s="16"/>
      <c r="AG19" s="15"/>
      <c r="AH19" s="15"/>
      <c r="AI19" s="15"/>
      <c r="AJ19" s="15"/>
      <c r="AN19" s="11"/>
      <c r="AO19" s="11"/>
      <c r="AP19" s="11"/>
      <c r="AQ19" s="11"/>
      <c r="AR19" s="5"/>
      <c r="BG19" s="9"/>
      <c r="BH19" s="10"/>
      <c r="BI19" s="9"/>
      <c r="BK19" s="10"/>
      <c r="BL19" s="10"/>
      <c r="BM19" s="10"/>
      <c r="BO19" s="10"/>
      <c r="BP19" s="10"/>
      <c r="BQ19" s="10"/>
      <c r="BR19" s="10"/>
    </row>
    <row r="20" spans="2:70" x14ac:dyDescent="0.2">
      <c r="B20" s="13"/>
      <c r="C20" s="12"/>
      <c r="D20" s="12"/>
      <c r="E20" s="12"/>
      <c r="F20" s="12"/>
      <c r="G20" s="12"/>
      <c r="H20" s="12"/>
      <c r="I20" s="12"/>
      <c r="J20" s="12"/>
      <c r="K20" s="18"/>
      <c r="L20" s="12"/>
      <c r="M20" s="12"/>
      <c r="N20" s="12"/>
      <c r="P20" s="15"/>
      <c r="Q20" s="15"/>
      <c r="R20" s="15"/>
      <c r="S20" s="15"/>
      <c r="T20" s="15"/>
      <c r="U20" s="15"/>
      <c r="V20" s="16"/>
      <c r="W20" s="16"/>
      <c r="X20" s="15"/>
      <c r="Y20" s="15"/>
      <c r="Z20" s="15"/>
      <c r="AA20" s="16"/>
      <c r="AB20" s="16"/>
      <c r="AC20" s="16"/>
      <c r="AD20" s="16"/>
      <c r="AE20" s="16"/>
      <c r="AF20" s="16"/>
      <c r="AG20" s="15"/>
      <c r="AH20" s="15"/>
      <c r="AI20" s="15"/>
      <c r="AJ20" s="15"/>
      <c r="AN20" s="11"/>
      <c r="AO20" s="11"/>
      <c r="AP20" s="11"/>
      <c r="AQ20" s="11"/>
      <c r="AR20" s="5"/>
      <c r="BG20" s="9"/>
      <c r="BH20" s="10"/>
      <c r="BI20" s="9"/>
      <c r="BK20" s="10"/>
      <c r="BL20" s="10"/>
      <c r="BM20" s="10"/>
      <c r="BO20" s="10"/>
      <c r="BP20" s="10"/>
      <c r="BQ20" s="10"/>
      <c r="BR20" s="10"/>
    </row>
    <row r="21" spans="2:70" x14ac:dyDescent="0.2">
      <c r="B21" s="13"/>
      <c r="C21" s="12"/>
      <c r="D21" s="12"/>
      <c r="E21" s="12"/>
      <c r="F21" s="12"/>
      <c r="G21" s="12"/>
      <c r="H21" s="12"/>
      <c r="I21" s="12"/>
      <c r="J21" s="12"/>
      <c r="K21" s="18"/>
      <c r="L21" s="12"/>
      <c r="M21" s="12"/>
      <c r="N21" s="12"/>
      <c r="P21" s="15"/>
      <c r="Q21" s="15"/>
      <c r="R21" s="15"/>
      <c r="S21" s="15"/>
      <c r="T21" s="15"/>
      <c r="U21" s="15"/>
      <c r="V21" s="16"/>
      <c r="W21" s="16"/>
      <c r="X21" s="15"/>
      <c r="Y21" s="15"/>
      <c r="Z21" s="15"/>
      <c r="AA21" s="16"/>
      <c r="AB21" s="16"/>
      <c r="AC21" s="16"/>
      <c r="AD21" s="16"/>
      <c r="AE21" s="16"/>
      <c r="AF21" s="16"/>
      <c r="AG21" s="15"/>
      <c r="AH21" s="15"/>
      <c r="AI21" s="15"/>
      <c r="AJ21" s="15"/>
      <c r="AN21" s="11"/>
      <c r="AO21" s="11"/>
      <c r="AP21" s="11"/>
      <c r="AQ21" s="11"/>
      <c r="AR21" s="5"/>
      <c r="BG21" s="9"/>
      <c r="BH21" s="10"/>
      <c r="BI21" s="9"/>
      <c r="BK21" s="10"/>
      <c r="BL21" s="10"/>
      <c r="BM21" s="10"/>
      <c r="BO21" s="10"/>
      <c r="BP21" s="10"/>
      <c r="BQ21" s="10"/>
      <c r="BR21" s="10"/>
    </row>
    <row r="22" spans="2:70" x14ac:dyDescent="0.2">
      <c r="B22" s="13"/>
      <c r="C22" s="12"/>
      <c r="D22" s="12"/>
      <c r="E22" s="12"/>
      <c r="F22" s="12"/>
      <c r="G22" s="12"/>
      <c r="H22" s="12"/>
      <c r="I22" s="12"/>
      <c r="J22" s="12"/>
      <c r="K22" s="18"/>
      <c r="L22" s="12"/>
      <c r="M22" s="12"/>
      <c r="N22" s="12"/>
      <c r="P22" s="15"/>
      <c r="Q22" s="15"/>
      <c r="R22" s="15"/>
      <c r="S22" s="15"/>
      <c r="T22" s="15"/>
      <c r="U22" s="15"/>
      <c r="V22" s="16"/>
      <c r="W22" s="16"/>
      <c r="X22" s="15"/>
      <c r="Y22" s="15"/>
      <c r="Z22" s="15"/>
      <c r="AA22" s="16"/>
      <c r="AB22" s="16"/>
      <c r="AC22" s="16"/>
      <c r="AD22" s="16"/>
      <c r="AE22" s="16"/>
      <c r="AF22" s="16"/>
      <c r="AG22" s="15"/>
      <c r="AH22" s="15"/>
      <c r="AI22" s="15"/>
      <c r="AJ22" s="15"/>
      <c r="AN22" s="11"/>
      <c r="AO22" s="11"/>
      <c r="AP22" s="11"/>
      <c r="AQ22" s="11"/>
      <c r="AR22" s="5"/>
      <c r="BG22" s="9"/>
      <c r="BH22" s="10"/>
      <c r="BI22" s="9"/>
      <c r="BK22" s="10"/>
      <c r="BL22" s="10"/>
      <c r="BM22" s="10"/>
      <c r="BO22" s="10"/>
      <c r="BP22" s="10"/>
      <c r="BQ22" s="10"/>
      <c r="BR22" s="10"/>
    </row>
    <row r="23" spans="2:70" x14ac:dyDescent="0.2">
      <c r="B23" s="13"/>
      <c r="C23" s="12"/>
      <c r="D23" s="12"/>
      <c r="E23" s="12"/>
      <c r="F23" s="12"/>
      <c r="G23" s="12"/>
      <c r="H23" s="12"/>
      <c r="I23" s="12"/>
      <c r="J23" s="12"/>
      <c r="K23" s="18"/>
      <c r="L23" s="12"/>
      <c r="M23" s="12"/>
      <c r="N23" s="12"/>
      <c r="P23" s="15"/>
      <c r="Q23" s="15"/>
      <c r="R23" s="15"/>
      <c r="S23" s="15"/>
      <c r="T23" s="15"/>
      <c r="U23" s="15"/>
      <c r="V23" s="16"/>
      <c r="W23" s="16"/>
      <c r="X23" s="15"/>
      <c r="Y23" s="15"/>
      <c r="Z23" s="15"/>
      <c r="AA23" s="16"/>
      <c r="AB23" s="16"/>
      <c r="AC23" s="16"/>
      <c r="AD23" s="16"/>
      <c r="AE23" s="16"/>
      <c r="AF23" s="16"/>
      <c r="AG23" s="15"/>
      <c r="AH23" s="15"/>
      <c r="AI23" s="15"/>
      <c r="AJ23" s="15"/>
      <c r="AN23" s="11"/>
      <c r="AO23" s="11"/>
      <c r="AP23" s="11"/>
      <c r="AQ23" s="11"/>
      <c r="AR23" s="5"/>
      <c r="BG23" s="9"/>
      <c r="BH23" s="10"/>
      <c r="BI23" s="9"/>
      <c r="BK23" s="10"/>
      <c r="BL23" s="10"/>
      <c r="BM23" s="10"/>
      <c r="BO23" s="10"/>
      <c r="BP23" s="10"/>
      <c r="BQ23" s="10"/>
      <c r="BR23" s="10"/>
    </row>
    <row r="24" spans="2:70" x14ac:dyDescent="0.2">
      <c r="B24" s="13"/>
      <c r="C24" s="12"/>
      <c r="D24" s="12"/>
      <c r="E24" s="12"/>
      <c r="F24" s="12"/>
      <c r="G24" s="12"/>
      <c r="H24" s="12"/>
      <c r="I24" s="12"/>
      <c r="J24" s="12"/>
      <c r="K24" s="18"/>
      <c r="L24" s="12"/>
      <c r="M24" s="12"/>
      <c r="N24" s="12"/>
      <c r="P24" s="15"/>
      <c r="Q24" s="15"/>
      <c r="R24" s="15"/>
      <c r="S24" s="15"/>
      <c r="T24" s="15"/>
      <c r="U24" s="15"/>
      <c r="V24" s="16"/>
      <c r="W24" s="16"/>
      <c r="X24" s="15"/>
      <c r="Y24" s="15"/>
      <c r="Z24" s="15"/>
      <c r="AA24" s="16"/>
      <c r="AB24" s="16"/>
      <c r="AC24" s="16"/>
      <c r="AD24" s="16"/>
      <c r="AE24" s="16"/>
      <c r="AF24" s="16"/>
      <c r="AG24" s="15"/>
      <c r="AH24" s="15"/>
      <c r="AI24" s="15"/>
      <c r="AJ24" s="15"/>
      <c r="AN24" s="11"/>
      <c r="AO24" s="11"/>
      <c r="AP24" s="11"/>
      <c r="AQ24" s="11"/>
      <c r="AR24" s="5"/>
      <c r="BG24" s="9"/>
      <c r="BH24" s="10"/>
      <c r="BI24" s="9"/>
      <c r="BK24" s="10"/>
      <c r="BL24" s="10"/>
      <c r="BM24" s="10"/>
      <c r="BO24" s="10"/>
      <c r="BP24" s="10"/>
      <c r="BQ24" s="10"/>
      <c r="BR24" s="10"/>
    </row>
    <row r="25" spans="2:70" x14ac:dyDescent="0.2">
      <c r="B25" s="13"/>
      <c r="C25" s="12"/>
      <c r="D25" s="12"/>
      <c r="E25" s="12"/>
      <c r="F25" s="12"/>
      <c r="G25" s="12"/>
      <c r="H25" s="12"/>
      <c r="I25" s="12"/>
      <c r="J25" s="12"/>
      <c r="K25" s="18"/>
      <c r="L25" s="12"/>
      <c r="M25" s="12"/>
      <c r="N25" s="12"/>
      <c r="P25" s="15"/>
      <c r="Q25" s="15"/>
      <c r="R25" s="15"/>
      <c r="S25" s="15"/>
      <c r="T25" s="15"/>
      <c r="U25" s="15"/>
      <c r="V25" s="16"/>
      <c r="W25" s="16"/>
      <c r="X25" s="15"/>
      <c r="Y25" s="15"/>
      <c r="Z25" s="15"/>
      <c r="AA25" s="16"/>
      <c r="AB25" s="16"/>
      <c r="AC25" s="16"/>
      <c r="AD25" s="16"/>
      <c r="AE25" s="16"/>
      <c r="AF25" s="16"/>
      <c r="AG25" s="15"/>
      <c r="AH25" s="15"/>
      <c r="AI25" s="15"/>
      <c r="AJ25" s="15"/>
      <c r="AN25" s="11"/>
      <c r="AO25" s="11"/>
      <c r="AP25" s="11"/>
      <c r="AQ25" s="11"/>
      <c r="AR25" s="5"/>
      <c r="BG25" s="9"/>
      <c r="BH25" s="10"/>
      <c r="BI25" s="9"/>
      <c r="BK25" s="10"/>
      <c r="BL25" s="10"/>
      <c r="BM25" s="10"/>
      <c r="BO25" s="10"/>
      <c r="BP25" s="10"/>
      <c r="BQ25" s="10"/>
      <c r="BR25" s="10"/>
    </row>
    <row r="26" spans="2:70" x14ac:dyDescent="0.2">
      <c r="B26" s="13"/>
      <c r="C26" s="12"/>
      <c r="D26" s="12"/>
      <c r="E26" s="12"/>
      <c r="F26" s="12"/>
      <c r="G26" s="12"/>
      <c r="H26" s="12"/>
      <c r="I26" s="12"/>
      <c r="J26" s="12"/>
      <c r="K26" s="18"/>
      <c r="L26" s="12"/>
      <c r="M26" s="12"/>
      <c r="N26" s="12"/>
      <c r="P26" s="15"/>
      <c r="Q26" s="15"/>
      <c r="R26" s="15"/>
      <c r="S26" s="15"/>
      <c r="T26" s="15"/>
      <c r="U26" s="15"/>
      <c r="V26" s="16"/>
      <c r="W26" s="16"/>
      <c r="X26" s="15"/>
      <c r="Y26" s="15"/>
      <c r="Z26" s="15"/>
      <c r="AA26" s="16"/>
      <c r="AB26" s="16"/>
      <c r="AC26" s="16"/>
      <c r="AD26" s="16"/>
      <c r="AE26" s="16"/>
      <c r="AF26" s="16"/>
      <c r="AG26" s="15"/>
      <c r="AH26" s="15"/>
      <c r="AI26" s="15"/>
      <c r="AJ26" s="15"/>
      <c r="AN26" s="11"/>
      <c r="AO26" s="11"/>
      <c r="AP26" s="11"/>
      <c r="AQ26" s="11"/>
      <c r="AR26" s="5"/>
      <c r="BG26" s="9"/>
      <c r="BH26" s="10"/>
      <c r="BI26" s="9"/>
      <c r="BK26" s="10"/>
      <c r="BL26" s="10"/>
      <c r="BM26" s="10"/>
      <c r="BO26" s="10"/>
      <c r="BP26" s="10"/>
      <c r="BQ26" s="10"/>
      <c r="BR26" s="10"/>
    </row>
    <row r="27" spans="2:70" x14ac:dyDescent="0.2">
      <c r="B27" s="13"/>
      <c r="C27" s="12"/>
      <c r="D27" s="12"/>
      <c r="E27" s="12"/>
      <c r="F27" s="12"/>
      <c r="G27" s="12"/>
      <c r="H27" s="12"/>
      <c r="I27" s="12"/>
      <c r="J27" s="12"/>
      <c r="K27" s="18"/>
      <c r="L27" s="12"/>
      <c r="M27" s="12"/>
      <c r="N27" s="12"/>
      <c r="P27" s="15"/>
      <c r="Q27" s="15"/>
      <c r="R27" s="15"/>
      <c r="S27" s="15"/>
      <c r="T27" s="15"/>
      <c r="U27" s="15"/>
      <c r="V27" s="16"/>
      <c r="W27" s="16"/>
      <c r="X27" s="15"/>
      <c r="Y27" s="15"/>
      <c r="Z27" s="15"/>
      <c r="AA27" s="16"/>
      <c r="AB27" s="16"/>
      <c r="AC27" s="16"/>
      <c r="AD27" s="16"/>
      <c r="AE27" s="16"/>
      <c r="AF27" s="16"/>
      <c r="AG27" s="15"/>
      <c r="AH27" s="15"/>
      <c r="AI27" s="15"/>
      <c r="AJ27" s="15"/>
      <c r="AN27" s="11"/>
      <c r="AO27" s="11"/>
      <c r="AP27" s="11"/>
      <c r="AQ27" s="11"/>
      <c r="AR27" s="5"/>
      <c r="BG27" s="9"/>
      <c r="BH27" s="10"/>
      <c r="BI27" s="9"/>
      <c r="BK27" s="10"/>
      <c r="BL27" s="10"/>
      <c r="BM27" s="10"/>
      <c r="BO27" s="10"/>
      <c r="BP27" s="10"/>
      <c r="BQ27" s="10"/>
      <c r="BR27" s="10"/>
    </row>
    <row r="28" spans="2:70" x14ac:dyDescent="0.2">
      <c r="B28" s="13"/>
      <c r="C28" s="12"/>
      <c r="D28" s="12"/>
      <c r="E28" s="12"/>
      <c r="F28" s="12"/>
      <c r="G28" s="12"/>
      <c r="H28" s="12"/>
      <c r="I28" s="12"/>
      <c r="J28" s="12"/>
      <c r="K28" s="18"/>
      <c r="L28" s="12"/>
      <c r="M28" s="12"/>
      <c r="N28" s="12"/>
      <c r="P28" s="15"/>
      <c r="Q28" s="15"/>
      <c r="R28" s="15"/>
      <c r="S28" s="15"/>
      <c r="T28" s="15"/>
      <c r="U28" s="15"/>
      <c r="V28" s="16"/>
      <c r="W28" s="16"/>
      <c r="X28" s="15"/>
      <c r="Y28" s="15"/>
      <c r="Z28" s="15"/>
      <c r="AA28" s="16"/>
      <c r="AB28" s="16"/>
      <c r="AC28" s="16"/>
      <c r="AD28" s="16"/>
      <c r="AE28" s="16"/>
      <c r="AF28" s="16"/>
      <c r="AG28" s="15"/>
      <c r="AH28" s="15"/>
      <c r="AI28" s="15"/>
      <c r="AJ28" s="15"/>
      <c r="AN28" s="11"/>
      <c r="AO28" s="11"/>
      <c r="AP28" s="11"/>
      <c r="AQ28" s="11"/>
      <c r="AR28" s="5"/>
      <c r="BG28" s="9"/>
      <c r="BH28" s="10"/>
      <c r="BI28" s="9"/>
      <c r="BK28" s="10"/>
      <c r="BL28" s="10"/>
      <c r="BM28" s="10"/>
      <c r="BO28" s="10"/>
      <c r="BP28" s="10"/>
      <c r="BQ28" s="10"/>
      <c r="BR28" s="10"/>
    </row>
    <row r="29" spans="2:70" x14ac:dyDescent="0.2">
      <c r="B29" s="13"/>
      <c r="C29" s="12"/>
      <c r="D29" s="12"/>
      <c r="E29" s="12"/>
      <c r="F29" s="12"/>
      <c r="G29" s="12"/>
      <c r="H29" s="12"/>
      <c r="I29" s="12"/>
      <c r="J29" s="12"/>
      <c r="K29" s="18"/>
      <c r="L29" s="12"/>
      <c r="M29" s="12"/>
      <c r="N29" s="12"/>
      <c r="P29" s="15"/>
      <c r="Q29" s="15"/>
      <c r="R29" s="15"/>
      <c r="S29" s="15"/>
      <c r="T29" s="15"/>
      <c r="U29" s="15"/>
      <c r="V29" s="16"/>
      <c r="W29" s="16"/>
      <c r="X29" s="15"/>
      <c r="Y29" s="15"/>
      <c r="Z29" s="15"/>
      <c r="AA29" s="16"/>
      <c r="AB29" s="16"/>
      <c r="AC29" s="16"/>
      <c r="AD29" s="16"/>
      <c r="AE29" s="16"/>
      <c r="AF29" s="16"/>
      <c r="AG29" s="15"/>
      <c r="AH29" s="15"/>
      <c r="AI29" s="15"/>
      <c r="AJ29" s="15"/>
      <c r="AN29" s="11"/>
      <c r="AO29" s="11"/>
      <c r="AP29" s="11"/>
      <c r="AQ29" s="11"/>
      <c r="AR29" s="5"/>
      <c r="BG29" s="9"/>
      <c r="BH29" s="10"/>
      <c r="BI29" s="9"/>
      <c r="BK29" s="10"/>
      <c r="BL29" s="10"/>
      <c r="BM29" s="10"/>
      <c r="BO29" s="10"/>
      <c r="BP29" s="10"/>
      <c r="BQ29" s="10"/>
      <c r="BR29" s="10"/>
    </row>
    <row r="30" spans="2:70" x14ac:dyDescent="0.2">
      <c r="B30" s="13"/>
      <c r="C30" s="12"/>
      <c r="D30" s="12"/>
      <c r="E30" s="12"/>
      <c r="F30" s="12"/>
      <c r="G30" s="12"/>
      <c r="H30" s="12"/>
      <c r="I30" s="12"/>
      <c r="J30" s="12"/>
      <c r="K30" s="18"/>
      <c r="L30" s="12"/>
      <c r="M30" s="12"/>
      <c r="N30" s="12"/>
      <c r="P30" s="15"/>
      <c r="Q30" s="15"/>
      <c r="R30" s="15"/>
      <c r="S30" s="15"/>
      <c r="T30" s="15"/>
      <c r="U30" s="15"/>
      <c r="V30" s="16"/>
      <c r="W30" s="16"/>
      <c r="X30" s="15"/>
      <c r="Y30" s="15"/>
      <c r="Z30" s="15"/>
      <c r="AA30" s="16"/>
      <c r="AB30" s="16"/>
      <c r="AC30" s="16"/>
      <c r="AD30" s="16"/>
      <c r="AE30" s="16"/>
      <c r="AF30" s="16"/>
      <c r="AG30" s="15"/>
      <c r="AH30" s="15"/>
      <c r="AI30" s="15"/>
      <c r="AJ30" s="15"/>
      <c r="AN30" s="11"/>
      <c r="AO30" s="11"/>
      <c r="AP30" s="11"/>
      <c r="AQ30" s="11"/>
      <c r="AR30" s="5"/>
      <c r="BG30" s="9"/>
      <c r="BH30" s="10"/>
      <c r="BI30" s="9"/>
      <c r="BK30" s="10"/>
      <c r="BL30" s="10"/>
      <c r="BM30" s="10"/>
      <c r="BO30" s="10"/>
      <c r="BP30" s="10"/>
      <c r="BQ30" s="10"/>
      <c r="BR30" s="10"/>
    </row>
    <row r="31" spans="2:70" x14ac:dyDescent="0.2">
      <c r="B31" s="13"/>
      <c r="C31" s="12"/>
      <c r="D31" s="12"/>
      <c r="E31" s="12"/>
      <c r="F31" s="12"/>
      <c r="G31" s="12"/>
      <c r="H31" s="12"/>
      <c r="I31" s="12"/>
      <c r="J31" s="12"/>
      <c r="K31" s="18"/>
      <c r="L31" s="12"/>
      <c r="M31" s="12"/>
      <c r="N31" s="12"/>
      <c r="P31" s="15"/>
      <c r="Q31" s="15"/>
      <c r="R31" s="15"/>
      <c r="S31" s="15"/>
      <c r="T31" s="15"/>
      <c r="U31" s="15"/>
      <c r="V31" s="16"/>
      <c r="W31" s="16"/>
      <c r="X31" s="15"/>
      <c r="Y31" s="15"/>
      <c r="Z31" s="15"/>
      <c r="AA31" s="16"/>
      <c r="AB31" s="16"/>
      <c r="AC31" s="16"/>
      <c r="AD31" s="16"/>
      <c r="AE31" s="16"/>
      <c r="AF31" s="16"/>
      <c r="AG31" s="15"/>
      <c r="AH31" s="15"/>
      <c r="AI31" s="15"/>
      <c r="AJ31" s="15"/>
      <c r="AN31" s="11"/>
      <c r="AO31" s="11"/>
      <c r="AP31" s="11"/>
      <c r="AQ31" s="11"/>
      <c r="AR31" s="5"/>
      <c r="BG31" s="9"/>
      <c r="BH31" s="10"/>
      <c r="BI31" s="9"/>
      <c r="BK31" s="10"/>
      <c r="BL31" s="10"/>
      <c r="BM31" s="10"/>
      <c r="BO31" s="10"/>
      <c r="BP31" s="10"/>
      <c r="BQ31" s="10"/>
      <c r="BR31" s="10"/>
    </row>
    <row r="32" spans="2:70" x14ac:dyDescent="0.2">
      <c r="B32" s="13"/>
      <c r="C32" s="12"/>
      <c r="D32" s="12"/>
      <c r="E32" s="12"/>
      <c r="F32" s="12"/>
      <c r="G32" s="12"/>
      <c r="H32" s="12"/>
      <c r="I32" s="12"/>
      <c r="J32" s="12"/>
      <c r="K32" s="18"/>
      <c r="L32" s="12"/>
      <c r="M32" s="12"/>
      <c r="N32" s="12"/>
      <c r="P32" s="15"/>
      <c r="Q32" s="15"/>
      <c r="R32" s="15"/>
      <c r="S32" s="15"/>
      <c r="T32" s="15"/>
      <c r="U32" s="15"/>
      <c r="V32" s="16"/>
      <c r="W32" s="16"/>
      <c r="X32" s="15"/>
      <c r="Y32" s="15"/>
      <c r="Z32" s="15"/>
      <c r="AA32" s="16"/>
      <c r="AB32" s="16"/>
      <c r="AC32" s="16"/>
      <c r="AD32" s="16"/>
      <c r="AE32" s="16"/>
      <c r="AF32" s="16"/>
      <c r="AG32" s="15"/>
      <c r="AH32" s="15"/>
      <c r="AI32" s="15"/>
      <c r="AJ32" s="15"/>
      <c r="AN32" s="11"/>
      <c r="AO32" s="11"/>
      <c r="AP32" s="11"/>
      <c r="AQ32" s="11"/>
      <c r="AR32" s="5"/>
      <c r="BG32" s="9"/>
      <c r="BH32" s="10"/>
      <c r="BI32" s="9"/>
      <c r="BK32" s="10"/>
      <c r="BL32" s="10"/>
      <c r="BM32" s="10"/>
      <c r="BO32" s="10"/>
      <c r="BP32" s="10"/>
      <c r="BQ32" s="10"/>
      <c r="BR32" s="10"/>
    </row>
    <row r="33" spans="2:70" x14ac:dyDescent="0.2">
      <c r="B33" s="13"/>
      <c r="C33" s="12"/>
      <c r="D33" s="12"/>
      <c r="E33" s="12"/>
      <c r="F33" s="12"/>
      <c r="G33" s="12"/>
      <c r="H33" s="12"/>
      <c r="I33" s="12"/>
      <c r="J33" s="12"/>
      <c r="K33" s="18"/>
      <c r="L33" s="12"/>
      <c r="M33" s="12"/>
      <c r="N33" s="12"/>
      <c r="P33" s="15"/>
      <c r="Q33" s="15"/>
      <c r="R33" s="15"/>
      <c r="S33" s="15"/>
      <c r="T33" s="15"/>
      <c r="U33" s="15"/>
      <c r="V33" s="16"/>
      <c r="W33" s="16"/>
      <c r="X33" s="15"/>
      <c r="Y33" s="15"/>
      <c r="Z33" s="15"/>
      <c r="AA33" s="16"/>
      <c r="AB33" s="16"/>
      <c r="AC33" s="16"/>
      <c r="AD33" s="16"/>
      <c r="AE33" s="16"/>
      <c r="AF33" s="16"/>
      <c r="AG33" s="15"/>
      <c r="AH33" s="15"/>
      <c r="AI33" s="15"/>
      <c r="AJ33" s="15"/>
      <c r="AN33" s="11"/>
      <c r="AO33" s="11"/>
      <c r="AP33" s="11"/>
      <c r="AQ33" s="11"/>
      <c r="AR33" s="5"/>
      <c r="BG33" s="9"/>
      <c r="BH33" s="10"/>
      <c r="BI33" s="9"/>
      <c r="BK33" s="10"/>
      <c r="BL33" s="10"/>
      <c r="BM33" s="10"/>
      <c r="BO33" s="10"/>
      <c r="BP33" s="10"/>
      <c r="BQ33" s="10"/>
      <c r="BR33" s="10"/>
    </row>
    <row r="34" spans="2:70" x14ac:dyDescent="0.2">
      <c r="B34" s="13"/>
      <c r="C34" s="12"/>
      <c r="D34" s="12"/>
      <c r="E34" s="12"/>
      <c r="F34" s="12"/>
      <c r="G34" s="12"/>
      <c r="H34" s="12"/>
      <c r="I34" s="12"/>
      <c r="J34" s="12"/>
      <c r="K34" s="18"/>
      <c r="L34" s="12"/>
      <c r="M34" s="12"/>
      <c r="N34" s="12"/>
      <c r="P34" s="15"/>
      <c r="Q34" s="15"/>
      <c r="R34" s="15"/>
      <c r="S34" s="15"/>
      <c r="T34" s="15"/>
      <c r="U34" s="15"/>
      <c r="V34" s="16"/>
      <c r="W34" s="16"/>
      <c r="X34" s="15"/>
      <c r="Y34" s="15"/>
      <c r="Z34" s="15"/>
      <c r="AA34" s="16"/>
      <c r="AB34" s="16"/>
      <c r="AC34" s="16"/>
      <c r="AD34" s="16"/>
      <c r="AE34" s="16"/>
      <c r="AF34" s="16"/>
      <c r="AG34" s="15"/>
      <c r="AH34" s="15"/>
      <c r="AI34" s="15"/>
      <c r="AJ34" s="15"/>
      <c r="AN34" s="11"/>
      <c r="AO34" s="11"/>
      <c r="AP34" s="11"/>
      <c r="AQ34" s="11"/>
      <c r="AR34" s="5"/>
      <c r="BG34" s="9"/>
      <c r="BH34" s="10"/>
      <c r="BI34" s="9"/>
      <c r="BK34" s="10"/>
      <c r="BL34" s="10"/>
      <c r="BM34" s="10"/>
      <c r="BO34" s="10"/>
      <c r="BP34" s="10"/>
      <c r="BQ34" s="10"/>
      <c r="BR34" s="10"/>
    </row>
    <row r="35" spans="2:70" x14ac:dyDescent="0.2">
      <c r="B35" s="13"/>
      <c r="C35" s="12"/>
      <c r="D35" s="12"/>
      <c r="E35" s="12"/>
      <c r="F35" s="12"/>
      <c r="G35" s="12"/>
      <c r="H35" s="12"/>
      <c r="I35" s="12"/>
      <c r="J35" s="12"/>
      <c r="K35" s="18"/>
      <c r="L35" s="12"/>
      <c r="M35" s="12"/>
      <c r="N35" s="12"/>
      <c r="P35" s="15"/>
      <c r="Q35" s="15"/>
      <c r="R35" s="15"/>
      <c r="S35" s="15"/>
      <c r="T35" s="15"/>
      <c r="U35" s="15"/>
      <c r="V35" s="16"/>
      <c r="W35" s="16"/>
      <c r="X35" s="15"/>
      <c r="Y35" s="15"/>
      <c r="Z35" s="15"/>
      <c r="AA35" s="16"/>
      <c r="AB35" s="16"/>
      <c r="AC35" s="16"/>
      <c r="AD35" s="16"/>
      <c r="AE35" s="16"/>
      <c r="AF35" s="16"/>
      <c r="AG35" s="15"/>
      <c r="AH35" s="15"/>
      <c r="AI35" s="15"/>
      <c r="AJ35" s="15"/>
      <c r="AN35" s="11"/>
      <c r="AO35" s="11"/>
      <c r="AP35" s="11"/>
      <c r="AQ35" s="11"/>
      <c r="AR35" s="5"/>
      <c r="BG35" s="9"/>
      <c r="BH35" s="10"/>
      <c r="BI35" s="9"/>
      <c r="BK35" s="10"/>
      <c r="BL35" s="10"/>
      <c r="BM35" s="10"/>
      <c r="BO35" s="10"/>
      <c r="BP35" s="10"/>
      <c r="BQ35" s="10"/>
      <c r="BR35" s="10"/>
    </row>
    <row r="36" spans="2:70" x14ac:dyDescent="0.2">
      <c r="B36" s="13"/>
      <c r="C36" s="12"/>
      <c r="D36" s="12"/>
      <c r="E36" s="12"/>
      <c r="F36" s="12"/>
      <c r="G36" s="12"/>
      <c r="H36" s="12"/>
      <c r="I36" s="12"/>
      <c r="J36" s="12"/>
      <c r="K36" s="18"/>
      <c r="L36" s="12"/>
      <c r="M36" s="12"/>
      <c r="N36" s="12"/>
      <c r="P36" s="15"/>
      <c r="Q36" s="15"/>
      <c r="R36" s="15"/>
      <c r="S36" s="15"/>
      <c r="T36" s="15"/>
      <c r="U36" s="15"/>
      <c r="V36" s="16"/>
      <c r="W36" s="16"/>
      <c r="X36" s="15"/>
      <c r="Y36" s="15"/>
      <c r="Z36" s="15"/>
      <c r="AA36" s="16"/>
      <c r="AB36" s="16"/>
      <c r="AC36" s="16"/>
      <c r="AD36" s="16"/>
      <c r="AE36" s="16"/>
      <c r="AF36" s="16"/>
      <c r="AG36" s="15"/>
      <c r="AH36" s="15"/>
      <c r="AI36" s="15"/>
      <c r="AJ36" s="15"/>
      <c r="AN36" s="11"/>
      <c r="AO36" s="11"/>
      <c r="AP36" s="11"/>
      <c r="AQ36" s="11"/>
      <c r="AR36" s="5"/>
      <c r="BG36" s="9"/>
      <c r="BH36" s="10"/>
      <c r="BI36" s="9"/>
      <c r="BK36" s="10"/>
      <c r="BL36" s="10"/>
      <c r="BM36" s="10"/>
      <c r="BO36" s="10"/>
      <c r="BP36" s="10"/>
      <c r="BQ36" s="10"/>
      <c r="BR36" s="10"/>
    </row>
    <row r="37" spans="2:70" x14ac:dyDescent="0.2">
      <c r="B37" s="13"/>
      <c r="C37" s="12"/>
      <c r="D37" s="12"/>
      <c r="E37" s="12"/>
      <c r="F37" s="12"/>
      <c r="G37" s="12"/>
      <c r="H37" s="12"/>
      <c r="I37" s="12"/>
      <c r="J37" s="12"/>
      <c r="K37" s="18"/>
      <c r="L37" s="12"/>
      <c r="M37" s="12"/>
      <c r="N37" s="12"/>
      <c r="P37" s="15"/>
      <c r="Q37" s="15"/>
      <c r="R37" s="15"/>
      <c r="S37" s="15"/>
      <c r="T37" s="15"/>
      <c r="U37" s="15"/>
      <c r="V37" s="16"/>
      <c r="W37" s="16"/>
      <c r="X37" s="15"/>
      <c r="Y37" s="15"/>
      <c r="Z37" s="15"/>
      <c r="AA37" s="16"/>
      <c r="AB37" s="16"/>
      <c r="AC37" s="16"/>
      <c r="AD37" s="16"/>
      <c r="AE37" s="16"/>
      <c r="AF37" s="16"/>
      <c r="AG37" s="15"/>
      <c r="AH37" s="15"/>
      <c r="AI37" s="15"/>
      <c r="AJ37" s="15"/>
      <c r="AN37" s="11"/>
      <c r="AO37" s="11"/>
      <c r="AP37" s="11"/>
      <c r="AQ37" s="11"/>
      <c r="AR37" s="5"/>
      <c r="BG37" s="9"/>
      <c r="BH37" s="10"/>
      <c r="BI37" s="9"/>
      <c r="BK37" s="10"/>
      <c r="BL37" s="10"/>
      <c r="BM37" s="10"/>
      <c r="BO37" s="10"/>
      <c r="BP37" s="10"/>
      <c r="BQ37" s="10"/>
      <c r="BR37" s="10"/>
    </row>
    <row r="38" spans="2:70" x14ac:dyDescent="0.2">
      <c r="B38" s="13"/>
      <c r="C38" s="12"/>
      <c r="D38" s="12"/>
      <c r="E38" s="12"/>
      <c r="F38" s="12"/>
      <c r="G38" s="12"/>
      <c r="H38" s="12"/>
      <c r="I38" s="12"/>
      <c r="J38" s="12"/>
      <c r="K38" s="18"/>
      <c r="L38" s="12"/>
      <c r="M38" s="12"/>
      <c r="N38" s="12"/>
      <c r="P38" s="15"/>
      <c r="Q38" s="15"/>
      <c r="R38" s="15"/>
      <c r="S38" s="15"/>
      <c r="T38" s="15"/>
      <c r="U38" s="15"/>
      <c r="V38" s="16"/>
      <c r="W38" s="16"/>
      <c r="X38" s="15"/>
      <c r="Y38" s="15"/>
      <c r="Z38" s="15"/>
      <c r="AA38" s="16"/>
      <c r="AB38" s="16"/>
      <c r="AC38" s="16"/>
      <c r="AD38" s="16"/>
      <c r="AE38" s="16"/>
      <c r="AF38" s="16"/>
      <c r="AG38" s="15"/>
      <c r="AH38" s="15"/>
      <c r="AI38" s="15"/>
      <c r="AJ38" s="15"/>
      <c r="AN38" s="11"/>
      <c r="AO38" s="11"/>
      <c r="AP38" s="11"/>
      <c r="AQ38" s="11"/>
      <c r="AR38" s="5"/>
      <c r="BG38" s="9"/>
      <c r="BH38" s="10"/>
      <c r="BI38" s="9"/>
      <c r="BK38" s="10"/>
      <c r="BL38" s="10"/>
      <c r="BM38" s="10"/>
      <c r="BO38" s="10"/>
      <c r="BP38" s="10"/>
      <c r="BQ38" s="10"/>
      <c r="BR38" s="10"/>
    </row>
    <row r="39" spans="2:70" x14ac:dyDescent="0.2">
      <c r="B39" s="13"/>
      <c r="C39" s="12"/>
      <c r="D39" s="12"/>
      <c r="E39" s="12"/>
      <c r="F39" s="12"/>
      <c r="G39" s="12"/>
      <c r="H39" s="12"/>
      <c r="I39" s="12"/>
      <c r="J39" s="12"/>
      <c r="K39" s="18"/>
      <c r="L39" s="12"/>
      <c r="M39" s="12"/>
      <c r="N39" s="12"/>
      <c r="P39" s="15"/>
      <c r="Q39" s="15"/>
      <c r="R39" s="15"/>
      <c r="S39" s="15"/>
      <c r="T39" s="15"/>
      <c r="U39" s="15"/>
      <c r="V39" s="16"/>
      <c r="W39" s="16"/>
      <c r="X39" s="15"/>
      <c r="Y39" s="15"/>
      <c r="Z39" s="15"/>
      <c r="AA39" s="16"/>
      <c r="AB39" s="16"/>
      <c r="AC39" s="16"/>
      <c r="AD39" s="16"/>
      <c r="AE39" s="16"/>
      <c r="AF39" s="16"/>
      <c r="AG39" s="15"/>
      <c r="AH39" s="15"/>
      <c r="AI39" s="15"/>
      <c r="AJ39" s="15"/>
      <c r="AN39" s="11"/>
      <c r="AO39" s="11"/>
      <c r="AP39" s="11"/>
      <c r="AQ39" s="11"/>
      <c r="AR39" s="5"/>
      <c r="BG39" s="9"/>
      <c r="BH39" s="10"/>
      <c r="BI39" s="9"/>
      <c r="BK39" s="10"/>
      <c r="BL39" s="10"/>
      <c r="BM39" s="10"/>
      <c r="BO39" s="10"/>
      <c r="BP39" s="10"/>
      <c r="BQ39" s="10"/>
      <c r="BR39" s="10"/>
    </row>
    <row r="40" spans="2:70" x14ac:dyDescent="0.2">
      <c r="B40" s="13"/>
      <c r="C40" s="12"/>
      <c r="D40" s="12"/>
      <c r="E40" s="12"/>
      <c r="F40" s="12"/>
      <c r="G40" s="12"/>
      <c r="H40" s="12"/>
      <c r="I40" s="12"/>
      <c r="J40" s="12"/>
      <c r="K40" s="18"/>
      <c r="L40" s="12"/>
      <c r="M40" s="12"/>
      <c r="N40" s="12"/>
      <c r="P40" s="15"/>
      <c r="Q40" s="15"/>
      <c r="R40" s="15"/>
      <c r="S40" s="15"/>
      <c r="T40" s="15"/>
      <c r="U40" s="15"/>
      <c r="V40" s="16"/>
      <c r="W40" s="16"/>
      <c r="X40" s="15"/>
      <c r="Y40" s="15"/>
      <c r="Z40" s="15"/>
      <c r="AA40" s="16"/>
      <c r="AB40" s="16"/>
      <c r="AC40" s="16"/>
      <c r="AD40" s="16"/>
      <c r="AE40" s="16"/>
      <c r="AF40" s="16"/>
      <c r="AG40" s="15"/>
      <c r="AH40" s="15"/>
      <c r="AI40" s="15"/>
      <c r="AJ40" s="15"/>
      <c r="AN40" s="11"/>
      <c r="AO40" s="11"/>
      <c r="AP40" s="11"/>
      <c r="AQ40" s="11"/>
      <c r="AR40" s="5"/>
      <c r="BG40" s="9"/>
      <c r="BH40" s="10"/>
      <c r="BI40" s="9"/>
      <c r="BK40" s="10"/>
      <c r="BL40" s="10"/>
      <c r="BM40" s="10"/>
      <c r="BO40" s="10"/>
      <c r="BP40" s="10"/>
      <c r="BQ40" s="10"/>
      <c r="BR40" s="10"/>
    </row>
    <row r="41" spans="2:70" x14ac:dyDescent="0.2">
      <c r="B41" s="13"/>
      <c r="C41" s="12"/>
      <c r="D41" s="12"/>
      <c r="E41" s="12"/>
      <c r="F41" s="12"/>
      <c r="G41" s="12"/>
      <c r="H41" s="12"/>
      <c r="I41" s="12"/>
      <c r="J41" s="12"/>
      <c r="K41" s="18"/>
      <c r="L41" s="12"/>
      <c r="M41" s="12"/>
      <c r="N41" s="12"/>
      <c r="P41" s="15"/>
      <c r="Q41" s="15"/>
      <c r="R41" s="15"/>
      <c r="S41" s="15"/>
      <c r="T41" s="15"/>
      <c r="U41" s="15"/>
      <c r="V41" s="16"/>
      <c r="W41" s="16"/>
      <c r="X41" s="15"/>
      <c r="Y41" s="15"/>
      <c r="Z41" s="15"/>
      <c r="AA41" s="16"/>
      <c r="AB41" s="16"/>
      <c r="AC41" s="16"/>
      <c r="AD41" s="16"/>
      <c r="AE41" s="16"/>
      <c r="AF41" s="16"/>
      <c r="AG41" s="15"/>
      <c r="AH41" s="15"/>
      <c r="AI41" s="15"/>
      <c r="AJ41" s="15"/>
      <c r="AN41" s="11"/>
      <c r="AO41" s="11"/>
      <c r="AP41" s="11"/>
      <c r="AQ41" s="11"/>
      <c r="AR41" s="5"/>
      <c r="BG41" s="9"/>
      <c r="BH41" s="10"/>
      <c r="BI41" s="9"/>
      <c r="BK41" s="10"/>
      <c r="BL41" s="10"/>
      <c r="BM41" s="10"/>
      <c r="BO41" s="10"/>
      <c r="BP41" s="10"/>
      <c r="BQ41" s="10"/>
      <c r="BR41" s="10"/>
    </row>
    <row r="42" spans="2:70" x14ac:dyDescent="0.2">
      <c r="B42" s="13"/>
      <c r="C42" s="12"/>
      <c r="D42" s="12"/>
      <c r="E42" s="12"/>
      <c r="F42" s="12"/>
      <c r="G42" s="12"/>
      <c r="H42" s="12"/>
      <c r="I42" s="12"/>
      <c r="J42" s="12"/>
      <c r="K42" s="18"/>
      <c r="L42" s="12"/>
      <c r="M42" s="12"/>
      <c r="N42" s="12"/>
      <c r="P42" s="15"/>
      <c r="Q42" s="15"/>
      <c r="R42" s="15"/>
      <c r="S42" s="15"/>
      <c r="T42" s="15"/>
      <c r="U42" s="15"/>
      <c r="V42" s="16"/>
      <c r="W42" s="16"/>
      <c r="X42" s="15"/>
      <c r="Y42" s="15"/>
      <c r="Z42" s="15"/>
      <c r="AA42" s="16"/>
      <c r="AB42" s="16"/>
      <c r="AC42" s="16"/>
      <c r="AD42" s="16"/>
      <c r="AE42" s="16"/>
      <c r="AF42" s="16"/>
      <c r="AG42" s="15"/>
      <c r="AH42" s="15"/>
      <c r="AI42" s="15"/>
      <c r="AJ42" s="15"/>
      <c r="AN42" s="11"/>
      <c r="AO42" s="11"/>
      <c r="AP42" s="11"/>
      <c r="AQ42" s="11"/>
      <c r="AR42" s="5"/>
      <c r="BG42" s="9"/>
      <c r="BH42" s="10"/>
      <c r="BI42" s="9"/>
      <c r="BK42" s="10"/>
      <c r="BL42" s="10"/>
      <c r="BM42" s="10"/>
      <c r="BO42" s="10"/>
      <c r="BP42" s="10"/>
      <c r="BQ42" s="10"/>
      <c r="BR42" s="10"/>
    </row>
    <row r="43" spans="2:70" x14ac:dyDescent="0.2">
      <c r="B43" s="13"/>
      <c r="C43" s="12"/>
      <c r="D43" s="12"/>
      <c r="E43" s="12"/>
      <c r="F43" s="12"/>
      <c r="G43" s="12"/>
      <c r="H43" s="12"/>
      <c r="I43" s="12"/>
      <c r="J43" s="12"/>
      <c r="K43" s="18"/>
      <c r="L43" s="12"/>
      <c r="M43" s="12"/>
      <c r="N43" s="12"/>
      <c r="P43" s="15"/>
      <c r="Q43" s="15"/>
      <c r="R43" s="15"/>
      <c r="S43" s="15"/>
      <c r="T43" s="15"/>
      <c r="U43" s="15"/>
      <c r="V43" s="16"/>
      <c r="W43" s="16"/>
      <c r="X43" s="15"/>
      <c r="Y43" s="15"/>
      <c r="Z43" s="15"/>
      <c r="AA43" s="16"/>
      <c r="AB43" s="16"/>
      <c r="AC43" s="16"/>
      <c r="AD43" s="16"/>
      <c r="AE43" s="16"/>
      <c r="AF43" s="16"/>
      <c r="AG43" s="15"/>
      <c r="AH43" s="15"/>
      <c r="AI43" s="15"/>
      <c r="AJ43" s="15"/>
      <c r="AN43" s="11"/>
      <c r="AO43" s="11"/>
      <c r="AP43" s="11"/>
      <c r="AQ43" s="11"/>
      <c r="AR43" s="5"/>
      <c r="BG43" s="9"/>
      <c r="BH43" s="10"/>
      <c r="BI43" s="9"/>
      <c r="BK43" s="10"/>
      <c r="BL43" s="10"/>
      <c r="BM43" s="10"/>
      <c r="BO43" s="10"/>
      <c r="BP43" s="10"/>
      <c r="BQ43" s="10"/>
      <c r="BR43" s="10"/>
    </row>
    <row r="44" spans="2:70" x14ac:dyDescent="0.2">
      <c r="B44" s="13"/>
      <c r="C44" s="12"/>
      <c r="D44" s="12"/>
      <c r="E44" s="12"/>
      <c r="F44" s="12"/>
      <c r="G44" s="12"/>
      <c r="H44" s="12"/>
      <c r="I44" s="12"/>
      <c r="J44" s="12"/>
      <c r="K44" s="18"/>
      <c r="L44" s="12"/>
      <c r="M44" s="12"/>
      <c r="N44" s="12"/>
      <c r="P44" s="15"/>
      <c r="Q44" s="15"/>
      <c r="R44" s="15"/>
      <c r="S44" s="15"/>
      <c r="T44" s="15"/>
      <c r="U44" s="15"/>
      <c r="V44" s="16"/>
      <c r="W44" s="16"/>
      <c r="X44" s="15"/>
      <c r="Y44" s="15"/>
      <c r="Z44" s="15"/>
      <c r="AA44" s="16"/>
      <c r="AB44" s="16"/>
      <c r="AC44" s="16"/>
      <c r="AD44" s="16"/>
      <c r="AE44" s="16"/>
      <c r="AF44" s="16"/>
      <c r="AG44" s="15"/>
      <c r="AH44" s="15"/>
      <c r="AI44" s="15"/>
      <c r="AJ44" s="15"/>
      <c r="AN44" s="11"/>
      <c r="AO44" s="11"/>
      <c r="AP44" s="11"/>
      <c r="AQ44" s="11"/>
      <c r="AR44" s="5"/>
      <c r="BG44" s="9"/>
      <c r="BH44" s="10"/>
      <c r="BI44" s="9"/>
      <c r="BK44" s="10"/>
      <c r="BL44" s="10"/>
      <c r="BM44" s="10"/>
      <c r="BO44" s="10"/>
      <c r="BP44" s="10"/>
      <c r="BQ44" s="10"/>
      <c r="BR44" s="10"/>
    </row>
    <row r="45" spans="2:70" x14ac:dyDescent="0.2">
      <c r="B45" s="13"/>
      <c r="C45" s="12"/>
      <c r="D45" s="12"/>
      <c r="E45" s="12"/>
      <c r="F45" s="12"/>
      <c r="G45" s="12"/>
      <c r="H45" s="12"/>
      <c r="I45" s="12"/>
      <c r="J45" s="12"/>
      <c r="K45" s="18"/>
      <c r="L45" s="12"/>
      <c r="M45" s="12"/>
      <c r="N45" s="12"/>
      <c r="P45" s="15"/>
      <c r="Q45" s="15"/>
      <c r="R45" s="15"/>
      <c r="S45" s="15"/>
      <c r="T45" s="15"/>
      <c r="U45" s="15"/>
      <c r="V45" s="16"/>
      <c r="W45" s="16"/>
      <c r="X45" s="15"/>
      <c r="Y45" s="15"/>
      <c r="Z45" s="15"/>
      <c r="AA45" s="16"/>
      <c r="AB45" s="16"/>
      <c r="AC45" s="16"/>
      <c r="AD45" s="16"/>
      <c r="AE45" s="16"/>
      <c r="AF45" s="16"/>
      <c r="AG45" s="15"/>
      <c r="AH45" s="15"/>
      <c r="AI45" s="15"/>
      <c r="AJ45" s="15"/>
      <c r="AN45" s="11"/>
      <c r="AO45" s="11"/>
      <c r="AP45" s="11"/>
      <c r="AQ45" s="11"/>
      <c r="AR45" s="5"/>
      <c r="BG45" s="9"/>
      <c r="BH45" s="10"/>
      <c r="BI45" s="9"/>
      <c r="BK45" s="10"/>
      <c r="BL45" s="10"/>
      <c r="BM45" s="10"/>
      <c r="BO45" s="10"/>
      <c r="BP45" s="10"/>
      <c r="BQ45" s="10"/>
      <c r="BR45" s="10"/>
    </row>
    <row r="46" spans="2:70" x14ac:dyDescent="0.2">
      <c r="B46" s="13"/>
      <c r="C46" s="12"/>
      <c r="D46" s="12"/>
      <c r="E46" s="12"/>
      <c r="F46" s="12"/>
      <c r="G46" s="12"/>
      <c r="H46" s="12"/>
      <c r="I46" s="12"/>
      <c r="J46" s="12"/>
      <c r="K46" s="18"/>
      <c r="L46" s="12"/>
      <c r="M46" s="12"/>
      <c r="N46" s="12"/>
      <c r="P46" s="15"/>
      <c r="Q46" s="15"/>
      <c r="R46" s="15"/>
      <c r="S46" s="15"/>
      <c r="T46" s="15"/>
      <c r="U46" s="15"/>
      <c r="V46" s="16"/>
      <c r="W46" s="16"/>
      <c r="X46" s="15"/>
      <c r="Y46" s="15"/>
      <c r="Z46" s="15"/>
      <c r="AA46" s="16"/>
      <c r="AB46" s="16"/>
      <c r="AC46" s="16"/>
      <c r="AD46" s="16"/>
      <c r="AE46" s="16"/>
      <c r="AF46" s="16"/>
      <c r="AG46" s="15"/>
      <c r="AH46" s="15"/>
      <c r="AI46" s="15"/>
      <c r="AJ46" s="15"/>
      <c r="AN46" s="11"/>
      <c r="AO46" s="11"/>
      <c r="AP46" s="11"/>
      <c r="AQ46" s="11"/>
      <c r="AR46" s="5"/>
      <c r="BG46" s="9"/>
      <c r="BH46" s="10"/>
      <c r="BI46" s="9"/>
      <c r="BK46" s="10"/>
      <c r="BL46" s="10"/>
      <c r="BM46" s="10"/>
      <c r="BO46" s="10"/>
      <c r="BP46" s="10"/>
      <c r="BQ46" s="10"/>
      <c r="BR46" s="10"/>
    </row>
    <row r="47" spans="2:70" x14ac:dyDescent="0.2">
      <c r="B47" s="13"/>
      <c r="C47" s="12"/>
      <c r="D47" s="12"/>
      <c r="E47" s="12"/>
      <c r="F47" s="12"/>
      <c r="G47" s="12"/>
      <c r="H47" s="12"/>
      <c r="I47" s="12"/>
      <c r="J47" s="12"/>
      <c r="K47" s="18"/>
      <c r="L47" s="12"/>
      <c r="M47" s="12"/>
      <c r="N47" s="12"/>
      <c r="P47" s="15"/>
      <c r="Q47" s="15"/>
      <c r="R47" s="15"/>
      <c r="S47" s="15"/>
      <c r="T47" s="15"/>
      <c r="U47" s="15"/>
      <c r="V47" s="16"/>
      <c r="W47" s="16"/>
      <c r="X47" s="15"/>
      <c r="Y47" s="15"/>
      <c r="Z47" s="15"/>
      <c r="AA47" s="16"/>
      <c r="AB47" s="16"/>
      <c r="AC47" s="16"/>
      <c r="AD47" s="16"/>
      <c r="AE47" s="16"/>
      <c r="AF47" s="16"/>
      <c r="AG47" s="15"/>
      <c r="AH47" s="15"/>
      <c r="AI47" s="15"/>
      <c r="AJ47" s="15"/>
      <c r="AN47" s="11"/>
      <c r="AO47" s="11"/>
      <c r="AP47" s="11"/>
      <c r="AQ47" s="11"/>
      <c r="AR47" s="5"/>
      <c r="BG47" s="9"/>
      <c r="BH47" s="10"/>
      <c r="BI47" s="9"/>
      <c r="BK47" s="10"/>
      <c r="BL47" s="10"/>
      <c r="BM47" s="10"/>
      <c r="BO47" s="10"/>
      <c r="BP47" s="10"/>
      <c r="BQ47" s="10"/>
      <c r="BR47" s="10"/>
    </row>
    <row r="48" spans="2:70" x14ac:dyDescent="0.2">
      <c r="B48" s="13"/>
      <c r="C48" s="12"/>
      <c r="D48" s="12"/>
      <c r="E48" s="12"/>
      <c r="F48" s="12"/>
      <c r="G48" s="12"/>
      <c r="H48" s="12"/>
      <c r="I48" s="12"/>
      <c r="J48" s="12"/>
      <c r="K48" s="18"/>
      <c r="L48" s="12"/>
      <c r="M48" s="12"/>
      <c r="N48" s="12"/>
      <c r="P48" s="15"/>
      <c r="Q48" s="15"/>
      <c r="R48" s="15"/>
      <c r="S48" s="15"/>
      <c r="T48" s="15"/>
      <c r="U48" s="15"/>
      <c r="V48" s="16"/>
      <c r="W48" s="16"/>
      <c r="X48" s="15"/>
      <c r="Y48" s="15"/>
      <c r="Z48" s="15"/>
      <c r="AA48" s="16"/>
      <c r="AB48" s="16"/>
      <c r="AC48" s="16"/>
      <c r="AD48" s="16"/>
      <c r="AE48" s="16"/>
      <c r="AF48" s="16"/>
      <c r="AG48" s="15"/>
      <c r="AH48" s="15"/>
      <c r="AI48" s="15"/>
      <c r="AJ48" s="15"/>
      <c r="AN48" s="11"/>
      <c r="AO48" s="11"/>
      <c r="AP48" s="11"/>
      <c r="AQ48" s="11"/>
      <c r="AR48" s="5"/>
      <c r="BG48" s="9"/>
      <c r="BH48" s="10"/>
      <c r="BI48" s="9"/>
      <c r="BK48" s="10"/>
      <c r="BL48" s="10"/>
      <c r="BM48" s="10"/>
      <c r="BO48" s="10"/>
      <c r="BP48" s="10"/>
      <c r="BQ48" s="10"/>
      <c r="BR48" s="10"/>
    </row>
    <row r="49" spans="2:70" x14ac:dyDescent="0.2">
      <c r="B49" s="13"/>
      <c r="C49" s="12"/>
      <c r="D49" s="12"/>
      <c r="E49" s="12"/>
      <c r="F49" s="12"/>
      <c r="G49" s="12"/>
      <c r="H49" s="12"/>
      <c r="I49" s="12"/>
      <c r="J49" s="12"/>
      <c r="K49" s="18"/>
      <c r="L49" s="12"/>
      <c r="M49" s="12"/>
      <c r="N49" s="12"/>
      <c r="P49" s="15"/>
      <c r="Q49" s="15"/>
      <c r="R49" s="15"/>
      <c r="S49" s="15"/>
      <c r="T49" s="15"/>
      <c r="U49" s="15"/>
      <c r="V49" s="16"/>
      <c r="W49" s="16"/>
      <c r="X49" s="15"/>
      <c r="Y49" s="15"/>
      <c r="Z49" s="15"/>
      <c r="AA49" s="16"/>
      <c r="AB49" s="16"/>
      <c r="AC49" s="16"/>
      <c r="AD49" s="16"/>
      <c r="AE49" s="16"/>
      <c r="AF49" s="16"/>
      <c r="AG49" s="15"/>
      <c r="AH49" s="15"/>
      <c r="AI49" s="15"/>
      <c r="AJ49" s="15"/>
      <c r="AN49" s="11"/>
      <c r="AO49" s="11"/>
      <c r="AP49" s="11"/>
      <c r="AQ49" s="11"/>
      <c r="AR49" s="5"/>
      <c r="BG49" s="9"/>
      <c r="BH49" s="10"/>
      <c r="BI49" s="9"/>
      <c r="BK49" s="10"/>
      <c r="BL49" s="10"/>
      <c r="BM49" s="10"/>
      <c r="BO49" s="10"/>
      <c r="BP49" s="10"/>
      <c r="BQ49" s="10"/>
      <c r="BR49" s="10"/>
    </row>
    <row r="50" spans="2:70" x14ac:dyDescent="0.2">
      <c r="B50" s="13"/>
      <c r="C50" s="12"/>
      <c r="D50" s="12"/>
      <c r="E50" s="12"/>
      <c r="F50" s="12"/>
      <c r="G50" s="12"/>
      <c r="H50" s="12"/>
      <c r="I50" s="12"/>
      <c r="J50" s="12"/>
      <c r="K50" s="18"/>
      <c r="L50" s="12"/>
      <c r="M50" s="12"/>
      <c r="N50" s="12"/>
      <c r="P50" s="15"/>
      <c r="Q50" s="15"/>
      <c r="R50" s="15"/>
      <c r="S50" s="15"/>
      <c r="T50" s="15"/>
      <c r="U50" s="15"/>
      <c r="V50" s="16"/>
      <c r="W50" s="16"/>
      <c r="X50" s="15"/>
      <c r="Y50" s="15"/>
      <c r="Z50" s="15"/>
      <c r="AA50" s="16"/>
      <c r="AB50" s="16"/>
      <c r="AC50" s="16"/>
      <c r="AD50" s="16"/>
      <c r="AE50" s="16"/>
      <c r="AF50" s="16"/>
      <c r="AG50" s="15"/>
      <c r="AH50" s="15"/>
      <c r="AI50" s="15"/>
      <c r="AJ50" s="15"/>
      <c r="AN50" s="11"/>
      <c r="AO50" s="11"/>
      <c r="AP50" s="11"/>
      <c r="AQ50" s="11"/>
      <c r="AR50" s="5"/>
      <c r="BG50" s="9"/>
      <c r="BH50" s="10"/>
      <c r="BI50" s="9"/>
      <c r="BK50" s="10"/>
      <c r="BL50" s="10"/>
      <c r="BM50" s="10"/>
      <c r="BO50" s="10"/>
      <c r="BP50" s="10"/>
      <c r="BQ50" s="10"/>
      <c r="BR50" s="10"/>
    </row>
    <row r="51" spans="2:70" x14ac:dyDescent="0.2">
      <c r="B51" s="13"/>
      <c r="C51" s="12"/>
      <c r="D51" s="12"/>
      <c r="E51" s="12"/>
      <c r="F51" s="12"/>
      <c r="G51" s="12"/>
      <c r="H51" s="12"/>
      <c r="I51" s="12"/>
      <c r="J51" s="12"/>
      <c r="K51" s="18"/>
      <c r="L51" s="12"/>
      <c r="M51" s="12"/>
      <c r="N51" s="12"/>
      <c r="P51" s="15"/>
      <c r="Q51" s="15"/>
      <c r="R51" s="15"/>
      <c r="S51" s="15"/>
      <c r="T51" s="15"/>
      <c r="U51" s="15"/>
      <c r="V51" s="16"/>
      <c r="W51" s="16"/>
      <c r="X51" s="15"/>
      <c r="Y51" s="15"/>
      <c r="Z51" s="15"/>
      <c r="AA51" s="16"/>
      <c r="AB51" s="16"/>
      <c r="AC51" s="16"/>
      <c r="AD51" s="16"/>
      <c r="AE51" s="16"/>
      <c r="AF51" s="16"/>
      <c r="AG51" s="15"/>
      <c r="AH51" s="15"/>
      <c r="AI51" s="15"/>
      <c r="AJ51" s="15"/>
      <c r="AN51" s="11"/>
      <c r="AO51" s="11"/>
      <c r="AP51" s="11"/>
      <c r="AQ51" s="11"/>
      <c r="AR51" s="5"/>
      <c r="BG51" s="9"/>
      <c r="BH51" s="10"/>
      <c r="BI51" s="9"/>
      <c r="BK51" s="10"/>
      <c r="BL51" s="10"/>
      <c r="BM51" s="10"/>
      <c r="BO51" s="10"/>
      <c r="BP51" s="10"/>
      <c r="BQ51" s="10"/>
      <c r="BR51" s="10"/>
    </row>
    <row r="52" spans="2:70" x14ac:dyDescent="0.2">
      <c r="B52" s="13"/>
      <c r="C52" s="12"/>
      <c r="D52" s="12"/>
      <c r="E52" s="12"/>
      <c r="F52" s="12"/>
      <c r="G52" s="12"/>
      <c r="H52" s="12"/>
      <c r="I52" s="12"/>
      <c r="J52" s="12"/>
      <c r="K52" s="18"/>
      <c r="L52" s="12"/>
      <c r="M52" s="12"/>
      <c r="N52" s="12"/>
      <c r="P52" s="15"/>
      <c r="Q52" s="15"/>
      <c r="R52" s="15"/>
      <c r="S52" s="15"/>
      <c r="T52" s="15"/>
      <c r="U52" s="15"/>
      <c r="V52" s="16"/>
      <c r="W52" s="16"/>
      <c r="X52" s="15"/>
      <c r="Y52" s="15"/>
      <c r="Z52" s="15"/>
      <c r="AA52" s="16"/>
      <c r="AB52" s="16"/>
      <c r="AC52" s="16"/>
      <c r="AD52" s="16"/>
      <c r="AE52" s="16"/>
      <c r="AF52" s="16"/>
      <c r="AG52" s="15"/>
      <c r="AH52" s="15"/>
      <c r="AI52" s="15"/>
      <c r="AJ52" s="15"/>
      <c r="AN52" s="11"/>
      <c r="AO52" s="11"/>
      <c r="AP52" s="11"/>
      <c r="AQ52" s="11"/>
      <c r="AR52" s="5"/>
      <c r="BG52" s="9"/>
      <c r="BH52" s="10"/>
      <c r="BI52" s="9"/>
      <c r="BK52" s="10"/>
      <c r="BL52" s="10"/>
      <c r="BM52" s="10"/>
      <c r="BO52" s="10"/>
      <c r="BP52" s="10"/>
      <c r="BQ52" s="10"/>
      <c r="BR52" s="10"/>
    </row>
    <row r="53" spans="2:70" x14ac:dyDescent="0.2">
      <c r="B53" s="13"/>
      <c r="C53" s="12"/>
      <c r="D53" s="12"/>
      <c r="E53" s="12"/>
      <c r="F53" s="12"/>
      <c r="G53" s="12"/>
      <c r="H53" s="12"/>
      <c r="I53" s="12"/>
      <c r="J53" s="12"/>
      <c r="K53" s="18"/>
      <c r="L53" s="12"/>
      <c r="M53" s="12"/>
      <c r="N53" s="12"/>
      <c r="P53" s="15"/>
      <c r="Q53" s="15"/>
      <c r="R53" s="15"/>
      <c r="S53" s="15"/>
      <c r="T53" s="15"/>
      <c r="U53" s="15"/>
      <c r="V53" s="16"/>
      <c r="W53" s="16"/>
      <c r="X53" s="15"/>
      <c r="Y53" s="15"/>
      <c r="Z53" s="15"/>
      <c r="AA53" s="16"/>
      <c r="AB53" s="16"/>
      <c r="AC53" s="16"/>
      <c r="AD53" s="16"/>
      <c r="AE53" s="16"/>
      <c r="AF53" s="16"/>
      <c r="AG53" s="15"/>
      <c r="AH53" s="15"/>
      <c r="AI53" s="15"/>
      <c r="AJ53" s="15"/>
      <c r="AN53" s="11"/>
      <c r="AO53" s="11"/>
      <c r="AP53" s="11"/>
      <c r="AQ53" s="11"/>
      <c r="AR53" s="5"/>
      <c r="BG53" s="9"/>
      <c r="BH53" s="10"/>
      <c r="BI53" s="9"/>
      <c r="BK53" s="10"/>
      <c r="BL53" s="10"/>
      <c r="BM53" s="10"/>
      <c r="BO53" s="10"/>
      <c r="BP53" s="10"/>
      <c r="BQ53" s="10"/>
      <c r="BR53" s="10"/>
    </row>
    <row r="54" spans="2:70" x14ac:dyDescent="0.2">
      <c r="B54" s="13"/>
      <c r="C54" s="12"/>
      <c r="D54" s="12"/>
      <c r="E54" s="12"/>
      <c r="F54" s="12"/>
      <c r="G54" s="12"/>
      <c r="H54" s="12"/>
      <c r="I54" s="12"/>
      <c r="J54" s="12"/>
      <c r="K54" s="18"/>
      <c r="L54" s="12"/>
      <c r="M54" s="12"/>
      <c r="N54" s="12"/>
      <c r="P54" s="15"/>
      <c r="Q54" s="15"/>
      <c r="R54" s="15"/>
      <c r="S54" s="15"/>
      <c r="T54" s="15"/>
      <c r="U54" s="15"/>
      <c r="V54" s="16"/>
      <c r="W54" s="16"/>
      <c r="X54" s="15"/>
      <c r="Y54" s="15"/>
      <c r="Z54" s="15"/>
      <c r="AA54" s="16"/>
      <c r="AB54" s="16"/>
      <c r="AC54" s="16"/>
      <c r="AD54" s="16"/>
      <c r="AE54" s="16"/>
      <c r="AF54" s="16"/>
      <c r="AG54" s="15"/>
      <c r="AH54" s="15"/>
      <c r="AI54" s="15"/>
      <c r="AJ54" s="15"/>
      <c r="AN54" s="11"/>
      <c r="AO54" s="11"/>
      <c r="AP54" s="11"/>
      <c r="AQ54" s="11"/>
      <c r="AR54" s="5"/>
      <c r="BG54" s="9"/>
      <c r="BH54" s="10"/>
      <c r="BI54" s="9"/>
      <c r="BK54" s="10"/>
      <c r="BL54" s="10"/>
      <c r="BM54" s="10"/>
      <c r="BO54" s="10"/>
      <c r="BP54" s="10"/>
      <c r="BQ54" s="10"/>
      <c r="BR54" s="10"/>
    </row>
    <row r="55" spans="2:70" x14ac:dyDescent="0.2">
      <c r="B55" s="13"/>
      <c r="C55" s="12"/>
      <c r="D55" s="12"/>
      <c r="E55" s="12"/>
      <c r="F55" s="12"/>
      <c r="G55" s="12"/>
      <c r="H55" s="12"/>
      <c r="I55" s="12"/>
      <c r="J55" s="12"/>
      <c r="K55" s="18"/>
      <c r="L55" s="12"/>
      <c r="M55" s="12"/>
      <c r="N55" s="12"/>
      <c r="P55" s="15"/>
      <c r="Q55" s="15"/>
      <c r="R55" s="15"/>
      <c r="S55" s="15"/>
      <c r="T55" s="15"/>
      <c r="U55" s="15"/>
      <c r="V55" s="16"/>
      <c r="W55" s="16"/>
      <c r="X55" s="15"/>
      <c r="Y55" s="15"/>
      <c r="Z55" s="15"/>
      <c r="AA55" s="16"/>
      <c r="AB55" s="16"/>
      <c r="AC55" s="16"/>
      <c r="AD55" s="16"/>
      <c r="AE55" s="16"/>
      <c r="AF55" s="16"/>
      <c r="AG55" s="15"/>
      <c r="AH55" s="15"/>
      <c r="AI55" s="15"/>
      <c r="AJ55" s="15"/>
      <c r="AN55" s="11"/>
      <c r="AO55" s="11"/>
      <c r="AP55" s="11"/>
      <c r="AQ55" s="11"/>
      <c r="AR55" s="5"/>
      <c r="BG55" s="9"/>
      <c r="BH55" s="10"/>
      <c r="BI55" s="9"/>
      <c r="BK55" s="10"/>
      <c r="BL55" s="10"/>
      <c r="BM55" s="10"/>
      <c r="BO55" s="10"/>
      <c r="BP55" s="10"/>
      <c r="BQ55" s="10"/>
      <c r="BR55" s="10"/>
    </row>
    <row r="56" spans="2:70" x14ac:dyDescent="0.2">
      <c r="B56" s="13"/>
      <c r="C56" s="12"/>
      <c r="D56" s="12"/>
      <c r="E56" s="12"/>
      <c r="F56" s="12"/>
      <c r="G56" s="12"/>
      <c r="H56" s="12"/>
      <c r="I56" s="12"/>
      <c r="J56" s="12"/>
      <c r="K56" s="18"/>
      <c r="L56" s="12"/>
      <c r="M56" s="12"/>
      <c r="N56" s="12"/>
      <c r="P56" s="15"/>
      <c r="Q56" s="15"/>
      <c r="R56" s="15"/>
      <c r="S56" s="15"/>
      <c r="T56" s="15"/>
      <c r="U56" s="15"/>
      <c r="V56" s="16"/>
      <c r="W56" s="16"/>
      <c r="X56" s="15"/>
      <c r="Y56" s="15"/>
      <c r="Z56" s="15"/>
      <c r="AA56" s="16"/>
      <c r="AB56" s="16"/>
      <c r="AC56" s="16"/>
      <c r="AD56" s="16"/>
      <c r="AE56" s="16"/>
      <c r="AF56" s="16"/>
      <c r="AG56" s="15"/>
      <c r="AH56" s="15"/>
      <c r="AI56" s="15"/>
      <c r="AJ56" s="15"/>
      <c r="AN56" s="11"/>
      <c r="AO56" s="11"/>
      <c r="AP56" s="11"/>
      <c r="AQ56" s="11"/>
      <c r="AR56" s="5"/>
      <c r="BG56" s="9"/>
      <c r="BH56" s="10"/>
      <c r="BI56" s="9"/>
      <c r="BK56" s="10"/>
      <c r="BL56" s="10"/>
      <c r="BM56" s="10"/>
      <c r="BO56" s="10"/>
      <c r="BP56" s="10"/>
      <c r="BQ56" s="10"/>
      <c r="BR56" s="10"/>
    </row>
    <row r="57" spans="2:70" x14ac:dyDescent="0.2">
      <c r="B57" s="13"/>
      <c r="C57" s="12"/>
      <c r="D57" s="12"/>
      <c r="E57" s="12"/>
      <c r="F57" s="12"/>
      <c r="G57" s="12"/>
      <c r="H57" s="12"/>
      <c r="I57" s="12"/>
      <c r="J57" s="12"/>
      <c r="K57" s="18"/>
      <c r="L57" s="12"/>
      <c r="M57" s="12"/>
      <c r="N57" s="12"/>
      <c r="P57" s="15"/>
      <c r="Q57" s="15"/>
      <c r="R57" s="15"/>
      <c r="S57" s="15"/>
      <c r="T57" s="15"/>
      <c r="U57" s="15"/>
      <c r="V57" s="16"/>
      <c r="W57" s="16"/>
      <c r="X57" s="15"/>
      <c r="Y57" s="15"/>
      <c r="Z57" s="15"/>
      <c r="AA57" s="16"/>
      <c r="AB57" s="16"/>
      <c r="AC57" s="16"/>
      <c r="AD57" s="16"/>
      <c r="AE57" s="16"/>
      <c r="AF57" s="16"/>
      <c r="AG57" s="15"/>
      <c r="AH57" s="15"/>
      <c r="AI57" s="15"/>
      <c r="AJ57" s="15"/>
      <c r="AN57" s="11"/>
      <c r="AO57" s="11"/>
      <c r="AP57" s="11"/>
      <c r="AQ57" s="11"/>
      <c r="AR57" s="5"/>
      <c r="BG57" s="9"/>
      <c r="BH57" s="10"/>
      <c r="BI57" s="9"/>
      <c r="BK57" s="10"/>
      <c r="BL57" s="10"/>
      <c r="BM57" s="10"/>
      <c r="BO57" s="10"/>
      <c r="BP57" s="10"/>
      <c r="BQ57" s="10"/>
      <c r="BR57" s="10"/>
    </row>
    <row r="58" spans="2:70" x14ac:dyDescent="0.2">
      <c r="B58" s="13"/>
      <c r="C58" s="12"/>
      <c r="D58" s="12"/>
      <c r="E58" s="12"/>
      <c r="F58" s="12"/>
      <c r="G58" s="12"/>
      <c r="H58" s="12"/>
      <c r="I58" s="12"/>
      <c r="J58" s="12"/>
      <c r="K58" s="18"/>
      <c r="L58" s="12"/>
      <c r="M58" s="12"/>
      <c r="N58" s="12"/>
      <c r="P58" s="16"/>
      <c r="Q58" s="16"/>
      <c r="R58" s="16"/>
      <c r="S58" s="15"/>
      <c r="T58" s="15"/>
      <c r="U58" s="15"/>
      <c r="V58" s="16"/>
      <c r="W58" s="16"/>
      <c r="X58" s="15"/>
      <c r="Y58" s="15"/>
      <c r="Z58" s="16"/>
      <c r="AA58" s="16"/>
      <c r="AB58" s="16"/>
      <c r="AC58" s="16"/>
      <c r="AD58" s="16"/>
      <c r="AE58" s="16"/>
      <c r="AF58" s="16"/>
      <c r="AG58" s="15"/>
      <c r="AH58" s="15"/>
      <c r="AI58" s="15"/>
      <c r="AJ58" s="15"/>
      <c r="AN58" s="11"/>
      <c r="AO58" s="11"/>
      <c r="AP58" s="11"/>
      <c r="AQ58" s="11"/>
      <c r="AR58" s="5"/>
      <c r="BG58" s="9"/>
      <c r="BH58" s="10"/>
      <c r="BI58" s="9"/>
      <c r="BK58" s="10"/>
      <c r="BL58" s="10"/>
      <c r="BM58" s="10"/>
      <c r="BO58" s="10"/>
      <c r="BP58" s="10"/>
      <c r="BQ58" s="10"/>
      <c r="BR58" s="10"/>
    </row>
    <row r="59" spans="2:70" x14ac:dyDescent="0.2">
      <c r="B59" s="13"/>
      <c r="C59" s="12"/>
      <c r="D59" s="12"/>
      <c r="E59" s="12"/>
      <c r="F59" s="12"/>
      <c r="G59" s="12"/>
      <c r="H59" s="12"/>
      <c r="I59" s="12"/>
      <c r="J59" s="12"/>
      <c r="K59" s="18"/>
      <c r="L59" s="12"/>
      <c r="M59" s="12"/>
      <c r="N59" s="12"/>
      <c r="P59" s="16"/>
      <c r="Q59" s="16"/>
      <c r="R59" s="16"/>
      <c r="S59" s="15"/>
      <c r="T59" s="15"/>
      <c r="U59" s="15"/>
      <c r="V59" s="16"/>
      <c r="W59" s="16"/>
      <c r="X59" s="15"/>
      <c r="Y59" s="15"/>
      <c r="Z59" s="16"/>
      <c r="AA59" s="16"/>
      <c r="AB59" s="16"/>
      <c r="AC59" s="16"/>
      <c r="AD59" s="16"/>
      <c r="AE59" s="16"/>
      <c r="AF59" s="16"/>
      <c r="AG59" s="15"/>
      <c r="AH59" s="15"/>
      <c r="AI59" s="15"/>
      <c r="AJ59" s="15"/>
      <c r="AN59" s="11"/>
      <c r="AO59" s="11"/>
      <c r="AP59" s="11"/>
      <c r="AQ59" s="11"/>
      <c r="AR59" s="5"/>
      <c r="BG59" s="9"/>
      <c r="BH59" s="10"/>
      <c r="BI59" s="9"/>
      <c r="BK59" s="10"/>
      <c r="BL59" s="10"/>
      <c r="BM59" s="10"/>
      <c r="BO59" s="10"/>
      <c r="BP59" s="10"/>
      <c r="BQ59" s="10"/>
      <c r="BR59" s="10"/>
    </row>
    <row r="60" spans="2:70" x14ac:dyDescent="0.2">
      <c r="B60" s="13"/>
      <c r="C60" s="12"/>
      <c r="D60" s="12"/>
      <c r="E60" s="12"/>
      <c r="F60" s="12"/>
      <c r="G60" s="12"/>
      <c r="H60" s="12"/>
      <c r="I60" s="12"/>
      <c r="J60" s="12"/>
      <c r="K60" s="18"/>
      <c r="L60" s="12"/>
      <c r="M60" s="12"/>
      <c r="N60" s="12"/>
      <c r="P60" s="16"/>
      <c r="Q60" s="16"/>
      <c r="R60" s="16"/>
      <c r="S60" s="15"/>
      <c r="T60" s="15"/>
      <c r="U60" s="15"/>
      <c r="V60" s="16"/>
      <c r="W60" s="16"/>
      <c r="X60" s="15"/>
      <c r="Y60" s="15"/>
      <c r="Z60" s="16"/>
      <c r="AA60" s="16"/>
      <c r="AB60" s="16"/>
      <c r="AC60" s="16"/>
      <c r="AD60" s="16"/>
      <c r="AE60" s="16"/>
      <c r="AF60" s="16"/>
      <c r="AG60" s="15"/>
      <c r="AH60" s="15"/>
      <c r="AI60" s="15"/>
      <c r="AJ60" s="15"/>
      <c r="AN60" s="11"/>
      <c r="AO60" s="11"/>
      <c r="AP60" s="11"/>
      <c r="AQ60" s="11"/>
      <c r="AR60" s="5"/>
      <c r="BG60" s="9"/>
      <c r="BH60" s="10"/>
      <c r="BI60" s="9"/>
      <c r="BK60" s="10"/>
      <c r="BL60" s="10"/>
      <c r="BM60" s="10"/>
      <c r="BO60" s="10"/>
      <c r="BP60" s="10"/>
      <c r="BQ60" s="10"/>
      <c r="BR60" s="10"/>
    </row>
    <row r="61" spans="2:70" x14ac:dyDescent="0.2">
      <c r="B61" s="13"/>
      <c r="C61" s="12"/>
      <c r="D61" s="12"/>
      <c r="E61" s="12"/>
      <c r="F61" s="12"/>
      <c r="G61" s="12"/>
      <c r="H61" s="12"/>
      <c r="I61" s="12"/>
      <c r="J61" s="12"/>
      <c r="K61" s="18"/>
      <c r="L61" s="12"/>
      <c r="M61" s="12"/>
      <c r="N61" s="12"/>
      <c r="P61" s="16"/>
      <c r="Q61" s="16"/>
      <c r="R61" s="16"/>
      <c r="S61" s="15"/>
      <c r="T61" s="15"/>
      <c r="U61" s="15"/>
      <c r="V61" s="16"/>
      <c r="W61" s="16"/>
      <c r="X61" s="15"/>
      <c r="Y61" s="15"/>
      <c r="Z61" s="16"/>
      <c r="AA61" s="16"/>
      <c r="AB61" s="16"/>
      <c r="AC61" s="16"/>
      <c r="AD61" s="16"/>
      <c r="AE61" s="16"/>
      <c r="AF61" s="16"/>
      <c r="AG61" s="15"/>
      <c r="AH61" s="15"/>
      <c r="AI61" s="15"/>
      <c r="AJ61" s="15"/>
      <c r="AN61" s="11"/>
      <c r="AO61" s="11"/>
      <c r="AP61" s="11"/>
      <c r="AQ61" s="11"/>
      <c r="AR61" s="5"/>
      <c r="BG61" s="9"/>
      <c r="BH61" s="10"/>
      <c r="BI61" s="9"/>
      <c r="BK61" s="10"/>
      <c r="BL61" s="10"/>
      <c r="BM61" s="10"/>
      <c r="BO61" s="10"/>
      <c r="BP61" s="10"/>
      <c r="BQ61" s="10"/>
      <c r="BR61" s="10"/>
    </row>
    <row r="62" spans="2:70" x14ac:dyDescent="0.2">
      <c r="B62" s="13"/>
      <c r="C62" s="12"/>
      <c r="D62" s="12"/>
      <c r="E62" s="12"/>
      <c r="F62" s="12"/>
      <c r="G62" s="12"/>
      <c r="H62" s="12"/>
      <c r="I62" s="12"/>
      <c r="J62" s="12"/>
      <c r="K62" s="18"/>
      <c r="L62" s="12"/>
      <c r="M62" s="12"/>
      <c r="N62" s="12"/>
      <c r="P62" s="16"/>
      <c r="Q62" s="16"/>
      <c r="R62" s="16"/>
      <c r="S62" s="15"/>
      <c r="T62" s="15"/>
      <c r="U62" s="15"/>
      <c r="V62" s="16"/>
      <c r="W62" s="16"/>
      <c r="X62" s="15"/>
      <c r="Y62" s="15"/>
      <c r="Z62" s="16"/>
      <c r="AA62" s="16"/>
      <c r="AB62" s="16"/>
      <c r="AC62" s="16"/>
      <c r="AD62" s="16"/>
      <c r="AE62" s="16"/>
      <c r="AF62" s="16"/>
      <c r="AG62" s="15"/>
      <c r="AH62" s="15"/>
      <c r="AI62" s="15"/>
      <c r="AJ62" s="15"/>
      <c r="AN62" s="11"/>
      <c r="AO62" s="11"/>
      <c r="AP62" s="11"/>
      <c r="AQ62" s="11"/>
      <c r="AR62" s="5"/>
      <c r="BG62" s="9"/>
      <c r="BH62" s="10"/>
      <c r="BI62" s="9"/>
      <c r="BK62" s="10"/>
      <c r="BL62" s="10"/>
      <c r="BM62" s="10"/>
      <c r="BO62" s="10"/>
      <c r="BP62" s="10"/>
      <c r="BQ62" s="10"/>
      <c r="BR62" s="10"/>
    </row>
    <row r="63" spans="2:70" x14ac:dyDescent="0.2">
      <c r="B63" s="13"/>
      <c r="C63" s="12"/>
      <c r="D63" s="12"/>
      <c r="E63" s="12"/>
      <c r="F63" s="12"/>
      <c r="G63" s="12"/>
      <c r="H63" s="12"/>
      <c r="I63" s="12"/>
      <c r="J63" s="12"/>
      <c r="K63" s="18"/>
      <c r="L63" s="12"/>
      <c r="M63" s="12"/>
      <c r="N63" s="12"/>
      <c r="P63" s="16"/>
      <c r="Q63" s="16"/>
      <c r="R63" s="16"/>
      <c r="S63" s="15"/>
      <c r="T63" s="15"/>
      <c r="U63" s="15"/>
      <c r="V63" s="16"/>
      <c r="W63" s="16"/>
      <c r="X63" s="15"/>
      <c r="Y63" s="15"/>
      <c r="Z63" s="16"/>
      <c r="AA63" s="16"/>
      <c r="AB63" s="16"/>
      <c r="AC63" s="16"/>
      <c r="AD63" s="16"/>
      <c r="AE63" s="16"/>
      <c r="AF63" s="16"/>
      <c r="AG63" s="15"/>
      <c r="AH63" s="15"/>
      <c r="AI63" s="15"/>
      <c r="AJ63" s="15"/>
      <c r="AN63" s="11"/>
      <c r="AO63" s="11"/>
      <c r="AP63" s="11"/>
      <c r="AQ63" s="11"/>
      <c r="AR63" s="5"/>
      <c r="BG63" s="9"/>
      <c r="BH63" s="10"/>
      <c r="BI63" s="9"/>
      <c r="BK63" s="10"/>
      <c r="BL63" s="10"/>
      <c r="BM63" s="10"/>
      <c r="BO63" s="10"/>
      <c r="BP63" s="10"/>
      <c r="BQ63" s="10"/>
      <c r="BR63" s="10"/>
    </row>
    <row r="64" spans="2:70" x14ac:dyDescent="0.2">
      <c r="B64" s="13"/>
      <c r="C64" s="12"/>
      <c r="D64" s="12"/>
      <c r="E64" s="12"/>
      <c r="F64" s="12"/>
      <c r="G64" s="12"/>
      <c r="H64" s="12"/>
      <c r="I64" s="12"/>
      <c r="J64" s="12"/>
      <c r="K64" s="18"/>
      <c r="L64" s="12"/>
      <c r="M64" s="12"/>
      <c r="N64" s="12"/>
      <c r="P64" s="16"/>
      <c r="Q64" s="16"/>
      <c r="R64" s="16"/>
      <c r="S64" s="15"/>
      <c r="T64" s="15"/>
      <c r="U64" s="15"/>
      <c r="V64" s="16"/>
      <c r="W64" s="16"/>
      <c r="X64" s="15"/>
      <c r="Y64" s="15"/>
      <c r="Z64" s="16"/>
      <c r="AA64" s="16"/>
      <c r="AB64" s="16"/>
      <c r="AC64" s="16"/>
      <c r="AD64" s="16"/>
      <c r="AE64" s="16"/>
      <c r="AF64" s="16"/>
      <c r="AG64" s="15"/>
      <c r="AH64" s="15"/>
      <c r="AI64" s="15"/>
      <c r="AJ64" s="15"/>
      <c r="AN64" s="11"/>
      <c r="AO64" s="11"/>
      <c r="AP64" s="11"/>
      <c r="AQ64" s="11"/>
      <c r="AR64" s="5"/>
      <c r="BG64" s="9"/>
      <c r="BH64" s="10"/>
      <c r="BI64" s="9"/>
      <c r="BK64" s="10"/>
      <c r="BL64" s="10"/>
      <c r="BM64" s="10"/>
      <c r="BO64" s="10"/>
      <c r="BP64" s="10"/>
      <c r="BQ64" s="10"/>
      <c r="BR64" s="10"/>
    </row>
    <row r="65" spans="2:70" x14ac:dyDescent="0.2">
      <c r="B65" s="13"/>
      <c r="C65" s="12"/>
      <c r="D65" s="12"/>
      <c r="E65" s="12"/>
      <c r="F65" s="12"/>
      <c r="G65" s="12"/>
      <c r="H65" s="12"/>
      <c r="I65" s="12"/>
      <c r="J65" s="12"/>
      <c r="K65" s="18"/>
      <c r="L65" s="12"/>
      <c r="M65" s="12"/>
      <c r="N65" s="12"/>
      <c r="P65" s="16"/>
      <c r="Q65" s="16"/>
      <c r="R65" s="16"/>
      <c r="S65" s="15"/>
      <c r="T65" s="15"/>
      <c r="U65" s="15"/>
      <c r="V65" s="16"/>
      <c r="W65" s="16"/>
      <c r="X65" s="15"/>
      <c r="Y65" s="15"/>
      <c r="Z65" s="16"/>
      <c r="AA65" s="16"/>
      <c r="AB65" s="16"/>
      <c r="AC65" s="16"/>
      <c r="AD65" s="16"/>
      <c r="AE65" s="16"/>
      <c r="AF65" s="16"/>
      <c r="AG65" s="15"/>
      <c r="AH65" s="15"/>
      <c r="AI65" s="15"/>
      <c r="AJ65" s="15"/>
      <c r="AN65" s="11"/>
      <c r="AO65" s="11"/>
      <c r="AP65" s="11"/>
      <c r="AQ65" s="11"/>
      <c r="AR65" s="5"/>
      <c r="BG65" s="9"/>
      <c r="BH65" s="10"/>
      <c r="BI65" s="9"/>
      <c r="BK65" s="10"/>
      <c r="BL65" s="10"/>
      <c r="BM65" s="10"/>
      <c r="BO65" s="10"/>
      <c r="BP65" s="10"/>
      <c r="BQ65" s="10"/>
      <c r="BR65" s="10"/>
    </row>
    <row r="66" spans="2:70" x14ac:dyDescent="0.2">
      <c r="B66" s="13"/>
      <c r="C66" s="12"/>
      <c r="D66" s="12"/>
      <c r="E66" s="12"/>
      <c r="F66" s="12"/>
      <c r="G66" s="12"/>
      <c r="H66" s="12"/>
      <c r="I66" s="12"/>
      <c r="J66" s="12"/>
      <c r="K66" s="18"/>
      <c r="L66" s="12"/>
      <c r="M66" s="12"/>
      <c r="N66" s="12"/>
      <c r="P66" s="16"/>
      <c r="Q66" s="16"/>
      <c r="R66" s="16"/>
      <c r="S66" s="15"/>
      <c r="T66" s="15"/>
      <c r="U66" s="15"/>
      <c r="V66" s="16"/>
      <c r="W66" s="16"/>
      <c r="X66" s="15"/>
      <c r="Y66" s="15"/>
      <c r="Z66" s="16"/>
      <c r="AA66" s="16"/>
      <c r="AB66" s="16"/>
      <c r="AC66" s="16"/>
      <c r="AD66" s="16"/>
      <c r="AE66" s="16"/>
      <c r="AF66" s="16"/>
      <c r="AG66" s="15"/>
      <c r="AH66" s="15"/>
      <c r="AI66" s="15"/>
      <c r="AJ66" s="15"/>
      <c r="AN66" s="11"/>
      <c r="AO66" s="11"/>
      <c r="AP66" s="11"/>
      <c r="AQ66" s="11"/>
      <c r="AR66" s="5"/>
      <c r="BG66" s="9"/>
      <c r="BH66" s="10"/>
      <c r="BI66" s="9"/>
      <c r="BK66" s="10"/>
      <c r="BL66" s="10"/>
      <c r="BM66" s="10"/>
      <c r="BO66" s="10"/>
      <c r="BP66" s="10"/>
      <c r="BQ66" s="10"/>
      <c r="BR66" s="10"/>
    </row>
    <row r="67" spans="2:70" x14ac:dyDescent="0.2">
      <c r="AN67" s="5"/>
      <c r="AO67" s="5"/>
      <c r="AP67" s="5"/>
      <c r="AQ67" s="5"/>
      <c r="AR67" s="5"/>
      <c r="BG67" s="8"/>
      <c r="BI67" s="8"/>
    </row>
    <row r="68" spans="2:70" x14ac:dyDescent="0.2">
      <c r="AN68" s="5"/>
      <c r="AO68" s="5"/>
      <c r="AP68" s="5"/>
      <c r="AQ68" s="5"/>
      <c r="AR68" s="5"/>
      <c r="BG68" s="8"/>
      <c r="BI68" s="8"/>
    </row>
    <row r="69" spans="2:70" x14ac:dyDescent="0.2">
      <c r="AN69" s="5"/>
      <c r="AO69" s="5"/>
      <c r="AP69" s="5"/>
      <c r="AQ69" s="5"/>
      <c r="AR69" s="5"/>
      <c r="BG69" s="8"/>
      <c r="BI69" s="8"/>
    </row>
    <row r="70" spans="2:70" x14ac:dyDescent="0.2">
      <c r="AN70" s="5"/>
      <c r="AO70" s="5"/>
      <c r="AP70" s="5"/>
      <c r="AQ70" s="5"/>
      <c r="AR70" s="5"/>
      <c r="BG70" s="8"/>
      <c r="BI70" s="8"/>
    </row>
    <row r="71" spans="2:70" x14ac:dyDescent="0.2">
      <c r="AN71" s="5"/>
      <c r="AO71" s="5"/>
      <c r="AP71" s="5"/>
      <c r="AQ71" s="5"/>
      <c r="AR71" s="5"/>
      <c r="BG71" s="8"/>
      <c r="BI71" s="8"/>
    </row>
    <row r="72" spans="2:70" x14ac:dyDescent="0.2">
      <c r="AN72" s="5"/>
      <c r="AO72" s="5"/>
      <c r="AP72" s="5"/>
      <c r="AQ72" s="5"/>
      <c r="AR72" s="5"/>
      <c r="BG72" s="8"/>
      <c r="BI72" s="8"/>
    </row>
    <row r="73" spans="2:70" x14ac:dyDescent="0.2">
      <c r="AN73" s="5"/>
      <c r="AO73" s="5"/>
      <c r="AP73" s="5"/>
      <c r="AQ73" s="5"/>
      <c r="AR73" s="5"/>
      <c r="BG73" s="8"/>
      <c r="BI73" s="8"/>
    </row>
    <row r="74" spans="2:70" x14ac:dyDescent="0.2">
      <c r="AN74" s="5"/>
      <c r="AO74" s="5"/>
      <c r="AP74" s="5"/>
      <c r="AQ74" s="5"/>
      <c r="AR74" s="5"/>
      <c r="BG74" s="8"/>
      <c r="BI74" s="8"/>
    </row>
    <row r="75" spans="2:70" x14ac:dyDescent="0.2">
      <c r="AN75" s="5"/>
      <c r="AO75" s="5"/>
      <c r="AP75" s="5"/>
      <c r="AQ75" s="5"/>
      <c r="AR75" s="5"/>
      <c r="BG75" s="8"/>
      <c r="BI75" s="8"/>
    </row>
    <row r="76" spans="2:70" x14ac:dyDescent="0.2">
      <c r="AN76" s="5"/>
      <c r="AO76" s="5"/>
      <c r="AP76" s="5"/>
      <c r="AQ76" s="5"/>
      <c r="AR76" s="5"/>
      <c r="BG76" s="8"/>
      <c r="BI76" s="8"/>
    </row>
    <row r="77" spans="2:70" x14ac:dyDescent="0.2">
      <c r="AN77" s="5"/>
      <c r="AO77" s="5"/>
      <c r="AP77" s="5"/>
      <c r="AQ77" s="5"/>
      <c r="AR77" s="5"/>
      <c r="BG77" s="8"/>
      <c r="BI77" s="8"/>
    </row>
    <row r="78" spans="2:70" x14ac:dyDescent="0.2">
      <c r="AN78" s="5"/>
      <c r="AO78" s="5"/>
      <c r="AP78" s="5"/>
      <c r="AQ78" s="5"/>
      <c r="AR78" s="5"/>
      <c r="BG78" s="8"/>
      <c r="BI78" s="8"/>
    </row>
    <row r="79" spans="2:70" x14ac:dyDescent="0.2">
      <c r="AN79" s="5"/>
      <c r="AO79" s="5"/>
      <c r="AP79" s="5"/>
      <c r="AQ79" s="5"/>
      <c r="AR79" s="5"/>
      <c r="BG79" s="8"/>
      <c r="BI79" s="8"/>
    </row>
    <row r="80" spans="2:70" x14ac:dyDescent="0.2">
      <c r="AN80" s="5"/>
      <c r="AO80" s="5"/>
      <c r="AP80" s="5"/>
      <c r="AQ80" s="5"/>
      <c r="AR80" s="5"/>
      <c r="BG80" s="8"/>
      <c r="BI80" s="8"/>
    </row>
    <row r="81" spans="40:61" x14ac:dyDescent="0.2">
      <c r="AN81" s="5"/>
      <c r="AO81" s="5"/>
      <c r="AP81" s="5"/>
      <c r="AQ81" s="5"/>
      <c r="AR81" s="5"/>
      <c r="BG81" s="8"/>
      <c r="BI81" s="8"/>
    </row>
    <row r="82" spans="40:61" x14ac:dyDescent="0.2">
      <c r="AN82" s="5"/>
      <c r="AO82" s="5"/>
      <c r="AP82" s="5"/>
      <c r="AQ82" s="5"/>
      <c r="AR82" s="5"/>
      <c r="BG82" s="8"/>
      <c r="BI82" s="8"/>
    </row>
    <row r="83" spans="40:61" x14ac:dyDescent="0.2">
      <c r="AN83" s="5"/>
      <c r="AO83" s="5"/>
      <c r="AP83" s="5"/>
      <c r="AQ83" s="5"/>
      <c r="AR83" s="5"/>
      <c r="BG83" s="8"/>
      <c r="BI83" s="8"/>
    </row>
    <row r="84" spans="40:61" x14ac:dyDescent="0.2">
      <c r="AN84" s="5"/>
      <c r="AO84" s="5"/>
      <c r="AP84" s="5"/>
      <c r="AQ84" s="5"/>
      <c r="AR84" s="5"/>
      <c r="BG84" s="8"/>
      <c r="BI84" s="8"/>
    </row>
    <row r="85" spans="40:61" x14ac:dyDescent="0.2">
      <c r="AN85" s="5"/>
      <c r="AO85" s="5"/>
      <c r="AP85" s="5"/>
      <c r="AQ85" s="5"/>
      <c r="AR85" s="5"/>
      <c r="BG85" s="8"/>
      <c r="BI85" s="8"/>
    </row>
    <row r="86" spans="40:61" x14ac:dyDescent="0.2">
      <c r="AN86" s="5"/>
      <c r="AO86" s="5"/>
      <c r="AP86" s="5"/>
      <c r="AQ86" s="5"/>
      <c r="AR86" s="5"/>
      <c r="BG86" s="8"/>
      <c r="BI86" s="8"/>
    </row>
    <row r="87" spans="40:61" x14ac:dyDescent="0.2">
      <c r="AN87" s="5"/>
      <c r="AO87" s="5"/>
      <c r="AP87" s="5"/>
      <c r="AQ87" s="5"/>
      <c r="AR87" s="5"/>
      <c r="BG87" s="8"/>
      <c r="BI87" s="8"/>
    </row>
    <row r="88" spans="40:61" x14ac:dyDescent="0.2">
      <c r="AN88" s="5"/>
      <c r="AO88" s="5"/>
      <c r="AP88" s="5"/>
      <c r="AQ88" s="5"/>
      <c r="AR88" s="5"/>
      <c r="BG88" s="8"/>
      <c r="BI88" s="8"/>
    </row>
    <row r="89" spans="40:61" x14ac:dyDescent="0.2">
      <c r="AN89" s="5"/>
      <c r="AO89" s="5"/>
      <c r="AP89" s="5"/>
      <c r="AQ89" s="5"/>
      <c r="AR89" s="5"/>
      <c r="BG89" s="8"/>
      <c r="BI89" s="8"/>
    </row>
    <row r="90" spans="40:61" x14ac:dyDescent="0.2">
      <c r="AN90" s="5"/>
      <c r="AO90" s="5"/>
      <c r="AP90" s="5"/>
      <c r="AQ90" s="5"/>
      <c r="AR90" s="5"/>
      <c r="BG90" s="8"/>
      <c r="BI90" s="8"/>
    </row>
    <row r="91" spans="40:61" x14ac:dyDescent="0.2">
      <c r="AN91" s="5"/>
      <c r="AO91" s="5"/>
      <c r="AP91" s="5"/>
      <c r="AQ91" s="5"/>
      <c r="AR91" s="5"/>
      <c r="BG91" s="8"/>
      <c r="BI91" s="8"/>
    </row>
    <row r="92" spans="40:61" x14ac:dyDescent="0.2">
      <c r="AN92" s="5"/>
      <c r="AO92" s="5"/>
      <c r="AP92" s="5"/>
      <c r="AQ92" s="5"/>
      <c r="AR92" s="5"/>
      <c r="BG92" s="8"/>
      <c r="BI92" s="8"/>
    </row>
    <row r="93" spans="40:61" x14ac:dyDescent="0.2">
      <c r="AN93" s="5"/>
      <c r="AO93" s="5"/>
      <c r="AP93" s="5"/>
      <c r="AQ93" s="5"/>
      <c r="AR93" s="5"/>
      <c r="BG93" s="8"/>
      <c r="BI93" s="8"/>
    </row>
    <row r="94" spans="40:61" x14ac:dyDescent="0.2">
      <c r="AN94" s="5"/>
      <c r="AO94" s="5"/>
      <c r="AP94" s="5"/>
      <c r="AQ94" s="5"/>
      <c r="AR94" s="5"/>
      <c r="BG94" s="8"/>
      <c r="BI94" s="8"/>
    </row>
    <row r="95" spans="40:61" x14ac:dyDescent="0.2">
      <c r="AN95" s="5"/>
      <c r="AO95" s="5"/>
      <c r="AP95" s="5"/>
      <c r="AQ95" s="5"/>
      <c r="AR95" s="5"/>
      <c r="BG95" s="8"/>
      <c r="BI95" s="8"/>
    </row>
    <row r="96" spans="40:61" x14ac:dyDescent="0.2">
      <c r="AN96" s="5"/>
      <c r="AO96" s="5"/>
      <c r="AP96" s="5"/>
      <c r="AQ96" s="5"/>
      <c r="AR96" s="5"/>
      <c r="BG96" s="8"/>
      <c r="BI96" s="8"/>
    </row>
    <row r="97" spans="40:61" x14ac:dyDescent="0.2">
      <c r="AN97" s="5"/>
      <c r="AO97" s="5"/>
      <c r="AP97" s="5"/>
      <c r="AQ97" s="5"/>
      <c r="AR97" s="5"/>
      <c r="BG97" s="8"/>
      <c r="BI97" s="8"/>
    </row>
    <row r="98" spans="40:61" x14ac:dyDescent="0.2">
      <c r="AN98" s="5"/>
      <c r="AO98" s="5"/>
      <c r="AP98" s="5"/>
      <c r="AQ98" s="5"/>
      <c r="AR98" s="5"/>
      <c r="BG98" s="8"/>
      <c r="BI98" s="8"/>
    </row>
    <row r="99" spans="40:61" x14ac:dyDescent="0.2">
      <c r="AN99" s="5"/>
      <c r="AO99" s="5"/>
      <c r="AP99" s="5"/>
      <c r="AQ99" s="5"/>
      <c r="AR99" s="5"/>
      <c r="BG99" s="8"/>
      <c r="BI99" s="8"/>
    </row>
    <row r="100" spans="40:61" x14ac:dyDescent="0.2">
      <c r="AN100" s="5"/>
      <c r="AO100" s="5"/>
      <c r="AP100" s="5"/>
      <c r="AQ100" s="5"/>
      <c r="AR100" s="5"/>
      <c r="BG100" s="8"/>
      <c r="BI100" s="8"/>
    </row>
    <row r="101" spans="40:61" x14ac:dyDescent="0.2">
      <c r="AN101" s="5"/>
      <c r="AO101" s="5"/>
      <c r="AP101" s="5"/>
      <c r="AQ101" s="5"/>
      <c r="AR101" s="5"/>
      <c r="BG101" s="8"/>
      <c r="BI101" s="8"/>
    </row>
    <row r="102" spans="40:61" x14ac:dyDescent="0.2">
      <c r="AN102" s="5"/>
      <c r="AO102" s="5"/>
      <c r="AP102" s="5"/>
      <c r="AQ102" s="5"/>
      <c r="AR102" s="5"/>
      <c r="BG102" s="8"/>
      <c r="BI102" s="8"/>
    </row>
    <row r="103" spans="40:61" x14ac:dyDescent="0.2">
      <c r="AN103" s="5"/>
      <c r="AO103" s="5"/>
      <c r="AP103" s="5"/>
      <c r="AQ103" s="5"/>
      <c r="AR103" s="5"/>
      <c r="BG103" s="8"/>
      <c r="BI103" s="8"/>
    </row>
    <row r="104" spans="40:61" x14ac:dyDescent="0.2">
      <c r="AN104" s="5"/>
      <c r="AO104" s="5"/>
      <c r="AP104" s="5"/>
      <c r="AQ104" s="5"/>
      <c r="AR104" s="5"/>
      <c r="BG104" s="8"/>
      <c r="BI104" s="8"/>
    </row>
    <row r="105" spans="40:61" x14ac:dyDescent="0.2">
      <c r="AN105" s="5"/>
      <c r="AO105" s="5"/>
      <c r="AP105" s="5"/>
      <c r="AQ105" s="5"/>
      <c r="AR105" s="5"/>
    </row>
    <row r="106" spans="40:61" x14ac:dyDescent="0.2">
      <c r="AN106" s="5"/>
      <c r="AO106" s="5"/>
      <c r="AP106" s="5"/>
      <c r="AQ106" s="5"/>
      <c r="AR106" s="5"/>
    </row>
    <row r="107" spans="40:61" x14ac:dyDescent="0.2">
      <c r="AN107" s="5"/>
      <c r="AO107" s="5"/>
      <c r="AP107" s="5"/>
      <c r="AQ107" s="5"/>
      <c r="AR10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6433-3FF4-3B40-A873-F79B41C708D7}">
  <dimension ref="B2:U7"/>
  <sheetViews>
    <sheetView tabSelected="1" topLeftCell="G1" zoomScale="90" workbookViewId="0">
      <selection activeCell="P15" sqref="P15"/>
    </sheetView>
  </sheetViews>
  <sheetFormatPr baseColWidth="10" defaultRowHeight="16" x14ac:dyDescent="0.2"/>
  <cols>
    <col min="1" max="1" width="2.5" customWidth="1"/>
    <col min="2" max="2" width="29" bestFit="1" customWidth="1"/>
    <col min="3" max="3" width="12.83203125" bestFit="1" customWidth="1"/>
    <col min="4" max="4" width="13.6640625" bestFit="1" customWidth="1"/>
    <col min="5" max="5" width="15.1640625" bestFit="1" customWidth="1"/>
    <col min="6" max="6" width="18.5" bestFit="1" customWidth="1"/>
    <col min="7" max="7" width="17.164062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5.1640625" bestFit="1" customWidth="1"/>
    <col min="14" max="14" width="12" bestFit="1" customWidth="1"/>
    <col min="15" max="15" width="10" bestFit="1" customWidth="1"/>
    <col min="16" max="16" width="12" bestFit="1" customWidth="1"/>
    <col min="17" max="17" width="2.6640625" customWidth="1"/>
  </cols>
  <sheetData>
    <row r="2" spans="2:21" x14ac:dyDescent="0.2">
      <c r="B2" s="20" t="s">
        <v>76</v>
      </c>
      <c r="R2" s="20" t="s">
        <v>78</v>
      </c>
      <c r="S2" s="22"/>
      <c r="T2" s="22"/>
      <c r="U2" s="22"/>
    </row>
    <row r="3" spans="2:21" ht="32" x14ac:dyDescent="0.2">
      <c r="B3" s="4" t="s">
        <v>43</v>
      </c>
      <c r="C3" s="4" t="s">
        <v>44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3" t="s">
        <v>55</v>
      </c>
      <c r="L3" s="3" t="s">
        <v>56</v>
      </c>
      <c r="M3" s="3" t="s">
        <v>3</v>
      </c>
      <c r="N3" s="19" t="s">
        <v>45</v>
      </c>
      <c r="O3" s="19" t="s">
        <v>46</v>
      </c>
      <c r="P3" s="19" t="s">
        <v>77</v>
      </c>
      <c r="R3" s="22" t="s">
        <v>78</v>
      </c>
      <c r="S3" s="22">
        <v>3.6</v>
      </c>
      <c r="T3" s="22" t="s">
        <v>79</v>
      </c>
      <c r="U3" s="22"/>
    </row>
    <row r="4" spans="2:21" x14ac:dyDescent="0.2">
      <c r="B4" s="21" t="str">
        <f>lc_detailed!AL4</f>
        <v>SE_DryMill_Existing_Non_CCS</v>
      </c>
      <c r="C4" s="21" t="str">
        <f>lc_detailed!AM4</f>
        <v>Biomass_Corn</v>
      </c>
      <c r="D4" s="21">
        <f>lc_detailed!AS4/$S$3</f>
        <v>0</v>
      </c>
      <c r="E4" s="21">
        <f>lc_detailed!AT4/$S$3</f>
        <v>0.13576824642126792</v>
      </c>
      <c r="F4" s="21">
        <f>lc_detailed!AU4/$S$3</f>
        <v>0</v>
      </c>
      <c r="G4" s="21">
        <f>lc_detailed!AV4/$S$3</f>
        <v>0.30385250511247447</v>
      </c>
      <c r="H4" s="21">
        <f>lc_detailed!AW4/$S$3</f>
        <v>0</v>
      </c>
      <c r="I4" s="21">
        <f>lc_detailed!AX4/$S$3</f>
        <v>1.6648573495991814</v>
      </c>
      <c r="J4" s="21">
        <f>lc_detailed!AY4/$S$3</f>
        <v>6.7868098159509209</v>
      </c>
      <c r="K4" s="21">
        <f>lc_detailed!BA4/$S$3</f>
        <v>0</v>
      </c>
      <c r="L4" s="21">
        <f>lc_detailed!BB4/$S$3</f>
        <v>1.4131135129099206</v>
      </c>
      <c r="M4" s="21">
        <f>lc_detailed!AZ4</f>
        <v>4.1652201340527828E-2</v>
      </c>
      <c r="N4" s="21">
        <f>lc_detailed!AN4</f>
        <v>37.095845147977556</v>
      </c>
      <c r="O4" s="21">
        <f>N4/$S$3</f>
        <v>10.304401429993765</v>
      </c>
      <c r="P4" s="21">
        <f>SUM(D4:L4)</f>
        <v>10.304401429993764</v>
      </c>
    </row>
    <row r="5" spans="2:21" x14ac:dyDescent="0.2">
      <c r="B5" s="21" t="str">
        <f>lc_detailed!AL5</f>
        <v>SE_Biochemical_Non_CCS</v>
      </c>
      <c r="C5" s="21" t="str">
        <f>lc_detailed!AM5</f>
        <v>Biomass_Herb</v>
      </c>
      <c r="D5" s="21">
        <f>lc_detailed!AS5/$S$3</f>
        <v>-0.58361349436886112</v>
      </c>
      <c r="E5" s="21">
        <f>lc_detailed!AT5/$S$3</f>
        <v>0</v>
      </c>
      <c r="F5" s="21">
        <f>lc_detailed!AU5/$S$3</f>
        <v>13.128134918076242</v>
      </c>
      <c r="G5" s="21">
        <f>lc_detailed!AV5/$S$3</f>
        <v>0</v>
      </c>
      <c r="H5" s="21">
        <f>lc_detailed!AW5/$S$3</f>
        <v>14.915087692090401</v>
      </c>
      <c r="I5" s="21">
        <f>lc_detailed!AX5/$S$3</f>
        <v>4.4296919408554887</v>
      </c>
      <c r="J5" s="21">
        <f>lc_detailed!AY5/$S$3</f>
        <v>9.9727040213209541</v>
      </c>
      <c r="K5" s="21">
        <f>lc_detailed!BA5/$S$3</f>
        <v>0</v>
      </c>
      <c r="L5" s="21">
        <f>lc_detailed!BB5/$S$3</f>
        <v>0</v>
      </c>
      <c r="M5" s="21">
        <f>lc_detailed!AZ5</f>
        <v>0</v>
      </c>
      <c r="N5" s="21">
        <f>lc_detailed!AN5</f>
        <v>150.7032182807072</v>
      </c>
      <c r="O5" s="21">
        <f t="shared" ref="O5:O37" si="0">N5/$S$3</f>
        <v>41.862005077974224</v>
      </c>
      <c r="P5" s="21">
        <f t="shared" ref="P5:P37" si="1">SUM(D5:L5)</f>
        <v>41.862005077974224</v>
      </c>
    </row>
    <row r="6" spans="2:21" x14ac:dyDescent="0.2">
      <c r="B6" s="21" t="str">
        <f>lc_detailed!AL6</f>
        <v>SE_Biochemical_CCS_20</v>
      </c>
      <c r="C6" s="21" t="str">
        <f>lc_detailed!AM6</f>
        <v>Biomass_Herb</v>
      </c>
      <c r="D6" s="21">
        <f>lc_detailed!AS6/$S$3</f>
        <v>-0.58361349436886112</v>
      </c>
      <c r="E6" s="21">
        <f>lc_detailed!AT6/$S$3</f>
        <v>0</v>
      </c>
      <c r="F6" s="21">
        <f>lc_detailed!AU6/$S$3</f>
        <v>13.128134918076242</v>
      </c>
      <c r="G6" s="21">
        <f>lc_detailed!AV6/$S$3</f>
        <v>0</v>
      </c>
      <c r="H6" s="21">
        <f>lc_detailed!AW6/$S$3</f>
        <v>14.951267446798838</v>
      </c>
      <c r="I6" s="21">
        <f>lc_detailed!AX6/$S$3</f>
        <v>4.449038910034111</v>
      </c>
      <c r="J6" s="21">
        <f>lc_detailed!AY6/$S$3</f>
        <v>9.9780772454703719</v>
      </c>
      <c r="K6" s="21">
        <f>lc_detailed!BA6/$S$3</f>
        <v>-3.8135791923685884</v>
      </c>
      <c r="L6" s="21">
        <f>lc_detailed!BB6/$S$3</f>
        <v>0</v>
      </c>
      <c r="M6" s="21">
        <f>lc_detailed!AZ6</f>
        <v>0</v>
      </c>
      <c r="N6" s="21">
        <f>lc_detailed!AN6</f>
        <v>137.19357300111162</v>
      </c>
      <c r="O6" s="21">
        <f t="shared" si="0"/>
        <v>38.109325833642117</v>
      </c>
      <c r="P6" s="21">
        <f t="shared" si="1"/>
        <v>38.109325833642117</v>
      </c>
    </row>
    <row r="7" spans="2:21" x14ac:dyDescent="0.2">
      <c r="B7" s="21" t="str">
        <f>lc_detailed!AL7</f>
        <v>SE_Biochemical_CCS_86</v>
      </c>
      <c r="C7" s="21" t="str">
        <f>lc_detailed!AM7</f>
        <v>Biomass_Agri</v>
      </c>
      <c r="D7" s="21">
        <f>lc_detailed!AS7/$S$3</f>
        <v>-0.58361349436886112</v>
      </c>
      <c r="E7" s="21">
        <f>lc_detailed!AT7/$S$3</f>
        <v>1.2366708112135607</v>
      </c>
      <c r="F7" s="21">
        <f>lc_detailed!AU7/$S$3</f>
        <v>10.691645711092482</v>
      </c>
      <c r="G7" s="21">
        <f>lc_detailed!AV7/$S$3</f>
        <v>0</v>
      </c>
      <c r="H7" s="21">
        <f>lc_detailed!AW7/$S$3</f>
        <v>16.517339197139297</v>
      </c>
      <c r="I7" s="21">
        <f>lc_detailed!AX7/$S$3</f>
        <v>5.3058341680868315</v>
      </c>
      <c r="J7" s="21">
        <f>lc_detailed!AY7/$S$3</f>
        <v>10.191215136730642</v>
      </c>
      <c r="K7" s="21">
        <f>lc_detailed!BA7/$S$3</f>
        <v>-16.659319629820676</v>
      </c>
      <c r="L7" s="21">
        <f>lc_detailed!BB7/$S$3</f>
        <v>0</v>
      </c>
      <c r="M7" s="21">
        <f>lc_detailed!AZ7</f>
        <v>0</v>
      </c>
      <c r="N7" s="21">
        <f>lc_detailed!AN7</f>
        <v>96.1191788402638</v>
      </c>
      <c r="O7" s="21">
        <f t="shared" si="0"/>
        <v>26.699771900073276</v>
      </c>
      <c r="P7" s="21">
        <f t="shared" si="1"/>
        <v>26.699771900073276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2026-04-11T14:22:56Z</dcterms:modified>
</cp:coreProperties>
</file>