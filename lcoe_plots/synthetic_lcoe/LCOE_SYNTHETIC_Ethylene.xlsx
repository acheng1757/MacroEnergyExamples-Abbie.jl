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lcoe_plots/synthetic_lcoe/"/>
    </mc:Choice>
  </mc:AlternateContent>
  <xr:revisionPtr revIDLastSave="0" documentId="13_ncr:1_{A276AAE9-E386-C249-88D9-7E0043B35534}" xr6:coauthVersionLast="47" xr6:coauthVersionMax="47" xr10:uidLastSave="{00000000-0000-0000-0000-000000000000}"/>
  <bookViews>
    <workbookView xWindow="0" yWindow="740" windowWidth="29380" windowHeight="17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1" l="1"/>
  <c r="AJ6" i="1"/>
  <c r="BI66" i="1"/>
  <c r="BH66" i="1"/>
  <c r="BJ66" i="1" s="1"/>
  <c r="BF66" i="1"/>
  <c r="BE66" i="1"/>
  <c r="BG66" i="1" s="1"/>
  <c r="BC66" i="1"/>
  <c r="BB66" i="1"/>
  <c r="BD66" i="1" s="1"/>
  <c r="AZ66" i="1"/>
  <c r="AY66" i="1"/>
  <c r="BA66" i="1" s="1"/>
  <c r="AX66" i="1"/>
  <c r="AW66" i="1"/>
  <c r="AV66" i="1"/>
  <c r="AU66" i="1"/>
  <c r="AT66" i="1"/>
  <c r="AS66" i="1"/>
  <c r="AR66" i="1"/>
  <c r="AK66" i="1"/>
  <c r="AJ66" i="1"/>
  <c r="L66" i="1"/>
  <c r="BI65" i="1"/>
  <c r="AP65" i="1" s="1"/>
  <c r="BH65" i="1"/>
  <c r="BJ65" i="1" s="1"/>
  <c r="BF65" i="1"/>
  <c r="BE65" i="1"/>
  <c r="BG65" i="1" s="1"/>
  <c r="AO65" i="1" s="1"/>
  <c r="AQ65" i="1" s="1"/>
  <c r="BD65" i="1"/>
  <c r="BC65" i="1"/>
  <c r="BB65" i="1"/>
  <c r="BA65" i="1"/>
  <c r="AZ65" i="1"/>
  <c r="AL65" i="1" s="1"/>
  <c r="AN65" i="1" s="1"/>
  <c r="AY65" i="1"/>
  <c r="AX65" i="1"/>
  <c r="AW65" i="1"/>
  <c r="AV65" i="1"/>
  <c r="AU65" i="1"/>
  <c r="AT65" i="1"/>
  <c r="AS65" i="1"/>
  <c r="AR65" i="1"/>
  <c r="AM65" i="1"/>
  <c r="AK65" i="1"/>
  <c r="AJ65" i="1"/>
  <c r="L65" i="1"/>
  <c r="BI64" i="1"/>
  <c r="BH64" i="1"/>
  <c r="BJ64" i="1" s="1"/>
  <c r="AP64" i="1" s="1"/>
  <c r="BG64" i="1"/>
  <c r="AO64" i="1" s="1"/>
  <c r="AQ64" i="1" s="1"/>
  <c r="BF64" i="1"/>
  <c r="BE64" i="1"/>
  <c r="BD64" i="1"/>
  <c r="AM64" i="1" s="1"/>
  <c r="BC64" i="1"/>
  <c r="BB64" i="1"/>
  <c r="AZ64" i="1"/>
  <c r="AY64" i="1"/>
  <c r="BA64" i="1" s="1"/>
  <c r="AX64" i="1"/>
  <c r="AW64" i="1"/>
  <c r="AV64" i="1"/>
  <c r="AU64" i="1"/>
  <c r="AT64" i="1"/>
  <c r="AS64" i="1"/>
  <c r="AR64" i="1"/>
  <c r="AK64" i="1"/>
  <c r="AJ64" i="1"/>
  <c r="L64" i="1"/>
  <c r="BI63" i="1"/>
  <c r="AP63" i="1" s="1"/>
  <c r="BH63" i="1"/>
  <c r="BJ63" i="1" s="1"/>
  <c r="BF63" i="1"/>
  <c r="BE63" i="1"/>
  <c r="BG63" i="1" s="1"/>
  <c r="AO63" i="1" s="1"/>
  <c r="BD63" i="1"/>
  <c r="BC63" i="1"/>
  <c r="AM63" i="1" s="1"/>
  <c r="BB63" i="1"/>
  <c r="BA63" i="1"/>
  <c r="AZ63" i="1"/>
  <c r="AL63" i="1" s="1"/>
  <c r="AN63" i="1" s="1"/>
  <c r="AY63" i="1"/>
  <c r="AX63" i="1"/>
  <c r="AW63" i="1"/>
  <c r="AV63" i="1"/>
  <c r="AU63" i="1"/>
  <c r="AT63" i="1"/>
  <c r="AS63" i="1"/>
  <c r="AR63" i="1"/>
  <c r="AK63" i="1"/>
  <c r="AJ63" i="1"/>
  <c r="L63" i="1"/>
  <c r="BI62" i="1"/>
  <c r="BH62" i="1"/>
  <c r="BJ62" i="1" s="1"/>
  <c r="BG62" i="1"/>
  <c r="AO62" i="1" s="1"/>
  <c r="BF62" i="1"/>
  <c r="BE62" i="1"/>
  <c r="BD62" i="1"/>
  <c r="BC62" i="1"/>
  <c r="BB62" i="1"/>
  <c r="AZ62" i="1"/>
  <c r="AY62" i="1"/>
  <c r="BA62" i="1" s="1"/>
  <c r="AX62" i="1"/>
  <c r="AW62" i="1"/>
  <c r="AV62" i="1"/>
  <c r="AU62" i="1"/>
  <c r="AT62" i="1"/>
  <c r="AS62" i="1"/>
  <c r="AR62" i="1"/>
  <c r="AK62" i="1"/>
  <c r="AJ62" i="1"/>
  <c r="L62" i="1"/>
  <c r="BI61" i="1"/>
  <c r="BH61" i="1"/>
  <c r="BJ61" i="1" s="1"/>
  <c r="BF61" i="1"/>
  <c r="BE61" i="1"/>
  <c r="BG61" i="1" s="1"/>
  <c r="AO61" i="1" s="1"/>
  <c r="BD61" i="1"/>
  <c r="BC61" i="1"/>
  <c r="AM61" i="1" s="1"/>
  <c r="AN61" i="1" s="1"/>
  <c r="BB61" i="1"/>
  <c r="BA61" i="1"/>
  <c r="AZ61" i="1"/>
  <c r="AL61" i="1" s="1"/>
  <c r="AY61" i="1"/>
  <c r="AX61" i="1"/>
  <c r="AW61" i="1"/>
  <c r="AV61" i="1"/>
  <c r="AU61" i="1"/>
  <c r="AT61" i="1"/>
  <c r="AS61" i="1"/>
  <c r="AR61" i="1"/>
  <c r="AK61" i="1"/>
  <c r="AJ61" i="1"/>
  <c r="L61" i="1"/>
  <c r="BI60" i="1"/>
  <c r="BH60" i="1"/>
  <c r="BJ60" i="1" s="1"/>
  <c r="BG60" i="1"/>
  <c r="BF60" i="1"/>
  <c r="BE60" i="1"/>
  <c r="BD60" i="1"/>
  <c r="AM60" i="1" s="1"/>
  <c r="BC60" i="1"/>
  <c r="BB60" i="1"/>
  <c r="AZ60" i="1"/>
  <c r="AY60" i="1"/>
  <c r="BA60" i="1" s="1"/>
  <c r="AX60" i="1"/>
  <c r="AW60" i="1"/>
  <c r="AV60" i="1"/>
  <c r="AU60" i="1"/>
  <c r="AT60" i="1"/>
  <c r="AS60" i="1"/>
  <c r="AR60" i="1"/>
  <c r="AK60" i="1"/>
  <c r="AJ60" i="1"/>
  <c r="L60" i="1"/>
  <c r="BI59" i="1"/>
  <c r="AP59" i="1" s="1"/>
  <c r="BH59" i="1"/>
  <c r="BJ59" i="1" s="1"/>
  <c r="BF59" i="1"/>
  <c r="BE59" i="1"/>
  <c r="BG59" i="1" s="1"/>
  <c r="AO59" i="1" s="1"/>
  <c r="BD59" i="1"/>
  <c r="BC59" i="1"/>
  <c r="BB59" i="1"/>
  <c r="BA59" i="1"/>
  <c r="AZ59" i="1"/>
  <c r="AL59" i="1" s="1"/>
  <c r="AN59" i="1" s="1"/>
  <c r="AY59" i="1"/>
  <c r="AX59" i="1"/>
  <c r="AW59" i="1"/>
  <c r="AV59" i="1"/>
  <c r="AU59" i="1"/>
  <c r="AT59" i="1"/>
  <c r="AS59" i="1"/>
  <c r="AR59" i="1"/>
  <c r="AM59" i="1"/>
  <c r="AK59" i="1"/>
  <c r="AJ59" i="1"/>
  <c r="L59" i="1"/>
  <c r="BI58" i="1"/>
  <c r="BH58" i="1"/>
  <c r="BJ58" i="1" s="1"/>
  <c r="AP58" i="1" s="1"/>
  <c r="BG58" i="1"/>
  <c r="AO58" i="1" s="1"/>
  <c r="BF58" i="1"/>
  <c r="BE58" i="1"/>
  <c r="BD58" i="1"/>
  <c r="AM58" i="1" s="1"/>
  <c r="BC58" i="1"/>
  <c r="BB58" i="1"/>
  <c r="AZ58" i="1"/>
  <c r="AY58" i="1"/>
  <c r="BA58" i="1" s="1"/>
  <c r="AX58" i="1"/>
  <c r="AW58" i="1"/>
  <c r="AV58" i="1"/>
  <c r="AU58" i="1"/>
  <c r="AT58" i="1"/>
  <c r="AS58" i="1"/>
  <c r="AR58" i="1"/>
  <c r="AQ58" i="1"/>
  <c r="AK58" i="1"/>
  <c r="AJ58" i="1"/>
  <c r="L58" i="1"/>
  <c r="BI57" i="1"/>
  <c r="AP57" i="1" s="1"/>
  <c r="BH57" i="1"/>
  <c r="BJ57" i="1" s="1"/>
  <c r="BF57" i="1"/>
  <c r="BE57" i="1"/>
  <c r="BG57" i="1" s="1"/>
  <c r="AO57" i="1" s="1"/>
  <c r="BD57" i="1"/>
  <c r="BC57" i="1"/>
  <c r="AM57" i="1" s="1"/>
  <c r="BB57" i="1"/>
  <c r="BA57" i="1"/>
  <c r="AZ57" i="1"/>
  <c r="AL57" i="1" s="1"/>
  <c r="AN57" i="1" s="1"/>
  <c r="AY57" i="1"/>
  <c r="AX57" i="1"/>
  <c r="AW57" i="1"/>
  <c r="AV57" i="1"/>
  <c r="AU57" i="1"/>
  <c r="AT57" i="1"/>
  <c r="AS57" i="1"/>
  <c r="AR57" i="1"/>
  <c r="AK57" i="1"/>
  <c r="AJ57" i="1"/>
  <c r="L57" i="1"/>
  <c r="BI56" i="1"/>
  <c r="BH56" i="1"/>
  <c r="BJ56" i="1" s="1"/>
  <c r="AP56" i="1" s="1"/>
  <c r="BG56" i="1"/>
  <c r="BF56" i="1"/>
  <c r="BE56" i="1"/>
  <c r="BD56" i="1"/>
  <c r="BC56" i="1"/>
  <c r="BB56" i="1"/>
  <c r="AZ56" i="1"/>
  <c r="AY56" i="1"/>
  <c r="BA56" i="1" s="1"/>
  <c r="AX56" i="1"/>
  <c r="AW56" i="1"/>
  <c r="AV56" i="1"/>
  <c r="AU56" i="1"/>
  <c r="AT56" i="1"/>
  <c r="AS56" i="1"/>
  <c r="AR56" i="1"/>
  <c r="AO56" i="1" s="1"/>
  <c r="AQ56" i="1" s="1"/>
  <c r="AK56" i="1"/>
  <c r="AJ56" i="1"/>
  <c r="L56" i="1"/>
  <c r="BI55" i="1"/>
  <c r="AP55" i="1" s="1"/>
  <c r="BH55" i="1"/>
  <c r="BJ55" i="1" s="1"/>
  <c r="BF55" i="1"/>
  <c r="BE55" i="1"/>
  <c r="BG55" i="1" s="1"/>
  <c r="AO55" i="1" s="1"/>
  <c r="AQ55" i="1" s="1"/>
  <c r="BD55" i="1"/>
  <c r="BC55" i="1"/>
  <c r="BB55" i="1"/>
  <c r="BA55" i="1"/>
  <c r="AZ55" i="1"/>
  <c r="AL55" i="1" s="1"/>
  <c r="AN55" i="1" s="1"/>
  <c r="AY55" i="1"/>
  <c r="AX55" i="1"/>
  <c r="AW55" i="1"/>
  <c r="AV55" i="1"/>
  <c r="AU55" i="1"/>
  <c r="AT55" i="1"/>
  <c r="AS55" i="1"/>
  <c r="AR55" i="1"/>
  <c r="AM55" i="1"/>
  <c r="AK55" i="1"/>
  <c r="AJ55" i="1"/>
  <c r="L55" i="1"/>
  <c r="BI54" i="1"/>
  <c r="BH54" i="1"/>
  <c r="BJ54" i="1" s="1"/>
  <c r="AP54" i="1" s="1"/>
  <c r="BG54" i="1"/>
  <c r="BF54" i="1"/>
  <c r="BE54" i="1"/>
  <c r="BD54" i="1"/>
  <c r="AM54" i="1" s="1"/>
  <c r="BC54" i="1"/>
  <c r="BB54" i="1"/>
  <c r="AZ54" i="1"/>
  <c r="AY54" i="1"/>
  <c r="BA54" i="1" s="1"/>
  <c r="AX54" i="1"/>
  <c r="AW54" i="1"/>
  <c r="AV54" i="1"/>
  <c r="AU54" i="1"/>
  <c r="AT54" i="1"/>
  <c r="AS54" i="1"/>
  <c r="AR54" i="1"/>
  <c r="AO54" i="1"/>
  <c r="AQ54" i="1" s="1"/>
  <c r="AK54" i="1"/>
  <c r="AJ54" i="1"/>
  <c r="L54" i="1"/>
  <c r="BI53" i="1"/>
  <c r="BH53" i="1"/>
  <c r="BJ53" i="1" s="1"/>
  <c r="BF53" i="1"/>
  <c r="BE53" i="1"/>
  <c r="BG53" i="1" s="1"/>
  <c r="AO53" i="1" s="1"/>
  <c r="BD53" i="1"/>
  <c r="BC53" i="1"/>
  <c r="AM53" i="1" s="1"/>
  <c r="BB53" i="1"/>
  <c r="BA53" i="1"/>
  <c r="AZ53" i="1"/>
  <c r="AY53" i="1"/>
  <c r="AX53" i="1"/>
  <c r="AW53" i="1"/>
  <c r="AV53" i="1"/>
  <c r="AU53" i="1"/>
  <c r="AT53" i="1"/>
  <c r="AS53" i="1"/>
  <c r="AR53" i="1"/>
  <c r="AK53" i="1"/>
  <c r="AJ53" i="1"/>
  <c r="L53" i="1"/>
  <c r="BI52" i="1"/>
  <c r="BH52" i="1"/>
  <c r="BJ52" i="1" s="1"/>
  <c r="BF52" i="1"/>
  <c r="BE52" i="1"/>
  <c r="BG52" i="1" s="1"/>
  <c r="AO52" i="1" s="1"/>
  <c r="BD52" i="1"/>
  <c r="BC52" i="1"/>
  <c r="BB52" i="1"/>
  <c r="AZ52" i="1"/>
  <c r="AY52" i="1"/>
  <c r="BA52" i="1" s="1"/>
  <c r="AX52" i="1"/>
  <c r="AW52" i="1"/>
  <c r="AV52" i="1"/>
  <c r="AU52" i="1"/>
  <c r="AT52" i="1"/>
  <c r="AS52" i="1"/>
  <c r="AR52" i="1"/>
  <c r="AK52" i="1"/>
  <c r="AJ52" i="1"/>
  <c r="L52" i="1"/>
  <c r="BI51" i="1"/>
  <c r="BH51" i="1"/>
  <c r="BJ51" i="1" s="1"/>
  <c r="BF51" i="1"/>
  <c r="BE51" i="1"/>
  <c r="BG51" i="1" s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M51" i="1" s="1"/>
  <c r="AK51" i="1"/>
  <c r="AJ51" i="1"/>
  <c r="L51" i="1"/>
  <c r="BI50" i="1"/>
  <c r="BH50" i="1"/>
  <c r="BJ50" i="1" s="1"/>
  <c r="BG50" i="1"/>
  <c r="BF50" i="1"/>
  <c r="BE50" i="1"/>
  <c r="BD50" i="1"/>
  <c r="BC50" i="1"/>
  <c r="BB50" i="1"/>
  <c r="AZ50" i="1"/>
  <c r="AY50" i="1"/>
  <c r="BA50" i="1" s="1"/>
  <c r="AX50" i="1"/>
  <c r="AW50" i="1"/>
  <c r="AV50" i="1"/>
  <c r="AU50" i="1"/>
  <c r="AT50" i="1"/>
  <c r="AS50" i="1"/>
  <c r="AR50" i="1"/>
  <c r="AO50" i="1" s="1"/>
  <c r="AK50" i="1"/>
  <c r="AJ50" i="1"/>
  <c r="L50" i="1"/>
  <c r="BI49" i="1"/>
  <c r="BH49" i="1"/>
  <c r="BJ49" i="1" s="1"/>
  <c r="BF49" i="1"/>
  <c r="BE49" i="1"/>
  <c r="BG49" i="1" s="1"/>
  <c r="AO49" i="1" s="1"/>
  <c r="BD49" i="1"/>
  <c r="AM49" i="1" s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K49" i="1"/>
  <c r="AJ49" i="1"/>
  <c r="L49" i="1"/>
  <c r="BI48" i="1"/>
  <c r="BH48" i="1"/>
  <c r="BJ48" i="1" s="1"/>
  <c r="AP48" i="1" s="1"/>
  <c r="BF48" i="1"/>
  <c r="BE48" i="1"/>
  <c r="BG48" i="1" s="1"/>
  <c r="AO48" i="1" s="1"/>
  <c r="AQ48" i="1" s="1"/>
  <c r="BD48" i="1"/>
  <c r="AM48" i="1" s="1"/>
  <c r="BC48" i="1"/>
  <c r="BB48" i="1"/>
  <c r="AZ48" i="1"/>
  <c r="AY48" i="1"/>
  <c r="BA48" i="1" s="1"/>
  <c r="AX48" i="1"/>
  <c r="AW48" i="1"/>
  <c r="AV48" i="1"/>
  <c r="AU48" i="1"/>
  <c r="AT48" i="1"/>
  <c r="AS48" i="1"/>
  <c r="AR48" i="1"/>
  <c r="AK48" i="1"/>
  <c r="AJ48" i="1"/>
  <c r="L48" i="1"/>
  <c r="BI47" i="1"/>
  <c r="BH47" i="1"/>
  <c r="BJ47" i="1" s="1"/>
  <c r="BF47" i="1"/>
  <c r="BE47" i="1"/>
  <c r="BG47" i="1" s="1"/>
  <c r="BD47" i="1"/>
  <c r="BC47" i="1"/>
  <c r="AM47" i="1" s="1"/>
  <c r="BB47" i="1"/>
  <c r="BA47" i="1"/>
  <c r="AZ47" i="1"/>
  <c r="AY47" i="1"/>
  <c r="AX47" i="1"/>
  <c r="AW47" i="1"/>
  <c r="AV47" i="1"/>
  <c r="AU47" i="1"/>
  <c r="AT47" i="1"/>
  <c r="AS47" i="1"/>
  <c r="AR47" i="1"/>
  <c r="AK47" i="1"/>
  <c r="AJ47" i="1"/>
  <c r="L47" i="1"/>
  <c r="BI46" i="1"/>
  <c r="BH46" i="1"/>
  <c r="BJ46" i="1" s="1"/>
  <c r="AP46" i="1" s="1"/>
  <c r="BG46" i="1"/>
  <c r="BF46" i="1"/>
  <c r="BE46" i="1"/>
  <c r="BD46" i="1"/>
  <c r="BC46" i="1"/>
  <c r="BB46" i="1"/>
  <c r="AZ46" i="1"/>
  <c r="AY46" i="1"/>
  <c r="BA46" i="1" s="1"/>
  <c r="AX46" i="1"/>
  <c r="AW46" i="1"/>
  <c r="AV46" i="1"/>
  <c r="AU46" i="1"/>
  <c r="AT46" i="1"/>
  <c r="AS46" i="1"/>
  <c r="AR46" i="1"/>
  <c r="AO46" i="1" s="1"/>
  <c r="AQ46" i="1" s="1"/>
  <c r="AK46" i="1"/>
  <c r="AJ46" i="1"/>
  <c r="L46" i="1"/>
  <c r="BI45" i="1"/>
  <c r="BH45" i="1"/>
  <c r="BJ45" i="1" s="1"/>
  <c r="BF45" i="1"/>
  <c r="BE45" i="1"/>
  <c r="BG45" i="1" s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M45" i="1"/>
  <c r="AK45" i="1"/>
  <c r="AJ45" i="1"/>
  <c r="L45" i="1"/>
  <c r="BI44" i="1"/>
  <c r="BH44" i="1"/>
  <c r="BJ44" i="1" s="1"/>
  <c r="AP44" i="1" s="1"/>
  <c r="BF44" i="1"/>
  <c r="BE44" i="1"/>
  <c r="BG44" i="1" s="1"/>
  <c r="AO44" i="1" s="1"/>
  <c r="AQ44" i="1" s="1"/>
  <c r="BD44" i="1"/>
  <c r="AM44" i="1" s="1"/>
  <c r="BC44" i="1"/>
  <c r="BB44" i="1"/>
  <c r="AZ44" i="1"/>
  <c r="AY44" i="1"/>
  <c r="BA44" i="1" s="1"/>
  <c r="AX44" i="1"/>
  <c r="AW44" i="1"/>
  <c r="AV44" i="1"/>
  <c r="AU44" i="1"/>
  <c r="AT44" i="1"/>
  <c r="AS44" i="1"/>
  <c r="AR44" i="1"/>
  <c r="AK44" i="1"/>
  <c r="AJ44" i="1"/>
  <c r="L44" i="1"/>
  <c r="BI43" i="1"/>
  <c r="BH43" i="1"/>
  <c r="BJ43" i="1" s="1"/>
  <c r="BF43" i="1"/>
  <c r="BE43" i="1"/>
  <c r="BG43" i="1" s="1"/>
  <c r="AO43" i="1" s="1"/>
  <c r="BD43" i="1"/>
  <c r="BC43" i="1"/>
  <c r="AM43" i="1" s="1"/>
  <c r="BB43" i="1"/>
  <c r="BA43" i="1"/>
  <c r="AZ43" i="1"/>
  <c r="AY43" i="1"/>
  <c r="AX43" i="1"/>
  <c r="AW43" i="1"/>
  <c r="AV43" i="1"/>
  <c r="AU43" i="1"/>
  <c r="AT43" i="1"/>
  <c r="AS43" i="1"/>
  <c r="AR43" i="1"/>
  <c r="AK43" i="1"/>
  <c r="AJ43" i="1"/>
  <c r="L43" i="1"/>
  <c r="BI42" i="1"/>
  <c r="BH42" i="1"/>
  <c r="BJ42" i="1" s="1"/>
  <c r="BF42" i="1"/>
  <c r="BE42" i="1"/>
  <c r="BG42" i="1" s="1"/>
  <c r="AO42" i="1" s="1"/>
  <c r="BD42" i="1"/>
  <c r="AM42" i="1" s="1"/>
  <c r="BC42" i="1"/>
  <c r="BB42" i="1"/>
  <c r="AZ42" i="1"/>
  <c r="AY42" i="1"/>
  <c r="BA42" i="1" s="1"/>
  <c r="AX42" i="1"/>
  <c r="AW42" i="1"/>
  <c r="AV42" i="1"/>
  <c r="AU42" i="1"/>
  <c r="AT42" i="1"/>
  <c r="AS42" i="1"/>
  <c r="AR42" i="1"/>
  <c r="AK42" i="1"/>
  <c r="AJ42" i="1"/>
  <c r="L42" i="1"/>
  <c r="BI41" i="1"/>
  <c r="AP41" i="1" s="1"/>
  <c r="BH41" i="1"/>
  <c r="BJ41" i="1" s="1"/>
  <c r="BF41" i="1"/>
  <c r="BE41" i="1"/>
  <c r="BG41" i="1" s="1"/>
  <c r="BD41" i="1"/>
  <c r="BC41" i="1"/>
  <c r="AM41" i="1" s="1"/>
  <c r="BB41" i="1"/>
  <c r="BA41" i="1"/>
  <c r="AZ41" i="1"/>
  <c r="AY41" i="1"/>
  <c r="AX41" i="1"/>
  <c r="AW41" i="1"/>
  <c r="AV41" i="1"/>
  <c r="AU41" i="1"/>
  <c r="AT41" i="1"/>
  <c r="AS41" i="1"/>
  <c r="AR41" i="1"/>
  <c r="AK41" i="1"/>
  <c r="AJ41" i="1"/>
  <c r="L41" i="1"/>
  <c r="BI40" i="1"/>
  <c r="BH40" i="1"/>
  <c r="BJ40" i="1" s="1"/>
  <c r="BG40" i="1"/>
  <c r="BF40" i="1"/>
  <c r="BE40" i="1"/>
  <c r="BD40" i="1"/>
  <c r="BC40" i="1"/>
  <c r="BB40" i="1"/>
  <c r="AZ40" i="1"/>
  <c r="AY40" i="1"/>
  <c r="BA40" i="1" s="1"/>
  <c r="AX40" i="1"/>
  <c r="AW40" i="1"/>
  <c r="AV40" i="1"/>
  <c r="AU40" i="1"/>
  <c r="AT40" i="1"/>
  <c r="AS40" i="1"/>
  <c r="AR40" i="1"/>
  <c r="AO40" i="1"/>
  <c r="AK40" i="1"/>
  <c r="AJ40" i="1"/>
  <c r="L40" i="1"/>
  <c r="BI39" i="1"/>
  <c r="BH39" i="1"/>
  <c r="BJ39" i="1" s="1"/>
  <c r="BF39" i="1"/>
  <c r="BE39" i="1"/>
  <c r="BG39" i="1" s="1"/>
  <c r="AO39" i="1" s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M39" i="1"/>
  <c r="AK39" i="1"/>
  <c r="AJ39" i="1"/>
  <c r="L39" i="1"/>
  <c r="BI38" i="1"/>
  <c r="BH38" i="1"/>
  <c r="BJ38" i="1" s="1"/>
  <c r="AP38" i="1" s="1"/>
  <c r="BF38" i="1"/>
  <c r="BE38" i="1"/>
  <c r="BG38" i="1" s="1"/>
  <c r="AO38" i="1" s="1"/>
  <c r="AQ38" i="1" s="1"/>
  <c r="BD38" i="1"/>
  <c r="AM38" i="1" s="1"/>
  <c r="BC38" i="1"/>
  <c r="BB38" i="1"/>
  <c r="AZ38" i="1"/>
  <c r="AY38" i="1"/>
  <c r="BA38" i="1" s="1"/>
  <c r="AX38" i="1"/>
  <c r="AW38" i="1"/>
  <c r="AV38" i="1"/>
  <c r="AU38" i="1"/>
  <c r="AT38" i="1"/>
  <c r="AS38" i="1"/>
  <c r="AR38" i="1"/>
  <c r="AK38" i="1"/>
  <c r="AJ38" i="1"/>
  <c r="L38" i="1"/>
  <c r="BI37" i="1"/>
  <c r="BH37" i="1"/>
  <c r="BJ37" i="1" s="1"/>
  <c r="BF37" i="1"/>
  <c r="BE37" i="1"/>
  <c r="BG37" i="1" s="1"/>
  <c r="AO37" i="1" s="1"/>
  <c r="BD37" i="1"/>
  <c r="BC37" i="1"/>
  <c r="AM37" i="1" s="1"/>
  <c r="BB37" i="1"/>
  <c r="BA37" i="1"/>
  <c r="AZ37" i="1"/>
  <c r="AY37" i="1"/>
  <c r="AX37" i="1"/>
  <c r="AW37" i="1"/>
  <c r="AV37" i="1"/>
  <c r="AU37" i="1"/>
  <c r="AT37" i="1"/>
  <c r="AS37" i="1"/>
  <c r="AR37" i="1"/>
  <c r="AK37" i="1"/>
  <c r="AJ37" i="1"/>
  <c r="L37" i="1"/>
  <c r="BI36" i="1"/>
  <c r="BH36" i="1"/>
  <c r="BJ36" i="1" s="1"/>
  <c r="BF36" i="1"/>
  <c r="BE36" i="1"/>
  <c r="BG36" i="1" s="1"/>
  <c r="AO36" i="1" s="1"/>
  <c r="BD36" i="1"/>
  <c r="BC36" i="1"/>
  <c r="BB36" i="1"/>
  <c r="AZ36" i="1"/>
  <c r="AL36" i="1" s="1"/>
  <c r="AY36" i="1"/>
  <c r="BA36" i="1" s="1"/>
  <c r="AX36" i="1"/>
  <c r="AW36" i="1"/>
  <c r="AV36" i="1"/>
  <c r="AU36" i="1"/>
  <c r="AT36" i="1"/>
  <c r="AS36" i="1"/>
  <c r="AR36" i="1"/>
  <c r="AK36" i="1"/>
  <c r="AJ36" i="1"/>
  <c r="L36" i="1"/>
  <c r="BI35" i="1"/>
  <c r="BH35" i="1"/>
  <c r="BJ35" i="1" s="1"/>
  <c r="BF35" i="1"/>
  <c r="BE35" i="1"/>
  <c r="BG35" i="1" s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M35" i="1" s="1"/>
  <c r="AK35" i="1"/>
  <c r="AJ35" i="1"/>
  <c r="L35" i="1"/>
  <c r="BI34" i="1"/>
  <c r="BH34" i="1"/>
  <c r="BJ34" i="1" s="1"/>
  <c r="AP34" i="1" s="1"/>
  <c r="BG34" i="1"/>
  <c r="BF34" i="1"/>
  <c r="BE34" i="1"/>
  <c r="BD34" i="1"/>
  <c r="BC34" i="1"/>
  <c r="BB34" i="1"/>
  <c r="AZ34" i="1"/>
  <c r="AY34" i="1"/>
  <c r="BA34" i="1" s="1"/>
  <c r="AX34" i="1"/>
  <c r="AW34" i="1"/>
  <c r="AV34" i="1"/>
  <c r="AU34" i="1"/>
  <c r="AT34" i="1"/>
  <c r="AS34" i="1"/>
  <c r="AR34" i="1"/>
  <c r="AO34" i="1"/>
  <c r="AQ34" i="1" s="1"/>
  <c r="AK34" i="1"/>
  <c r="AJ34" i="1"/>
  <c r="L34" i="1"/>
  <c r="BI33" i="1"/>
  <c r="BH33" i="1"/>
  <c r="BJ33" i="1" s="1"/>
  <c r="BF33" i="1"/>
  <c r="BE33" i="1"/>
  <c r="BG33" i="1" s="1"/>
  <c r="AO33" i="1" s="1"/>
  <c r="BD33" i="1"/>
  <c r="AM33" i="1" s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K33" i="1"/>
  <c r="AJ33" i="1"/>
  <c r="L33" i="1"/>
  <c r="BI32" i="1"/>
  <c r="BH32" i="1"/>
  <c r="BJ32" i="1" s="1"/>
  <c r="AP32" i="1" s="1"/>
  <c r="BF32" i="1"/>
  <c r="BE32" i="1"/>
  <c r="BG32" i="1" s="1"/>
  <c r="AO32" i="1" s="1"/>
  <c r="AQ32" i="1" s="1"/>
  <c r="BD32" i="1"/>
  <c r="AM32" i="1" s="1"/>
  <c r="BC32" i="1"/>
  <c r="BB32" i="1"/>
  <c r="AZ32" i="1"/>
  <c r="AY32" i="1"/>
  <c r="BA32" i="1" s="1"/>
  <c r="AX32" i="1"/>
  <c r="AW32" i="1"/>
  <c r="AV32" i="1"/>
  <c r="AU32" i="1"/>
  <c r="AT32" i="1"/>
  <c r="AS32" i="1"/>
  <c r="AR32" i="1"/>
  <c r="AK32" i="1"/>
  <c r="AJ32" i="1"/>
  <c r="L32" i="1"/>
  <c r="BI31" i="1"/>
  <c r="BH31" i="1"/>
  <c r="BJ31" i="1" s="1"/>
  <c r="BF31" i="1"/>
  <c r="BE31" i="1"/>
  <c r="BG31" i="1" s="1"/>
  <c r="BD31" i="1"/>
  <c r="BC31" i="1"/>
  <c r="AM31" i="1" s="1"/>
  <c r="BB31" i="1"/>
  <c r="BA31" i="1"/>
  <c r="AZ31" i="1"/>
  <c r="AY31" i="1"/>
  <c r="AX31" i="1"/>
  <c r="AW31" i="1"/>
  <c r="AV31" i="1"/>
  <c r="AU31" i="1"/>
  <c r="AT31" i="1"/>
  <c r="AS31" i="1"/>
  <c r="AR31" i="1"/>
  <c r="AK31" i="1"/>
  <c r="AJ31" i="1"/>
  <c r="L31" i="1"/>
  <c r="BI30" i="1"/>
  <c r="BH30" i="1"/>
  <c r="BJ30" i="1" s="1"/>
  <c r="AP30" i="1" s="1"/>
  <c r="BG30" i="1"/>
  <c r="BF30" i="1"/>
  <c r="BE30" i="1"/>
  <c r="BD30" i="1"/>
  <c r="BC30" i="1"/>
  <c r="BB30" i="1"/>
  <c r="AZ30" i="1"/>
  <c r="AY30" i="1"/>
  <c r="BA30" i="1" s="1"/>
  <c r="AX30" i="1"/>
  <c r="AW30" i="1"/>
  <c r="AV30" i="1"/>
  <c r="AU30" i="1"/>
  <c r="AT30" i="1"/>
  <c r="AS30" i="1"/>
  <c r="AR30" i="1"/>
  <c r="AO30" i="1" s="1"/>
  <c r="AQ30" i="1" s="1"/>
  <c r="AK30" i="1"/>
  <c r="AJ30" i="1"/>
  <c r="L30" i="1"/>
  <c r="BI29" i="1"/>
  <c r="BH29" i="1"/>
  <c r="BJ29" i="1" s="1"/>
  <c r="BF29" i="1"/>
  <c r="BE29" i="1"/>
  <c r="BG29" i="1" s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M29" i="1"/>
  <c r="AK29" i="1"/>
  <c r="AJ29" i="1"/>
  <c r="L29" i="1"/>
  <c r="BI28" i="1"/>
  <c r="BH28" i="1"/>
  <c r="BJ28" i="1" s="1"/>
  <c r="AP28" i="1" s="1"/>
  <c r="BF28" i="1"/>
  <c r="BE28" i="1"/>
  <c r="BG28" i="1" s="1"/>
  <c r="AO28" i="1" s="1"/>
  <c r="AQ28" i="1" s="1"/>
  <c r="BD28" i="1"/>
  <c r="AM28" i="1" s="1"/>
  <c r="BC28" i="1"/>
  <c r="BB28" i="1"/>
  <c r="AZ28" i="1"/>
  <c r="AY28" i="1"/>
  <c r="BA28" i="1" s="1"/>
  <c r="AX28" i="1"/>
  <c r="AW28" i="1"/>
  <c r="AV28" i="1"/>
  <c r="AU28" i="1"/>
  <c r="AT28" i="1"/>
  <c r="AS28" i="1"/>
  <c r="AR28" i="1"/>
  <c r="AK28" i="1"/>
  <c r="AJ28" i="1"/>
  <c r="L28" i="1"/>
  <c r="BI27" i="1"/>
  <c r="BH27" i="1"/>
  <c r="BJ27" i="1" s="1"/>
  <c r="BF27" i="1"/>
  <c r="BE27" i="1"/>
  <c r="BG27" i="1" s="1"/>
  <c r="AO27" i="1" s="1"/>
  <c r="BD27" i="1"/>
  <c r="BC27" i="1"/>
  <c r="AM27" i="1" s="1"/>
  <c r="BB27" i="1"/>
  <c r="BA27" i="1"/>
  <c r="AZ27" i="1"/>
  <c r="AY27" i="1"/>
  <c r="AX27" i="1"/>
  <c r="AW27" i="1"/>
  <c r="AV27" i="1"/>
  <c r="AU27" i="1"/>
  <c r="AT27" i="1"/>
  <c r="AS27" i="1"/>
  <c r="AR27" i="1"/>
  <c r="AK27" i="1"/>
  <c r="AJ27" i="1"/>
  <c r="L27" i="1"/>
  <c r="BI26" i="1"/>
  <c r="BH26" i="1"/>
  <c r="BJ26" i="1" s="1"/>
  <c r="BF26" i="1"/>
  <c r="BE26" i="1"/>
  <c r="BG26" i="1" s="1"/>
  <c r="AO26" i="1" s="1"/>
  <c r="BD26" i="1"/>
  <c r="AM26" i="1" s="1"/>
  <c r="BC26" i="1"/>
  <c r="BB26" i="1"/>
  <c r="AZ26" i="1"/>
  <c r="AY26" i="1"/>
  <c r="BA26" i="1" s="1"/>
  <c r="AX26" i="1"/>
  <c r="AW26" i="1"/>
  <c r="AV26" i="1"/>
  <c r="AU26" i="1"/>
  <c r="AT26" i="1"/>
  <c r="AS26" i="1"/>
  <c r="AR26" i="1"/>
  <c r="AK26" i="1"/>
  <c r="AJ26" i="1"/>
  <c r="L26" i="1"/>
  <c r="BI25" i="1"/>
  <c r="AP25" i="1" s="1"/>
  <c r="BH25" i="1"/>
  <c r="BJ25" i="1" s="1"/>
  <c r="BF25" i="1"/>
  <c r="BE25" i="1"/>
  <c r="BG25" i="1" s="1"/>
  <c r="BD25" i="1"/>
  <c r="BC25" i="1"/>
  <c r="AM25" i="1" s="1"/>
  <c r="BB25" i="1"/>
  <c r="BA25" i="1"/>
  <c r="AZ25" i="1"/>
  <c r="AL25" i="1" s="1"/>
  <c r="AN25" i="1" s="1"/>
  <c r="AY25" i="1"/>
  <c r="AX25" i="1"/>
  <c r="AW25" i="1"/>
  <c r="AV25" i="1"/>
  <c r="AU25" i="1"/>
  <c r="AT25" i="1"/>
  <c r="AS25" i="1"/>
  <c r="AR25" i="1"/>
  <c r="AK25" i="1"/>
  <c r="AJ25" i="1"/>
  <c r="L25" i="1"/>
  <c r="BI24" i="1"/>
  <c r="BH24" i="1"/>
  <c r="BJ24" i="1" s="1"/>
  <c r="AP24" i="1" s="1"/>
  <c r="BG24" i="1"/>
  <c r="BF24" i="1"/>
  <c r="BE24" i="1"/>
  <c r="BD24" i="1"/>
  <c r="BC24" i="1"/>
  <c r="BB24" i="1"/>
  <c r="AZ24" i="1"/>
  <c r="AY24" i="1"/>
  <c r="BA24" i="1" s="1"/>
  <c r="AX24" i="1"/>
  <c r="AW24" i="1"/>
  <c r="AV24" i="1"/>
  <c r="AU24" i="1"/>
  <c r="AT24" i="1"/>
  <c r="AS24" i="1"/>
  <c r="AR24" i="1"/>
  <c r="AO24" i="1"/>
  <c r="AQ24" i="1" s="1"/>
  <c r="AK24" i="1"/>
  <c r="AJ24" i="1"/>
  <c r="L24" i="1"/>
  <c r="BI23" i="1"/>
  <c r="BH23" i="1"/>
  <c r="BJ23" i="1" s="1"/>
  <c r="BF23" i="1"/>
  <c r="BE23" i="1"/>
  <c r="BG23" i="1" s="1"/>
  <c r="AO23" i="1" s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M23" i="1"/>
  <c r="AK23" i="1"/>
  <c r="AJ23" i="1"/>
  <c r="L23" i="1"/>
  <c r="BI22" i="1"/>
  <c r="BH22" i="1"/>
  <c r="BJ22" i="1" s="1"/>
  <c r="BF22" i="1"/>
  <c r="BE22" i="1"/>
  <c r="BG22" i="1" s="1"/>
  <c r="AO22" i="1" s="1"/>
  <c r="BD22" i="1"/>
  <c r="AM22" i="1" s="1"/>
  <c r="BC22" i="1"/>
  <c r="BB22" i="1"/>
  <c r="AZ22" i="1"/>
  <c r="AY22" i="1"/>
  <c r="BA22" i="1" s="1"/>
  <c r="AX22" i="1"/>
  <c r="AW22" i="1"/>
  <c r="AV22" i="1"/>
  <c r="AU22" i="1"/>
  <c r="AT22" i="1"/>
  <c r="AS22" i="1"/>
  <c r="AR22" i="1"/>
  <c r="AK22" i="1"/>
  <c r="AJ22" i="1"/>
  <c r="L22" i="1"/>
  <c r="BI21" i="1"/>
  <c r="BH21" i="1"/>
  <c r="BJ21" i="1" s="1"/>
  <c r="BF21" i="1"/>
  <c r="BE21" i="1"/>
  <c r="BG21" i="1" s="1"/>
  <c r="AO21" i="1" s="1"/>
  <c r="BD21" i="1"/>
  <c r="BC21" i="1"/>
  <c r="AM21" i="1" s="1"/>
  <c r="BB21" i="1"/>
  <c r="BA21" i="1"/>
  <c r="AZ21" i="1"/>
  <c r="AY21" i="1"/>
  <c r="AX21" i="1"/>
  <c r="AW21" i="1"/>
  <c r="AV21" i="1"/>
  <c r="AU21" i="1"/>
  <c r="AT21" i="1"/>
  <c r="AS21" i="1"/>
  <c r="AR21" i="1"/>
  <c r="AK21" i="1"/>
  <c r="AJ21" i="1"/>
  <c r="L21" i="1"/>
  <c r="BI20" i="1"/>
  <c r="BH20" i="1"/>
  <c r="BJ20" i="1" s="1"/>
  <c r="BF20" i="1"/>
  <c r="BE20" i="1"/>
  <c r="BG20" i="1" s="1"/>
  <c r="AO20" i="1" s="1"/>
  <c r="BD20" i="1"/>
  <c r="BC20" i="1"/>
  <c r="BB20" i="1"/>
  <c r="AZ20" i="1"/>
  <c r="AL20" i="1" s="1"/>
  <c r="AY20" i="1"/>
  <c r="BA20" i="1" s="1"/>
  <c r="AX20" i="1"/>
  <c r="AW20" i="1"/>
  <c r="AV20" i="1"/>
  <c r="AU20" i="1"/>
  <c r="AT20" i="1"/>
  <c r="AS20" i="1"/>
  <c r="AR20" i="1"/>
  <c r="AK20" i="1"/>
  <c r="AJ20" i="1"/>
  <c r="L20" i="1"/>
  <c r="BI19" i="1"/>
  <c r="BH19" i="1"/>
  <c r="BJ19" i="1" s="1"/>
  <c r="AP19" i="1" s="1"/>
  <c r="BF19" i="1"/>
  <c r="BE19" i="1"/>
  <c r="BG19" i="1" s="1"/>
  <c r="BD19" i="1"/>
  <c r="BC19" i="1"/>
  <c r="BB19" i="1"/>
  <c r="BA19" i="1"/>
  <c r="AZ19" i="1"/>
  <c r="AL19" i="1" s="1"/>
  <c r="AY19" i="1"/>
  <c r="AX19" i="1"/>
  <c r="AW19" i="1"/>
  <c r="AV19" i="1"/>
  <c r="AU19" i="1"/>
  <c r="AT19" i="1"/>
  <c r="AS19" i="1"/>
  <c r="AR19" i="1"/>
  <c r="AM19" i="1" s="1"/>
  <c r="AK19" i="1"/>
  <c r="AJ19" i="1"/>
  <c r="L19" i="1"/>
  <c r="BJ18" i="1"/>
  <c r="BI18" i="1"/>
  <c r="AP18" i="1" s="1"/>
  <c r="BH18" i="1"/>
  <c r="BF18" i="1"/>
  <c r="BE18" i="1"/>
  <c r="BG18" i="1" s="1"/>
  <c r="AO18" i="1" s="1"/>
  <c r="AQ18" i="1" s="1"/>
  <c r="BC18" i="1"/>
  <c r="BB18" i="1"/>
  <c r="BD18" i="1" s="1"/>
  <c r="AM18" i="1" s="1"/>
  <c r="BA18" i="1"/>
  <c r="AZ18" i="1"/>
  <c r="AY18" i="1"/>
  <c r="AX18" i="1"/>
  <c r="AW18" i="1"/>
  <c r="AV18" i="1"/>
  <c r="AU18" i="1"/>
  <c r="AT18" i="1"/>
  <c r="AS18" i="1"/>
  <c r="AR18" i="1"/>
  <c r="AL18" i="1"/>
  <c r="AK18" i="1"/>
  <c r="AJ18" i="1"/>
  <c r="L18" i="1"/>
  <c r="BI17" i="1"/>
  <c r="BH17" i="1"/>
  <c r="BJ17" i="1" s="1"/>
  <c r="AP17" i="1" s="1"/>
  <c r="BF17" i="1"/>
  <c r="AO17" i="1" s="1"/>
  <c r="AQ17" i="1" s="1"/>
  <c r="BE17" i="1"/>
  <c r="BG17" i="1" s="1"/>
  <c r="BD17" i="1"/>
  <c r="AM17" i="1" s="1"/>
  <c r="AN17" i="1" s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L17" i="1"/>
  <c r="AK17" i="1"/>
  <c r="AJ17" i="1"/>
  <c r="L17" i="1"/>
  <c r="BI16" i="1"/>
  <c r="AP16" i="1" s="1"/>
  <c r="BH16" i="1"/>
  <c r="BJ16" i="1" s="1"/>
  <c r="BG16" i="1"/>
  <c r="BF16" i="1"/>
  <c r="AO16" i="1" s="1"/>
  <c r="AQ16" i="1" s="1"/>
  <c r="BE16" i="1"/>
  <c r="BC16" i="1"/>
  <c r="BB16" i="1"/>
  <c r="BD16" i="1" s="1"/>
  <c r="AM16" i="1" s="1"/>
  <c r="AZ16" i="1"/>
  <c r="AY16" i="1"/>
  <c r="BA16" i="1" s="1"/>
  <c r="AX16" i="1"/>
  <c r="AW16" i="1"/>
  <c r="AV16" i="1"/>
  <c r="AU16" i="1"/>
  <c r="AT16" i="1"/>
  <c r="AS16" i="1"/>
  <c r="AR16" i="1"/>
  <c r="AK16" i="1"/>
  <c r="AJ16" i="1"/>
  <c r="L16" i="1"/>
  <c r="BJ15" i="1"/>
  <c r="BI15" i="1"/>
  <c r="AP15" i="1" s="1"/>
  <c r="BH15" i="1"/>
  <c r="BF15" i="1"/>
  <c r="BE15" i="1"/>
  <c r="BG15" i="1" s="1"/>
  <c r="BC15" i="1"/>
  <c r="AM15" i="1" s="1"/>
  <c r="BB15" i="1"/>
  <c r="BD15" i="1" s="1"/>
  <c r="BA15" i="1"/>
  <c r="AL15" i="1" s="1"/>
  <c r="AN15" i="1" s="1"/>
  <c r="AZ15" i="1"/>
  <c r="AY15" i="1"/>
  <c r="AX15" i="1"/>
  <c r="AW15" i="1"/>
  <c r="AV15" i="1"/>
  <c r="AU15" i="1"/>
  <c r="AT15" i="1"/>
  <c r="AS15" i="1"/>
  <c r="AR15" i="1"/>
  <c r="AO15" i="1" s="1"/>
  <c r="AK15" i="1"/>
  <c r="AJ15" i="1"/>
  <c r="L15" i="1"/>
  <c r="BI14" i="1"/>
  <c r="BH14" i="1"/>
  <c r="BJ14" i="1" s="1"/>
  <c r="AP14" i="1" s="1"/>
  <c r="BF14" i="1"/>
  <c r="BE14" i="1"/>
  <c r="BG14" i="1" s="1"/>
  <c r="AO14" i="1" s="1"/>
  <c r="AQ14" i="1" s="1"/>
  <c r="BD14" i="1"/>
  <c r="AM14" i="1" s="1"/>
  <c r="BC14" i="1"/>
  <c r="BB14" i="1"/>
  <c r="AZ14" i="1"/>
  <c r="AY14" i="1"/>
  <c r="BA14" i="1" s="1"/>
  <c r="AL14" i="1" s="1"/>
  <c r="AN14" i="1" s="1"/>
  <c r="AX14" i="1"/>
  <c r="AW14" i="1"/>
  <c r="AV14" i="1"/>
  <c r="AU14" i="1"/>
  <c r="AT14" i="1"/>
  <c r="AS14" i="1"/>
  <c r="AR14" i="1"/>
  <c r="AK14" i="1"/>
  <c r="AJ14" i="1"/>
  <c r="L14" i="1"/>
  <c r="BI13" i="1"/>
  <c r="BH13" i="1"/>
  <c r="BJ13" i="1" s="1"/>
  <c r="AP13" i="1" s="1"/>
  <c r="BF13" i="1"/>
  <c r="BE13" i="1"/>
  <c r="BG13" i="1" s="1"/>
  <c r="BC13" i="1"/>
  <c r="AM13" i="1" s="1"/>
  <c r="BB13" i="1"/>
  <c r="BD13" i="1" s="1"/>
  <c r="BA13" i="1"/>
  <c r="AZ13" i="1"/>
  <c r="AL13" i="1" s="1"/>
  <c r="AY13" i="1"/>
  <c r="AX13" i="1"/>
  <c r="AW13" i="1"/>
  <c r="AV13" i="1"/>
  <c r="AU13" i="1"/>
  <c r="AT13" i="1"/>
  <c r="AS13" i="1"/>
  <c r="AR13" i="1"/>
  <c r="AO13" i="1"/>
  <c r="AK13" i="1"/>
  <c r="AJ13" i="1"/>
  <c r="L13" i="1"/>
  <c r="BJ12" i="1"/>
  <c r="BI12" i="1"/>
  <c r="AP12" i="1" s="1"/>
  <c r="BH12" i="1"/>
  <c r="BF12" i="1"/>
  <c r="BE12" i="1"/>
  <c r="BG12" i="1" s="1"/>
  <c r="BC12" i="1"/>
  <c r="BB12" i="1"/>
  <c r="BD12" i="1" s="1"/>
  <c r="AM12" i="1" s="1"/>
  <c r="BA12" i="1"/>
  <c r="AL12" i="1" s="1"/>
  <c r="AN12" i="1" s="1"/>
  <c r="AZ12" i="1"/>
  <c r="AY12" i="1"/>
  <c r="AX12" i="1"/>
  <c r="AW12" i="1"/>
  <c r="AV12" i="1"/>
  <c r="AU12" i="1"/>
  <c r="AT12" i="1"/>
  <c r="AS12" i="1"/>
  <c r="AR12" i="1"/>
  <c r="AK12" i="1"/>
  <c r="AJ12" i="1"/>
  <c r="L12" i="1"/>
  <c r="BI11" i="1"/>
  <c r="BH11" i="1"/>
  <c r="BJ11" i="1" s="1"/>
  <c r="BF11" i="1"/>
  <c r="AO11" i="1" s="1"/>
  <c r="BE11" i="1"/>
  <c r="BG11" i="1" s="1"/>
  <c r="BD11" i="1"/>
  <c r="BC11" i="1"/>
  <c r="AM11" i="1" s="1"/>
  <c r="BB11" i="1"/>
  <c r="BA11" i="1"/>
  <c r="AZ11" i="1"/>
  <c r="AY11" i="1"/>
  <c r="AX11" i="1"/>
  <c r="AW11" i="1"/>
  <c r="AV11" i="1"/>
  <c r="AU11" i="1"/>
  <c r="AT11" i="1"/>
  <c r="AS11" i="1"/>
  <c r="AR11" i="1"/>
  <c r="AL11" i="1"/>
  <c r="AN11" i="1" s="1"/>
  <c r="AK11" i="1"/>
  <c r="AJ11" i="1"/>
  <c r="L11" i="1"/>
  <c r="BI10" i="1"/>
  <c r="BH10" i="1"/>
  <c r="BJ10" i="1" s="1"/>
  <c r="AP10" i="1" s="1"/>
  <c r="BG10" i="1"/>
  <c r="BF10" i="1"/>
  <c r="AO10" i="1" s="1"/>
  <c r="AQ10" i="1" s="1"/>
  <c r="BE10" i="1"/>
  <c r="BC10" i="1"/>
  <c r="BB10" i="1"/>
  <c r="BD10" i="1" s="1"/>
  <c r="AM10" i="1" s="1"/>
  <c r="AZ10" i="1"/>
  <c r="AL10" i="1" s="1"/>
  <c r="AY10" i="1"/>
  <c r="BA10" i="1" s="1"/>
  <c r="AX10" i="1"/>
  <c r="AW10" i="1"/>
  <c r="AV10" i="1"/>
  <c r="AU10" i="1"/>
  <c r="AT10" i="1"/>
  <c r="AS10" i="1"/>
  <c r="AR10" i="1"/>
  <c r="AK10" i="1"/>
  <c r="AJ10" i="1"/>
  <c r="L10" i="1"/>
  <c r="BJ9" i="1"/>
  <c r="BI9" i="1"/>
  <c r="AP9" i="1" s="1"/>
  <c r="BH9" i="1"/>
  <c r="BF9" i="1"/>
  <c r="BE9" i="1"/>
  <c r="BG9" i="1" s="1"/>
  <c r="AO9" i="1" s="1"/>
  <c r="BC9" i="1"/>
  <c r="BB9" i="1"/>
  <c r="BD9" i="1" s="1"/>
  <c r="BA9" i="1"/>
  <c r="AL9" i="1" s="1"/>
  <c r="AZ9" i="1"/>
  <c r="AY9" i="1"/>
  <c r="AX9" i="1"/>
  <c r="AW9" i="1"/>
  <c r="AV9" i="1"/>
  <c r="AU9" i="1"/>
  <c r="AT9" i="1"/>
  <c r="AS9" i="1"/>
  <c r="AR9" i="1"/>
  <c r="AK9" i="1"/>
  <c r="AJ9" i="1"/>
  <c r="L9" i="1"/>
  <c r="BI8" i="1"/>
  <c r="BH8" i="1"/>
  <c r="BJ8" i="1" s="1"/>
  <c r="AP8" i="1" s="1"/>
  <c r="BF8" i="1"/>
  <c r="BE8" i="1"/>
  <c r="BG8" i="1" s="1"/>
  <c r="AO8" i="1" s="1"/>
  <c r="BD8" i="1"/>
  <c r="AM8" i="1" s="1"/>
  <c r="BC8" i="1"/>
  <c r="BB8" i="1"/>
  <c r="AZ8" i="1"/>
  <c r="AL8" i="1" s="1"/>
  <c r="AN8" i="1" s="1"/>
  <c r="AY8" i="1"/>
  <c r="BA8" i="1" s="1"/>
  <c r="AX8" i="1"/>
  <c r="AW8" i="1"/>
  <c r="AV8" i="1"/>
  <c r="AU8" i="1"/>
  <c r="AT8" i="1"/>
  <c r="AS8" i="1"/>
  <c r="AR8" i="1"/>
  <c r="AK8" i="1"/>
  <c r="AJ8" i="1"/>
  <c r="L8" i="1"/>
  <c r="BJ7" i="1"/>
  <c r="BI7" i="1"/>
  <c r="AP7" i="1" s="1"/>
  <c r="BH7" i="1"/>
  <c r="BF7" i="1"/>
  <c r="BE7" i="1"/>
  <c r="BG7" i="1" s="1"/>
  <c r="AO7" i="1" s="1"/>
  <c r="AQ7" i="1" s="1"/>
  <c r="BC7" i="1"/>
  <c r="AM7" i="1" s="1"/>
  <c r="BB7" i="1"/>
  <c r="BD7" i="1" s="1"/>
  <c r="BA7" i="1"/>
  <c r="AL7" i="1" s="1"/>
  <c r="AZ7" i="1"/>
  <c r="AY7" i="1"/>
  <c r="AX7" i="1"/>
  <c r="AW7" i="1"/>
  <c r="AV7" i="1"/>
  <c r="AU7" i="1"/>
  <c r="AT7" i="1"/>
  <c r="AS7" i="1"/>
  <c r="AR7" i="1"/>
  <c r="AK7" i="1"/>
  <c r="AJ7" i="1"/>
  <c r="L7" i="1"/>
  <c r="BI6" i="1"/>
  <c r="BH6" i="1"/>
  <c r="BJ6" i="1" s="1"/>
  <c r="AP6" i="1" s="1"/>
  <c r="BF6" i="1"/>
  <c r="BE6" i="1"/>
  <c r="BG6" i="1" s="1"/>
  <c r="AO6" i="1" s="1"/>
  <c r="BD6" i="1"/>
  <c r="AM6" i="1" s="1"/>
  <c r="BC6" i="1"/>
  <c r="BB6" i="1"/>
  <c r="AZ6" i="1"/>
  <c r="AY6" i="1"/>
  <c r="BA6" i="1" s="1"/>
  <c r="AX6" i="1"/>
  <c r="AW6" i="1"/>
  <c r="AV6" i="1"/>
  <c r="AU6" i="1"/>
  <c r="AT6" i="1"/>
  <c r="AS6" i="1"/>
  <c r="AR6" i="1"/>
  <c r="AK6" i="1"/>
  <c r="L6" i="1"/>
  <c r="BJ5" i="1"/>
  <c r="BI5" i="1"/>
  <c r="AP5" i="1" s="1"/>
  <c r="BH5" i="1"/>
  <c r="BF5" i="1"/>
  <c r="BE5" i="1"/>
  <c r="BG5" i="1" s="1"/>
  <c r="AO5" i="1" s="1"/>
  <c r="AQ5" i="1" s="1"/>
  <c r="BC5" i="1"/>
  <c r="AM5" i="1" s="1"/>
  <c r="BB5" i="1"/>
  <c r="BD5" i="1" s="1"/>
  <c r="BA5" i="1"/>
  <c r="AL5" i="1" s="1"/>
  <c r="AZ5" i="1"/>
  <c r="AY5" i="1"/>
  <c r="AX5" i="1"/>
  <c r="AW5" i="1"/>
  <c r="AV5" i="1"/>
  <c r="AU5" i="1"/>
  <c r="AT5" i="1"/>
  <c r="AS5" i="1"/>
  <c r="AR5" i="1"/>
  <c r="AK5" i="1"/>
  <c r="AJ5" i="1"/>
  <c r="L5" i="1"/>
  <c r="BI4" i="1"/>
  <c r="BH4" i="1"/>
  <c r="BJ4" i="1" s="1"/>
  <c r="AP4" i="1" s="1"/>
  <c r="BF4" i="1"/>
  <c r="BE4" i="1"/>
  <c r="BG4" i="1" s="1"/>
  <c r="AO4" i="1" s="1"/>
  <c r="BD4" i="1"/>
  <c r="AM4" i="1" s="1"/>
  <c r="BC4" i="1"/>
  <c r="BB4" i="1"/>
  <c r="AZ4" i="1"/>
  <c r="AY4" i="1"/>
  <c r="BA4" i="1" s="1"/>
  <c r="AX4" i="1"/>
  <c r="AW4" i="1"/>
  <c r="AV4" i="1"/>
  <c r="AU4" i="1"/>
  <c r="AT4" i="1"/>
  <c r="AS4" i="1"/>
  <c r="AK4" i="1"/>
  <c r="AJ4" i="1"/>
  <c r="L4" i="1"/>
  <c r="AQ9" i="1" l="1"/>
  <c r="AN10" i="1"/>
  <c r="AL4" i="1"/>
  <c r="AN4" i="1" s="1"/>
  <c r="AQ42" i="1"/>
  <c r="AQ20" i="1"/>
  <c r="AQ8" i="1"/>
  <c r="AO12" i="1"/>
  <c r="AQ12" i="1" s="1"/>
  <c r="AN13" i="1"/>
  <c r="AQ50" i="1"/>
  <c r="AQ11" i="1"/>
  <c r="AQ22" i="1"/>
  <c r="AN19" i="1"/>
  <c r="AQ6" i="1"/>
  <c r="AN7" i="1"/>
  <c r="AQ62" i="1"/>
  <c r="AL6" i="1"/>
  <c r="AN6" i="1" s="1"/>
  <c r="AQ15" i="1"/>
  <c r="AP11" i="1"/>
  <c r="AQ4" i="1"/>
  <c r="AN5" i="1"/>
  <c r="AM9" i="1"/>
  <c r="AN9" i="1" s="1"/>
  <c r="AL16" i="1"/>
  <c r="AN16" i="1" s="1"/>
  <c r="AN18" i="1"/>
  <c r="AN36" i="1"/>
  <c r="AQ23" i="1"/>
  <c r="AO19" i="1"/>
  <c r="AQ19" i="1" s="1"/>
  <c r="AP20" i="1"/>
  <c r="AL26" i="1"/>
  <c r="AN26" i="1" s="1"/>
  <c r="AO29" i="1"/>
  <c r="AQ29" i="1" s="1"/>
  <c r="AL31" i="1"/>
  <c r="AN31" i="1" s="1"/>
  <c r="AP31" i="1"/>
  <c r="AP36" i="1"/>
  <c r="AQ36" i="1" s="1"/>
  <c r="AL42" i="1"/>
  <c r="AN42" i="1" s="1"/>
  <c r="AO45" i="1"/>
  <c r="AL47" i="1"/>
  <c r="AN47" i="1" s="1"/>
  <c r="AP47" i="1"/>
  <c r="AP52" i="1"/>
  <c r="AQ52" i="1" s="1"/>
  <c r="AQ59" i="1"/>
  <c r="AL60" i="1"/>
  <c r="AN60" i="1" s="1"/>
  <c r="AL66" i="1"/>
  <c r="AN66" i="1" s="1"/>
  <c r="AL30" i="1"/>
  <c r="AL35" i="1"/>
  <c r="AN35" i="1" s="1"/>
  <c r="AP35" i="1"/>
  <c r="AP40" i="1"/>
  <c r="AQ40" i="1" s="1"/>
  <c r="AL46" i="1"/>
  <c r="AN46" i="1" s="1"/>
  <c r="AQ49" i="1"/>
  <c r="AL51" i="1"/>
  <c r="AN51" i="1" s="1"/>
  <c r="AP51" i="1"/>
  <c r="AL56" i="1"/>
  <c r="AP62" i="1"/>
  <c r="AM66" i="1"/>
  <c r="AL40" i="1"/>
  <c r="AN40" i="1" s="1"/>
  <c r="AQ43" i="1"/>
  <c r="AL45" i="1"/>
  <c r="AN45" i="1" s="1"/>
  <c r="AP45" i="1"/>
  <c r="AP50" i="1"/>
  <c r="AL62" i="1"/>
  <c r="AL50" i="1"/>
  <c r="AM52" i="1"/>
  <c r="AQ53" i="1"/>
  <c r="AO66" i="1"/>
  <c r="AQ66" i="1" s="1"/>
  <c r="AQ13" i="1"/>
  <c r="AL52" i="1"/>
  <c r="AP29" i="1"/>
  <c r="AL23" i="1"/>
  <c r="AN23" i="1" s="1"/>
  <c r="AL39" i="1"/>
  <c r="AN39" i="1" s="1"/>
  <c r="AP22" i="1"/>
  <c r="AL28" i="1"/>
  <c r="AN28" i="1" s="1"/>
  <c r="AM30" i="1"/>
  <c r="AO31" i="1"/>
  <c r="AL33" i="1"/>
  <c r="AN33" i="1" s="1"/>
  <c r="AP33" i="1"/>
  <c r="AQ33" i="1" s="1"/>
  <c r="AL44" i="1"/>
  <c r="AN44" i="1" s="1"/>
  <c r="AM46" i="1"/>
  <c r="AO47" i="1"/>
  <c r="AQ47" i="1" s="1"/>
  <c r="AL49" i="1"/>
  <c r="AN49" i="1" s="1"/>
  <c r="AP49" i="1"/>
  <c r="AM56" i="1"/>
  <c r="AQ57" i="1"/>
  <c r="AL58" i="1"/>
  <c r="AN58" i="1" s="1"/>
  <c r="AQ39" i="1"/>
  <c r="AL41" i="1"/>
  <c r="AN41" i="1" s="1"/>
  <c r="AL24" i="1"/>
  <c r="AN24" i="1" s="1"/>
  <c r="AM20" i="1"/>
  <c r="AN20" i="1" s="1"/>
  <c r="AP23" i="1"/>
  <c r="AM36" i="1"/>
  <c r="AP39" i="1"/>
  <c r="AL22" i="1"/>
  <c r="AN22" i="1" s="1"/>
  <c r="AM24" i="1"/>
  <c r="AO25" i="1"/>
  <c r="AQ25" i="1" s="1"/>
  <c r="AL27" i="1"/>
  <c r="AN27" i="1" s="1"/>
  <c r="AP27" i="1"/>
  <c r="AQ27" i="1" s="1"/>
  <c r="AL38" i="1"/>
  <c r="AN38" i="1" s="1"/>
  <c r="AM40" i="1"/>
  <c r="AO41" i="1"/>
  <c r="AQ41" i="1" s="1"/>
  <c r="AL43" i="1"/>
  <c r="AN43" i="1" s="1"/>
  <c r="AP43" i="1"/>
  <c r="AL54" i="1"/>
  <c r="AN54" i="1" s="1"/>
  <c r="AO60" i="1"/>
  <c r="AQ60" i="1" s="1"/>
  <c r="AP61" i="1"/>
  <c r="AQ61" i="1" s="1"/>
  <c r="AM62" i="1"/>
  <c r="AQ63" i="1"/>
  <c r="AL64" i="1"/>
  <c r="AN64" i="1" s="1"/>
  <c r="AL29" i="1"/>
  <c r="AN29" i="1" s="1"/>
  <c r="AL34" i="1"/>
  <c r="AN34" i="1" s="1"/>
  <c r="AL21" i="1"/>
  <c r="AN21" i="1" s="1"/>
  <c r="AP21" i="1"/>
  <c r="AQ21" i="1" s="1"/>
  <c r="AP26" i="1"/>
  <c r="AQ26" i="1" s="1"/>
  <c r="AL32" i="1"/>
  <c r="AN32" i="1" s="1"/>
  <c r="AM34" i="1"/>
  <c r="AO35" i="1"/>
  <c r="AL37" i="1"/>
  <c r="AN37" i="1" s="1"/>
  <c r="AP37" i="1"/>
  <c r="AQ37" i="1" s="1"/>
  <c r="AP42" i="1"/>
  <c r="AL48" i="1"/>
  <c r="AN48" i="1" s="1"/>
  <c r="AM50" i="1"/>
  <c r="AO51" i="1"/>
  <c r="AQ51" i="1" s="1"/>
  <c r="AL53" i="1"/>
  <c r="AN53" i="1" s="1"/>
  <c r="AP53" i="1"/>
  <c r="AP60" i="1"/>
  <c r="AP66" i="1"/>
  <c r="AN62" i="1" l="1"/>
  <c r="AN56" i="1"/>
  <c r="AQ45" i="1"/>
  <c r="AN50" i="1"/>
  <c r="AQ35" i="1"/>
  <c r="AQ31" i="1"/>
  <c r="AN52" i="1"/>
  <c r="AN30" i="1"/>
</calcChain>
</file>

<file path=xl/sharedStrings.xml><?xml version="1.0" encoding="utf-8"?>
<sst xmlns="http://schemas.openxmlformats.org/spreadsheetml/2006/main" count="150" uniqueCount="73">
  <si>
    <t>Asset Parameters (normalized by commodity feedstock)</t>
  </si>
  <si>
    <t>Duals</t>
  </si>
  <si>
    <t>LCOE for assets with ethane capacity ($/t-ethylene)</t>
  </si>
  <si>
    <t>SEQ - CI</t>
  </si>
  <si>
    <t>SEQ - CREDIT</t>
  </si>
  <si>
    <t>NO SEQ - CI</t>
  </si>
  <si>
    <t>NO SEQ - CREDIT</t>
  </si>
  <si>
    <t>CHEM SEQUESTRATION - CARBON INTENSITY</t>
  </si>
  <si>
    <t>CHEM SEQUESTRATION - CREDIT</t>
  </si>
  <si>
    <t>NO CHEM SEQUESTRATION - CARBON INTENSITY</t>
  </si>
  <si>
    <t>NO CHEM SEQUESTRATION - CREDIT</t>
  </si>
  <si>
    <t>Carbon Content</t>
  </si>
  <si>
    <t>Carbon Inputs</t>
  </si>
  <si>
    <t>Carbon Outputs</t>
  </si>
  <si>
    <t>id</t>
  </si>
  <si>
    <t>commodity</t>
  </si>
  <si>
    <t>h2_consumption (MWh/t-CO2Captured)</t>
  </si>
  <si>
    <t>elec_consumption (MWh/t-CO2Captured)</t>
  </si>
  <si>
    <t>ethylene_production (t-ethylene/t-CO2Captured)</t>
  </si>
  <si>
    <t>natgas_production (MWh/t-CO2Captured)</t>
  </si>
  <si>
    <t>emission_rate (t-CO2/t-CO2Captured)</t>
  </si>
  <si>
    <t>investment_cost ($/yr per t-CO2Captured/hr)</t>
  </si>
  <si>
    <t>fixed_om_cost ($/yr per t-CO2Captured/hr)</t>
  </si>
  <si>
    <t>variable_om_cost ($/t-CO2Captured)</t>
  </si>
  <si>
    <t>LPG_production (t-LPG/t-ethylene)</t>
  </si>
  <si>
    <t>co2_sink ($/t)</t>
  </si>
  <si>
    <t>co2_captured ($/t)</t>
  </si>
  <si>
    <t>bioherb_supply ($/t)</t>
  </si>
  <si>
    <t>biowood_supply ($/t)</t>
  </si>
  <si>
    <t>bioagri_supply ($/t)</t>
  </si>
  <si>
    <t>ethane_supply ($/MWh)</t>
  </si>
  <si>
    <t>ethanol_balance ($/MWh)</t>
  </si>
  <si>
    <t>ethanol_demand ($/MWh)</t>
  </si>
  <si>
    <t>elec_demand ($/MWh)</t>
  </si>
  <si>
    <t>h2_balance ($/MWh)</t>
  </si>
  <si>
    <t>h2_demand ($/MWh)</t>
  </si>
  <si>
    <t>gasoline_balance ($/MWh)</t>
  </si>
  <si>
    <t>gasoline_demand ($/MWh)</t>
  </si>
  <si>
    <t>diesel_balance ($/MWh)</t>
  </si>
  <si>
    <t>diesel_demand ($/MWh)</t>
  </si>
  <si>
    <t>jetfuel_balance ($/MWh)</t>
  </si>
  <si>
    <t>jetfuel_demand ($/MWh)</t>
  </si>
  <si>
    <t>ng_balance ($/MWh)</t>
  </si>
  <si>
    <t>ng_demand ($/MWh)</t>
  </si>
  <si>
    <t>ethylene_balance ($/t)</t>
  </si>
  <si>
    <t>ethylene_demand ($/t)</t>
  </si>
  <si>
    <t>id_LC</t>
  </si>
  <si>
    <t>commodity_LC</t>
  </si>
  <si>
    <t>LCOE ($/t-ethylene)</t>
  </si>
  <si>
    <t>Diff. Between Methods</t>
  </si>
  <si>
    <t>h2_consumption</t>
  </si>
  <si>
    <t>elec_consumption</t>
  </si>
  <si>
    <t>ethane_consumption</t>
  </si>
  <si>
    <t>natgas_production</t>
  </si>
  <si>
    <t>investment_cost</t>
  </si>
  <si>
    <t>fixed_om_cost</t>
  </si>
  <si>
    <t>variable_om_cost</t>
  </si>
  <si>
    <t>CI</t>
  </si>
  <si>
    <t>modified capture cost</t>
  </si>
  <si>
    <t>modified emissions cost</t>
  </si>
  <si>
    <t>Ethylene (t-CO2/t-ethylene)</t>
  </si>
  <si>
    <t>Ethane (t-CO2/MWh-ethane)</t>
  </si>
  <si>
    <t>NG (t-CO2/MWh-NG)</t>
  </si>
  <si>
    <t>Ethane (t-CO2/t-ethylene)</t>
  </si>
  <si>
    <t>NG (t-CO2/t-ethylene)</t>
  </si>
  <si>
    <t>Total input (t-CO2/t-ethylene)</t>
  </si>
  <si>
    <t>Emissions (t-CO2/t-ethylene)</t>
  </si>
  <si>
    <t>Captured (t-CO2/t-ethylene)</t>
  </si>
  <si>
    <t>LPG (t-CO2/t-ethylene)</t>
  </si>
  <si>
    <t>Total Output (t-CO2/t-ethylene)</t>
  </si>
  <si>
    <t>CA_Synthetic_Ethylene_Non_CCS</t>
  </si>
  <si>
    <t>CA_Synthetic_Ethylene_CCS_90</t>
  </si>
  <si>
    <t>CO2Captured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</si>
</sst>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rgb="FFF7E8FF"/>
        <bgColor rgb="FFADD8E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0" fontId="0" fillId="8" borderId="0" xfId="0" applyFill="1"/>
    <xf numFmtId="164" fontId="1" fillId="9" borderId="0" xfId="0" applyNumberFormat="1" applyFont="1" applyFill="1"/>
    <xf numFmtId="0" fontId="0" fillId="10" borderId="0" xfId="0" applyFill="1"/>
    <xf numFmtId="0" fontId="4" fillId="11" borderId="0" xfId="0" applyFont="1" applyFill="1"/>
    <xf numFmtId="0" fontId="2" fillId="12" borderId="0" xfId="0" applyFont="1" applyFill="1"/>
    <xf numFmtId="0" fontId="0" fillId="13" borderId="0" xfId="0" applyFill="1"/>
    <xf numFmtId="0" fontId="1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Y108"/>
  <sheetViews>
    <sheetView tabSelected="1" topLeftCell="R1" zoomScale="50" zoomScaleNormal="157" workbookViewId="0">
      <selection activeCell="AS18" sqref="AS18"/>
    </sheetView>
  </sheetViews>
  <sheetFormatPr baseColWidth="10" defaultRowHeight="16" x14ac:dyDescent="0.2"/>
  <cols>
    <col min="1" max="1" width="2.6640625" style="1" customWidth="1"/>
    <col min="2" max="2" width="28.6640625" style="1" customWidth="1"/>
    <col min="3" max="3" width="12.6640625" style="1" bestFit="1" customWidth="1"/>
    <col min="4" max="4" width="14" style="1" customWidth="1"/>
    <col min="5" max="5" width="14.6640625" style="1" customWidth="1"/>
    <col min="6" max="6" width="17" style="1" customWidth="1"/>
    <col min="7" max="7" width="15.1640625" style="1" customWidth="1"/>
    <col min="8" max="9" width="17" style="1" customWidth="1"/>
    <col min="10" max="10" width="12.1640625" style="1" customWidth="1"/>
    <col min="11" max="11" width="15.83203125" style="1" customWidth="1"/>
    <col min="12" max="12" width="13.5" style="1" customWidth="1"/>
    <col min="13" max="13" width="3" style="1" customWidth="1"/>
    <col min="14" max="14" width="12.83203125" style="1" bestFit="1" customWidth="1"/>
    <col min="15" max="15" width="11" style="1" customWidth="1"/>
    <col min="16" max="16" width="12.83203125" style="1" customWidth="1"/>
    <col min="17" max="17" width="13.83203125" style="1" customWidth="1"/>
    <col min="18" max="18" width="12" style="1" customWidth="1"/>
    <col min="19" max="19" width="11.83203125" style="1" customWidth="1"/>
    <col min="20" max="20" width="13.5" style="1" customWidth="1"/>
    <col min="21" max="21" width="14.33203125" style="1" customWidth="1"/>
    <col min="22" max="22" width="11" style="1" customWidth="1"/>
    <col min="23" max="23" width="9.33203125" style="1" customWidth="1"/>
    <col min="24" max="24" width="10.83203125" style="1" customWidth="1"/>
    <col min="25" max="25" width="14.83203125" style="1" customWidth="1"/>
    <col min="26" max="26" width="14.5" style="1" customWidth="1"/>
    <col min="27" max="28" width="12.5" style="1" customWidth="1"/>
    <col min="29" max="29" width="12.1640625" style="1" customWidth="1"/>
    <col min="30" max="30" width="13.1640625" style="1" customWidth="1"/>
    <col min="31" max="31" width="9.6640625" style="1" customWidth="1"/>
    <col min="32" max="32" width="9.83203125" style="1" customWidth="1"/>
    <col min="33" max="33" width="14.5" style="1" customWidth="1"/>
    <col min="34" max="34" width="15.33203125" style="1" customWidth="1"/>
    <col min="35" max="35" width="3.33203125" customWidth="1"/>
    <col min="36" max="36" width="18.83203125" style="1" customWidth="1"/>
    <col min="37" max="37" width="19.83203125" style="1" customWidth="1"/>
    <col min="38" max="38" width="15.6640625" style="1" bestFit="1" customWidth="1"/>
    <col min="39" max="39" width="15.6640625" style="1" customWidth="1"/>
    <col min="40" max="40" width="18.33203125" style="1" bestFit="1" customWidth="1"/>
    <col min="41" max="42" width="15.6640625" style="1" customWidth="1"/>
    <col min="43" max="43" width="18.33203125" style="1" bestFit="1" customWidth="1"/>
    <col min="44" max="44" width="14.1640625" style="1" bestFit="1" customWidth="1"/>
    <col min="45" max="45" width="15.1640625" style="1" bestFit="1" customWidth="1"/>
    <col min="46" max="46" width="17.33203125" style="1" bestFit="1" customWidth="1"/>
    <col min="47" max="47" width="15.5" style="1" customWidth="1"/>
    <col min="48" max="48" width="13.6640625" style="1" bestFit="1" customWidth="1"/>
    <col min="49" max="49" width="12.1640625" style="1" bestFit="1" customWidth="1"/>
    <col min="50" max="50" width="14.5" style="1" bestFit="1" customWidth="1"/>
    <col min="51" max="51" width="10.5" style="1" customWidth="1"/>
    <col min="52" max="52" width="17.83203125" style="1" bestFit="1" customWidth="1"/>
    <col min="53" max="53" width="19.6640625" style="1" bestFit="1" customWidth="1"/>
    <col min="54" max="54" width="12.1640625" style="1" customWidth="1"/>
    <col min="55" max="55" width="17.83203125" style="1" bestFit="1" customWidth="1"/>
    <col min="56" max="56" width="19.33203125" style="1" bestFit="1" customWidth="1"/>
    <col min="57" max="57" width="18" style="1" customWidth="1"/>
    <col min="58" max="58" width="17.83203125" style="1" bestFit="1" customWidth="1"/>
    <col min="59" max="59" width="19.33203125" style="1" bestFit="1" customWidth="1"/>
    <col min="60" max="60" width="9.6640625" style="1" customWidth="1"/>
    <col min="61" max="61" width="17.83203125" style="1" bestFit="1" customWidth="1"/>
    <col min="62" max="62" width="19.33203125" style="1" bestFit="1" customWidth="1"/>
    <col min="63" max="63" width="3.33203125" style="1" customWidth="1"/>
    <col min="64" max="64" width="12.83203125" style="1" customWidth="1"/>
    <col min="65" max="65" width="11.6640625" style="1" customWidth="1"/>
    <col min="66" max="66" width="19.1640625" style="1" bestFit="1" customWidth="1"/>
    <col min="67" max="67" width="3.6640625" style="1" customWidth="1"/>
    <col min="68" max="68" width="21.6640625" style="1" bestFit="1" customWidth="1"/>
    <col min="69" max="69" width="18.33203125" style="1" bestFit="1" customWidth="1"/>
    <col min="70" max="70" width="24.33203125" style="1" bestFit="1" customWidth="1"/>
    <col min="71" max="71" width="3.33203125" style="1" customWidth="1"/>
    <col min="72" max="72" width="23" style="1" bestFit="1" customWidth="1"/>
    <col min="73" max="73" width="17.83203125" style="1" bestFit="1" customWidth="1"/>
    <col min="74" max="74" width="23.6640625" style="1" bestFit="1" customWidth="1"/>
    <col min="75" max="75" width="23.1640625" style="1" bestFit="1" customWidth="1"/>
    <col min="76" max="76" width="18.5" style="1" bestFit="1" customWidth="1"/>
    <col min="77" max="77" width="26" style="1" bestFit="1" customWidth="1"/>
    <col min="78" max="87" width="10.83203125" style="1" customWidth="1"/>
    <col min="88" max="16384" width="10.83203125" style="1"/>
  </cols>
  <sheetData>
    <row r="2" spans="2:77" x14ac:dyDescent="0.2">
      <c r="B2" s="1" t="s">
        <v>0</v>
      </c>
      <c r="N2" s="1" t="s">
        <v>1</v>
      </c>
      <c r="AJ2" s="1" t="s">
        <v>2</v>
      </c>
      <c r="AL2" s="1" t="s">
        <v>3</v>
      </c>
      <c r="AM2" s="1" t="s">
        <v>4</v>
      </c>
      <c r="AO2" s="1" t="s">
        <v>5</v>
      </c>
      <c r="AP2" s="1" t="s">
        <v>6</v>
      </c>
      <c r="AY2" s="1" t="s">
        <v>7</v>
      </c>
      <c r="BB2" s="1" t="s">
        <v>8</v>
      </c>
      <c r="BE2" s="1" t="s">
        <v>9</v>
      </c>
      <c r="BH2" s="1" t="s">
        <v>10</v>
      </c>
      <c r="BL2" s="1" t="s">
        <v>11</v>
      </c>
      <c r="BP2" s="1" t="s">
        <v>12</v>
      </c>
      <c r="BT2" s="1" t="s">
        <v>13</v>
      </c>
    </row>
    <row r="3" spans="2:77" x14ac:dyDescent="0.2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7" t="s">
        <v>24</v>
      </c>
      <c r="N3" s="15" t="s">
        <v>25</v>
      </c>
      <c r="O3" s="15" t="s">
        <v>26</v>
      </c>
      <c r="P3" s="15" t="s">
        <v>27</v>
      </c>
      <c r="Q3" s="15" t="s">
        <v>28</v>
      </c>
      <c r="R3" s="15" t="s">
        <v>29</v>
      </c>
      <c r="S3" s="7" t="s">
        <v>30</v>
      </c>
      <c r="T3" s="15" t="s">
        <v>31</v>
      </c>
      <c r="U3" s="15" t="s">
        <v>32</v>
      </c>
      <c r="V3" s="15" t="s">
        <v>33</v>
      </c>
      <c r="W3" s="15" t="s">
        <v>34</v>
      </c>
      <c r="X3" s="15" t="s">
        <v>35</v>
      </c>
      <c r="Y3" s="15" t="s">
        <v>36</v>
      </c>
      <c r="Z3" s="15" t="s">
        <v>37</v>
      </c>
      <c r="AA3" s="15" t="s">
        <v>38</v>
      </c>
      <c r="AB3" s="15" t="s">
        <v>39</v>
      </c>
      <c r="AC3" s="15" t="s">
        <v>40</v>
      </c>
      <c r="AD3" s="15" t="s">
        <v>41</v>
      </c>
      <c r="AE3" s="15" t="s">
        <v>42</v>
      </c>
      <c r="AF3" s="15" t="s">
        <v>43</v>
      </c>
      <c r="AG3" s="15" t="s">
        <v>44</v>
      </c>
      <c r="AH3" s="15" t="s">
        <v>45</v>
      </c>
      <c r="AJ3" s="4" t="s">
        <v>46</v>
      </c>
      <c r="AK3" s="4" t="s">
        <v>47</v>
      </c>
      <c r="AL3" s="3" t="s">
        <v>48</v>
      </c>
      <c r="AM3" s="6" t="s">
        <v>48</v>
      </c>
      <c r="AN3" s="7" t="s">
        <v>49</v>
      </c>
      <c r="AO3" s="3" t="s">
        <v>48</v>
      </c>
      <c r="AP3" s="6" t="s">
        <v>48</v>
      </c>
      <c r="AQ3" s="7" t="s">
        <v>49</v>
      </c>
      <c r="AR3" s="4" t="s">
        <v>50</v>
      </c>
      <c r="AS3" s="4" t="s">
        <v>51</v>
      </c>
      <c r="AT3" s="4" t="s">
        <v>52</v>
      </c>
      <c r="AU3" s="4" t="s">
        <v>53</v>
      </c>
      <c r="AV3" s="4" t="s">
        <v>54</v>
      </c>
      <c r="AW3" s="4" t="s">
        <v>55</v>
      </c>
      <c r="AX3" s="4" t="s">
        <v>56</v>
      </c>
      <c r="AY3" s="3" t="s">
        <v>57</v>
      </c>
      <c r="AZ3" s="3" t="s">
        <v>58</v>
      </c>
      <c r="BA3" s="3" t="s">
        <v>59</v>
      </c>
      <c r="BB3" s="6" t="s">
        <v>57</v>
      </c>
      <c r="BC3" s="6" t="s">
        <v>58</v>
      </c>
      <c r="BD3" s="6" t="s">
        <v>59</v>
      </c>
      <c r="BE3" s="3" t="s">
        <v>57</v>
      </c>
      <c r="BF3" s="3" t="s">
        <v>58</v>
      </c>
      <c r="BG3" s="3" t="s">
        <v>59</v>
      </c>
      <c r="BH3" s="6" t="s">
        <v>57</v>
      </c>
      <c r="BI3" s="6" t="s">
        <v>58</v>
      </c>
      <c r="BJ3" s="6" t="s">
        <v>59</v>
      </c>
      <c r="BL3" s="7" t="s">
        <v>60</v>
      </c>
      <c r="BM3" s="7" t="s">
        <v>61</v>
      </c>
      <c r="BN3" s="7" t="s">
        <v>62</v>
      </c>
      <c r="BP3" s="7" t="s">
        <v>63</v>
      </c>
      <c r="BQ3" s="7" t="s">
        <v>64</v>
      </c>
      <c r="BR3" s="7" t="s">
        <v>65</v>
      </c>
      <c r="BT3" s="7" t="s">
        <v>60</v>
      </c>
      <c r="BU3" s="7" t="s">
        <v>62</v>
      </c>
      <c r="BV3" s="7" t="s">
        <v>66</v>
      </c>
      <c r="BW3" s="7" t="s">
        <v>67</v>
      </c>
      <c r="BX3" s="7" t="s">
        <v>68</v>
      </c>
      <c r="BY3" s="7" t="s">
        <v>69</v>
      </c>
    </row>
    <row r="4" spans="2:77" x14ac:dyDescent="0.2">
      <c r="B4" s="14" t="s">
        <v>70</v>
      </c>
      <c r="C4" s="13" t="s">
        <v>72</v>
      </c>
      <c r="D4" s="13">
        <v>5.4424706709999997</v>
      </c>
      <c r="E4" s="13">
        <v>0.17633674630000001</v>
      </c>
      <c r="F4" s="13">
        <v>0.1137656428</v>
      </c>
      <c r="G4" s="13">
        <v>0.15787734950000001</v>
      </c>
      <c r="H4" s="13">
        <v>0.42937955880000001</v>
      </c>
      <c r="I4" s="13">
        <v>174237.6587</v>
      </c>
      <c r="J4" s="13">
        <v>95841.654150000002</v>
      </c>
      <c r="K4" s="13">
        <v>2.9463016839999998</v>
      </c>
      <c r="L4" s="11">
        <f t="shared" ref="L4:L35" si="0">BX4/0.22/14</f>
        <v>0</v>
      </c>
      <c r="N4" s="16">
        <v>122.135409</v>
      </c>
      <c r="O4" s="16">
        <v>-6.4965359999999999</v>
      </c>
      <c r="P4" s="16">
        <v>117.625038</v>
      </c>
      <c r="Q4" s="16">
        <v>88.648826</v>
      </c>
      <c r="R4" s="16">
        <v>72.811197000000007</v>
      </c>
      <c r="S4" s="11">
        <v>21.986353300000001</v>
      </c>
      <c r="T4" s="17"/>
      <c r="U4" s="17"/>
      <c r="V4" s="16">
        <v>25.313632999999999</v>
      </c>
      <c r="W4" s="16">
        <v>8.8090729999999997</v>
      </c>
      <c r="X4" s="16"/>
      <c r="Y4" s="17">
        <v>0</v>
      </c>
      <c r="Z4" s="17">
        <v>0</v>
      </c>
      <c r="AA4" s="17"/>
      <c r="AB4" s="17"/>
      <c r="AC4" s="17"/>
      <c r="AD4" s="17"/>
      <c r="AE4" s="16">
        <v>11.573017</v>
      </c>
      <c r="AF4" s="16">
        <v>0</v>
      </c>
      <c r="AG4" s="16">
        <v>576.81126900000004</v>
      </c>
      <c r="AH4" s="16">
        <v>0</v>
      </c>
      <c r="AJ4" s="1" t="str">
        <f t="shared" ref="AJ4:AJ35" si="1">B4</f>
        <v>CA_Synthetic_Ethylene_Non_CCS</v>
      </c>
      <c r="AK4" s="1" t="str">
        <f t="shared" ref="AK4:AK35" si="2">C4</f>
        <v>CO2Captured</v>
      </c>
      <c r="AL4" s="12" t="e">
        <f t="shared" ref="AL4:AL35" si="3">SUM(AR4:AX4)+AZ4+BA4</f>
        <v>#REF!</v>
      </c>
      <c r="AM4" s="12" t="e">
        <f t="shared" ref="AM4:AM35" si="4">SUM(AR4:AX4)+BC4+BD4</f>
        <v>#REF!</v>
      </c>
      <c r="AN4" s="5" t="e">
        <f t="shared" ref="AN4:AN35" si="5">AL4-AM4</f>
        <v>#REF!</v>
      </c>
      <c r="AO4" s="12" t="e">
        <f t="shared" ref="AO4:AO35" si="6">SUM(AR4:AX4)+BF4+BG4</f>
        <v>#REF!</v>
      </c>
      <c r="AP4" s="12" t="e">
        <f t="shared" ref="AP4:AP35" si="7">SUM(AR4:AX4)+BI4+BJ4</f>
        <v>#REF!</v>
      </c>
      <c r="AQ4" s="5" t="e">
        <f t="shared" ref="AQ4:AQ35" si="8">AO4-AP4</f>
        <v>#REF!</v>
      </c>
      <c r="AR4" s="5">
        <f>D4/F4*W4</f>
        <v>421.42003737878917</v>
      </c>
      <c r="AS4" s="1">
        <f t="shared" ref="AS4:AS35" si="9">E4/F4*V4</f>
        <v>39.236131141099733</v>
      </c>
      <c r="AT4" s="1">
        <f t="shared" ref="AT4:AT35" si="10">1/F4*S4</f>
        <v>193.26004546602891</v>
      </c>
      <c r="AU4" s="1">
        <f t="shared" ref="AU4:AU35" si="11">G4/F4*AE4*-1</f>
        <v>-16.060360621268707</v>
      </c>
      <c r="AV4" s="1">
        <f t="shared" ref="AV4:AV35" si="12">I4/F4/(0.9*8760)</f>
        <v>194.26040330394619</v>
      </c>
      <c r="AW4" s="1">
        <f t="shared" ref="AW4:AW35" si="13">J4/F4/(0.9*8760)</f>
        <v>106.85542108065717</v>
      </c>
      <c r="AX4" s="1">
        <f t="shared" ref="AX4:AX35" si="14">K4/F4</f>
        <v>25.897991796869626</v>
      </c>
      <c r="AY4" s="1">
        <f t="shared" ref="AY4:AY35" si="15">BU4+BV4+BW4</f>
        <v>0</v>
      </c>
      <c r="AZ4" s="1" t="e">
        <f>(N4+O4)*-1*#REF!/F4</f>
        <v>#REF!</v>
      </c>
      <c r="BA4" s="1">
        <f t="shared" ref="BA4:BA35" si="16">AY4*N4</f>
        <v>0</v>
      </c>
      <c r="BB4" s="1">
        <f t="shared" ref="BB4:BB35" si="17">BU4+BV4</f>
        <v>0</v>
      </c>
      <c r="BC4" s="1" t="e">
        <f>O4*#REF!*-1/F4</f>
        <v>#REF!</v>
      </c>
      <c r="BD4" s="1">
        <f t="shared" ref="BD4:BD35" si="18">BB4*N4</f>
        <v>0</v>
      </c>
      <c r="BE4" s="1">
        <f t="shared" ref="BE4:BE35" si="19">SUM(BT4:BX4)</f>
        <v>0</v>
      </c>
      <c r="BF4" s="1" t="e">
        <f>(N4+O4)*-1*#REF!/F4</f>
        <v>#REF!</v>
      </c>
      <c r="BG4" s="1">
        <f t="shared" ref="BG4:BG35" si="20">BE4*N4</f>
        <v>0</v>
      </c>
      <c r="BH4" s="1">
        <f t="shared" ref="BH4:BH35" si="21">BT4+BU4+BV4+BX4</f>
        <v>0</v>
      </c>
      <c r="BI4" s="1" t="e">
        <f>#REF!/F4*O4*-1</f>
        <v>#REF!</v>
      </c>
      <c r="BJ4" s="1">
        <f t="shared" ref="BJ4:BJ35" si="22">N4*BH4</f>
        <v>0</v>
      </c>
      <c r="BL4" s="9"/>
      <c r="BM4" s="10"/>
      <c r="BN4" s="9"/>
      <c r="BP4" s="10"/>
      <c r="BQ4" s="10"/>
      <c r="BR4" s="10"/>
      <c r="BT4" s="10"/>
      <c r="BU4" s="10"/>
      <c r="BV4" s="10"/>
      <c r="BW4" s="10"/>
      <c r="BX4" s="10"/>
      <c r="BY4" s="10"/>
    </row>
    <row r="5" spans="2:77" x14ac:dyDescent="0.2">
      <c r="B5" s="14" t="s">
        <v>71</v>
      </c>
      <c r="C5" s="13" t="s">
        <v>72</v>
      </c>
      <c r="D5" s="13">
        <v>5.9243674339999997</v>
      </c>
      <c r="E5" s="13">
        <v>0.24466847410000001</v>
      </c>
      <c r="F5" s="13">
        <v>0.1238388794</v>
      </c>
      <c r="G5" s="13">
        <v>0.1718564021</v>
      </c>
      <c r="H5" s="13">
        <v>0.37885468500000002</v>
      </c>
      <c r="I5" s="13">
        <v>209498.31779999999</v>
      </c>
      <c r="J5" s="13">
        <v>115165.852</v>
      </c>
      <c r="K5" s="13">
        <v>3.542547876</v>
      </c>
      <c r="L5" s="11">
        <f t="shared" si="0"/>
        <v>0</v>
      </c>
      <c r="N5" s="16">
        <v>122.135409</v>
      </c>
      <c r="O5" s="16">
        <v>-6.4965359999999999</v>
      </c>
      <c r="P5" s="16">
        <v>117.625038</v>
      </c>
      <c r="Q5" s="16">
        <v>88.648826</v>
      </c>
      <c r="R5" s="16">
        <v>72.811197000000007</v>
      </c>
      <c r="S5" s="11">
        <v>21.986353300000001</v>
      </c>
      <c r="T5" s="17"/>
      <c r="U5" s="17"/>
      <c r="V5" s="16">
        <v>25.313632999999999</v>
      </c>
      <c r="W5" s="16">
        <v>8.8090729999999997</v>
      </c>
      <c r="X5" s="16"/>
      <c r="Y5" s="17">
        <v>0</v>
      </c>
      <c r="Z5" s="17">
        <v>0</v>
      </c>
      <c r="AA5" s="17"/>
      <c r="AB5" s="17"/>
      <c r="AC5" s="17"/>
      <c r="AD5" s="17"/>
      <c r="AE5" s="16">
        <v>11.573017</v>
      </c>
      <c r="AF5" s="16">
        <v>0</v>
      </c>
      <c r="AG5" s="16">
        <v>576.81126900000004</v>
      </c>
      <c r="AH5" s="16">
        <v>0</v>
      </c>
      <c r="AJ5" s="1" t="str">
        <f t="shared" si="1"/>
        <v>CA_Synthetic_Ethylene_CCS_90</v>
      </c>
      <c r="AK5" s="1" t="str">
        <f t="shared" si="2"/>
        <v>CO2Captured</v>
      </c>
      <c r="AL5" s="12" t="e">
        <f t="shared" si="3"/>
        <v>#REF!</v>
      </c>
      <c r="AM5" s="12" t="e">
        <f t="shared" si="4"/>
        <v>#REF!</v>
      </c>
      <c r="AN5" s="5" t="e">
        <f t="shared" si="5"/>
        <v>#REF!</v>
      </c>
      <c r="AO5" s="12" t="e">
        <f t="shared" si="6"/>
        <v>#REF!</v>
      </c>
      <c r="AP5" s="12" t="e">
        <f t="shared" si="7"/>
        <v>#REF!</v>
      </c>
      <c r="AQ5" s="5" t="e">
        <f t="shared" si="8"/>
        <v>#REF!</v>
      </c>
      <c r="AR5" s="5">
        <f t="shared" ref="AR4:AR35" si="23">D5/F5*W5</f>
        <v>421.42003753409836</v>
      </c>
      <c r="AS5" s="1">
        <f t="shared" si="9"/>
        <v>50.01214473228999</v>
      </c>
      <c r="AT5" s="1">
        <f t="shared" si="10"/>
        <v>177.53998910942985</v>
      </c>
      <c r="AU5" s="1">
        <f t="shared" si="11"/>
        <v>-16.06036062905569</v>
      </c>
      <c r="AV5" s="1">
        <f t="shared" si="12"/>
        <v>214.57390798665784</v>
      </c>
      <c r="AW5" s="1">
        <f t="shared" si="13"/>
        <v>117.95601601844012</v>
      </c>
      <c r="AX5" s="1">
        <f t="shared" si="14"/>
        <v>28.606104102069256</v>
      </c>
      <c r="AY5" s="1">
        <f t="shared" si="15"/>
        <v>0</v>
      </c>
      <c r="AZ5" s="1" t="e">
        <f>(N5+O5)*-1*#REF!/F5</f>
        <v>#REF!</v>
      </c>
      <c r="BA5" s="1">
        <f t="shared" si="16"/>
        <v>0</v>
      </c>
      <c r="BB5" s="1">
        <f t="shared" si="17"/>
        <v>0</v>
      </c>
      <c r="BC5" s="1" t="e">
        <f>O5*#REF!*-1/F5</f>
        <v>#REF!</v>
      </c>
      <c r="BD5" s="1">
        <f t="shared" si="18"/>
        <v>0</v>
      </c>
      <c r="BE5" s="1">
        <f t="shared" si="19"/>
        <v>0</v>
      </c>
      <c r="BF5" s="1" t="e">
        <f>(N5+O5)*-1*#REF!/F5</f>
        <v>#REF!</v>
      </c>
      <c r="BG5" s="1">
        <f t="shared" si="20"/>
        <v>0</v>
      </c>
      <c r="BH5" s="1">
        <f t="shared" si="21"/>
        <v>0</v>
      </c>
      <c r="BI5" s="1" t="e">
        <f>#REF!/F5*O5*-1</f>
        <v>#REF!</v>
      </c>
      <c r="BJ5" s="1">
        <f t="shared" si="22"/>
        <v>0</v>
      </c>
      <c r="BL5" s="9"/>
      <c r="BM5" s="10"/>
      <c r="BN5" s="9"/>
      <c r="BP5" s="10"/>
      <c r="BQ5" s="10"/>
      <c r="BR5" s="10"/>
      <c r="BT5" s="10"/>
      <c r="BU5" s="10"/>
      <c r="BV5" s="10"/>
      <c r="BW5" s="10"/>
      <c r="BX5" s="10"/>
      <c r="BY5" s="10"/>
    </row>
    <row r="6" spans="2:77" x14ac:dyDescent="0.2">
      <c r="B6" s="14"/>
      <c r="C6" s="13" t="s">
        <v>72</v>
      </c>
      <c r="D6" s="13"/>
      <c r="E6" s="13"/>
      <c r="F6" s="13"/>
      <c r="G6" s="13"/>
      <c r="H6" s="13"/>
      <c r="I6" s="13"/>
      <c r="J6" s="13"/>
      <c r="K6" s="13"/>
      <c r="L6" s="11">
        <f t="shared" si="0"/>
        <v>0</v>
      </c>
      <c r="N6" s="16"/>
      <c r="O6" s="16"/>
      <c r="P6" s="16"/>
      <c r="Q6" s="16"/>
      <c r="R6" s="16"/>
      <c r="S6" s="11">
        <v>21.986353300000001</v>
      </c>
      <c r="T6" s="17"/>
      <c r="U6" s="17"/>
      <c r="V6" s="16"/>
      <c r="W6" s="16"/>
      <c r="X6" s="16"/>
      <c r="Y6" s="17"/>
      <c r="Z6" s="17"/>
      <c r="AA6" s="17"/>
      <c r="AB6" s="17"/>
      <c r="AC6" s="17"/>
      <c r="AD6" s="17"/>
      <c r="AE6" s="16"/>
      <c r="AF6" s="16"/>
      <c r="AG6" s="16"/>
      <c r="AH6" s="16"/>
      <c r="AJ6" s="1">
        <f>B6</f>
        <v>0</v>
      </c>
      <c r="AK6" s="1" t="str">
        <f t="shared" si="2"/>
        <v>CO2Captured</v>
      </c>
      <c r="AL6" s="12" t="e">
        <f t="shared" si="3"/>
        <v>#DIV/0!</v>
      </c>
      <c r="AM6" s="12" t="e">
        <f t="shared" si="4"/>
        <v>#DIV/0!</v>
      </c>
      <c r="AN6" s="5" t="e">
        <f t="shared" si="5"/>
        <v>#DIV/0!</v>
      </c>
      <c r="AO6" s="12" t="e">
        <f t="shared" si="6"/>
        <v>#DIV/0!</v>
      </c>
      <c r="AP6" s="12" t="e">
        <f t="shared" si="7"/>
        <v>#DIV/0!</v>
      </c>
      <c r="AQ6" s="5" t="e">
        <f t="shared" si="8"/>
        <v>#DIV/0!</v>
      </c>
      <c r="AR6" s="5" t="e">
        <f t="shared" si="23"/>
        <v>#DIV/0!</v>
      </c>
      <c r="AS6" s="1" t="e">
        <f t="shared" si="9"/>
        <v>#DIV/0!</v>
      </c>
      <c r="AT6" s="1" t="e">
        <f t="shared" si="10"/>
        <v>#DIV/0!</v>
      </c>
      <c r="AU6" s="1" t="e">
        <f t="shared" si="11"/>
        <v>#DIV/0!</v>
      </c>
      <c r="AV6" s="1" t="e">
        <f t="shared" si="12"/>
        <v>#DIV/0!</v>
      </c>
      <c r="AW6" s="1" t="e">
        <f t="shared" si="13"/>
        <v>#DIV/0!</v>
      </c>
      <c r="AX6" s="1" t="e">
        <f t="shared" si="14"/>
        <v>#DIV/0!</v>
      </c>
      <c r="AY6" s="1">
        <f t="shared" si="15"/>
        <v>0</v>
      </c>
      <c r="AZ6" s="1" t="e">
        <f>(N6+O6)*-1*#REF!/F6</f>
        <v>#REF!</v>
      </c>
      <c r="BA6" s="1">
        <f t="shared" si="16"/>
        <v>0</v>
      </c>
      <c r="BB6" s="1">
        <f t="shared" si="17"/>
        <v>0</v>
      </c>
      <c r="BC6" s="1" t="e">
        <f>O6*#REF!*-1/F6</f>
        <v>#REF!</v>
      </c>
      <c r="BD6" s="1">
        <f t="shared" si="18"/>
        <v>0</v>
      </c>
      <c r="BE6" s="1">
        <f t="shared" si="19"/>
        <v>0</v>
      </c>
      <c r="BF6" s="1" t="e">
        <f>(N6+O6)*-1*#REF!/F6</f>
        <v>#REF!</v>
      </c>
      <c r="BG6" s="1">
        <f t="shared" si="20"/>
        <v>0</v>
      </c>
      <c r="BH6" s="1">
        <f t="shared" si="21"/>
        <v>0</v>
      </c>
      <c r="BI6" s="1" t="e">
        <f>#REF!/F6*O6*-1</f>
        <v>#REF!</v>
      </c>
      <c r="BJ6" s="1">
        <f t="shared" si="22"/>
        <v>0</v>
      </c>
      <c r="BL6" s="9"/>
      <c r="BM6" s="10"/>
      <c r="BN6" s="9"/>
      <c r="BP6" s="10"/>
      <c r="BQ6" s="10"/>
      <c r="BR6" s="10"/>
      <c r="BT6" s="10"/>
      <c r="BU6" s="10"/>
      <c r="BV6" s="10"/>
      <c r="BW6" s="10"/>
      <c r="BX6" s="10"/>
      <c r="BY6" s="10"/>
    </row>
    <row r="7" spans="2:77" x14ac:dyDescent="0.2">
      <c r="B7" s="14"/>
      <c r="C7" s="13" t="s">
        <v>72</v>
      </c>
      <c r="D7" s="13"/>
      <c r="E7" s="13"/>
      <c r="F7" s="13"/>
      <c r="G7" s="13"/>
      <c r="H7" s="13"/>
      <c r="I7" s="13"/>
      <c r="J7" s="13"/>
      <c r="K7" s="13"/>
      <c r="L7" s="11">
        <f t="shared" si="0"/>
        <v>0</v>
      </c>
      <c r="N7" s="16"/>
      <c r="O7" s="16"/>
      <c r="P7" s="16"/>
      <c r="Q7" s="16"/>
      <c r="R7" s="16"/>
      <c r="S7" s="11">
        <v>21.986353300000001</v>
      </c>
      <c r="T7" s="17"/>
      <c r="U7" s="17"/>
      <c r="V7" s="16"/>
      <c r="W7" s="16"/>
      <c r="X7" s="16"/>
      <c r="Y7" s="17"/>
      <c r="Z7" s="17"/>
      <c r="AA7" s="17"/>
      <c r="AB7" s="17"/>
      <c r="AC7" s="17"/>
      <c r="AD7" s="17"/>
      <c r="AE7" s="16"/>
      <c r="AF7" s="16"/>
      <c r="AG7" s="16"/>
      <c r="AH7" s="16"/>
      <c r="AJ7" s="1">
        <f t="shared" si="1"/>
        <v>0</v>
      </c>
      <c r="AK7" s="1" t="str">
        <f t="shared" si="2"/>
        <v>CO2Captured</v>
      </c>
      <c r="AL7" s="12" t="e">
        <f t="shared" si="3"/>
        <v>#DIV/0!</v>
      </c>
      <c r="AM7" s="12" t="e">
        <f t="shared" si="4"/>
        <v>#DIV/0!</v>
      </c>
      <c r="AN7" s="5" t="e">
        <f t="shared" si="5"/>
        <v>#DIV/0!</v>
      </c>
      <c r="AO7" s="12" t="e">
        <f t="shared" si="6"/>
        <v>#DIV/0!</v>
      </c>
      <c r="AP7" s="12" t="e">
        <f t="shared" si="7"/>
        <v>#DIV/0!</v>
      </c>
      <c r="AQ7" s="5" t="e">
        <f t="shared" si="8"/>
        <v>#DIV/0!</v>
      </c>
      <c r="AR7" s="5" t="e">
        <f t="shared" si="23"/>
        <v>#DIV/0!</v>
      </c>
      <c r="AS7" s="1" t="e">
        <f t="shared" si="9"/>
        <v>#DIV/0!</v>
      </c>
      <c r="AT7" s="1" t="e">
        <f t="shared" si="10"/>
        <v>#DIV/0!</v>
      </c>
      <c r="AU7" s="1" t="e">
        <f t="shared" si="11"/>
        <v>#DIV/0!</v>
      </c>
      <c r="AV7" s="1" t="e">
        <f t="shared" si="12"/>
        <v>#DIV/0!</v>
      </c>
      <c r="AW7" s="1" t="e">
        <f t="shared" si="13"/>
        <v>#DIV/0!</v>
      </c>
      <c r="AX7" s="1" t="e">
        <f t="shared" si="14"/>
        <v>#DIV/0!</v>
      </c>
      <c r="AY7" s="1">
        <f t="shared" si="15"/>
        <v>0</v>
      </c>
      <c r="AZ7" s="1" t="e">
        <f>(N7+O7)*-1*#REF!/F7</f>
        <v>#REF!</v>
      </c>
      <c r="BA7" s="1">
        <f t="shared" si="16"/>
        <v>0</v>
      </c>
      <c r="BB7" s="1">
        <f t="shared" si="17"/>
        <v>0</v>
      </c>
      <c r="BC7" s="1" t="e">
        <f>O7*#REF!*-1/F7</f>
        <v>#REF!</v>
      </c>
      <c r="BD7" s="1">
        <f t="shared" si="18"/>
        <v>0</v>
      </c>
      <c r="BE7" s="1">
        <f t="shared" si="19"/>
        <v>0</v>
      </c>
      <c r="BF7" s="1" t="e">
        <f>(N7+O7)*-1*#REF!/F7</f>
        <v>#REF!</v>
      </c>
      <c r="BG7" s="1">
        <f t="shared" si="20"/>
        <v>0</v>
      </c>
      <c r="BH7" s="1">
        <f t="shared" si="21"/>
        <v>0</v>
      </c>
      <c r="BI7" s="1" t="e">
        <f>#REF!/F7*O7*-1</f>
        <v>#REF!</v>
      </c>
      <c r="BJ7" s="1">
        <f t="shared" si="22"/>
        <v>0</v>
      </c>
      <c r="BL7" s="9"/>
      <c r="BM7" s="10"/>
      <c r="BN7" s="9"/>
      <c r="BP7" s="10"/>
      <c r="BQ7" s="10"/>
      <c r="BR7" s="10"/>
      <c r="BT7" s="10"/>
      <c r="BU7" s="10"/>
      <c r="BV7" s="10"/>
      <c r="BW7" s="10"/>
      <c r="BX7" s="10"/>
      <c r="BY7" s="10"/>
    </row>
    <row r="8" spans="2:77" x14ac:dyDescent="0.2">
      <c r="B8" s="14"/>
      <c r="C8" s="13" t="s">
        <v>72</v>
      </c>
      <c r="D8" s="13"/>
      <c r="E8" s="13"/>
      <c r="F8" s="13"/>
      <c r="G8" s="13"/>
      <c r="H8" s="13"/>
      <c r="I8" s="13"/>
      <c r="J8" s="13"/>
      <c r="K8" s="13"/>
      <c r="L8" s="11">
        <f t="shared" si="0"/>
        <v>0</v>
      </c>
      <c r="N8" s="16"/>
      <c r="O8" s="16"/>
      <c r="P8" s="16"/>
      <c r="Q8" s="16"/>
      <c r="R8" s="16"/>
      <c r="S8" s="11">
        <v>21.986353300000001</v>
      </c>
      <c r="T8" s="17"/>
      <c r="U8" s="17"/>
      <c r="V8" s="16"/>
      <c r="W8" s="16"/>
      <c r="X8" s="16"/>
      <c r="Y8" s="17"/>
      <c r="Z8" s="17"/>
      <c r="AA8" s="17"/>
      <c r="AB8" s="17"/>
      <c r="AC8" s="17"/>
      <c r="AD8" s="17"/>
      <c r="AE8" s="16"/>
      <c r="AF8" s="16"/>
      <c r="AG8" s="16"/>
      <c r="AH8" s="16"/>
      <c r="AJ8" s="1">
        <f t="shared" si="1"/>
        <v>0</v>
      </c>
      <c r="AK8" s="1" t="str">
        <f t="shared" si="2"/>
        <v>CO2Captured</v>
      </c>
      <c r="AL8" s="12" t="e">
        <f t="shared" si="3"/>
        <v>#DIV/0!</v>
      </c>
      <c r="AM8" s="12" t="e">
        <f t="shared" si="4"/>
        <v>#DIV/0!</v>
      </c>
      <c r="AN8" s="5" t="e">
        <f t="shared" si="5"/>
        <v>#DIV/0!</v>
      </c>
      <c r="AO8" s="12" t="e">
        <f t="shared" si="6"/>
        <v>#DIV/0!</v>
      </c>
      <c r="AP8" s="12" t="e">
        <f t="shared" si="7"/>
        <v>#DIV/0!</v>
      </c>
      <c r="AQ8" s="5" t="e">
        <f t="shared" si="8"/>
        <v>#DIV/0!</v>
      </c>
      <c r="AR8" s="5" t="e">
        <f t="shared" si="23"/>
        <v>#DIV/0!</v>
      </c>
      <c r="AS8" s="1" t="e">
        <f t="shared" si="9"/>
        <v>#DIV/0!</v>
      </c>
      <c r="AT8" s="1" t="e">
        <f t="shared" si="10"/>
        <v>#DIV/0!</v>
      </c>
      <c r="AU8" s="1" t="e">
        <f t="shared" si="11"/>
        <v>#DIV/0!</v>
      </c>
      <c r="AV8" s="1" t="e">
        <f t="shared" si="12"/>
        <v>#DIV/0!</v>
      </c>
      <c r="AW8" s="1" t="e">
        <f t="shared" si="13"/>
        <v>#DIV/0!</v>
      </c>
      <c r="AX8" s="1" t="e">
        <f t="shared" si="14"/>
        <v>#DIV/0!</v>
      </c>
      <c r="AY8" s="1">
        <f t="shared" si="15"/>
        <v>0</v>
      </c>
      <c r="AZ8" s="1" t="e">
        <f>(N8+O8)*-1*#REF!/F8</f>
        <v>#REF!</v>
      </c>
      <c r="BA8" s="1">
        <f t="shared" si="16"/>
        <v>0</v>
      </c>
      <c r="BB8" s="1">
        <f t="shared" si="17"/>
        <v>0</v>
      </c>
      <c r="BC8" s="1" t="e">
        <f>O8*#REF!*-1/F8</f>
        <v>#REF!</v>
      </c>
      <c r="BD8" s="1">
        <f t="shared" si="18"/>
        <v>0</v>
      </c>
      <c r="BE8" s="1">
        <f t="shared" si="19"/>
        <v>0</v>
      </c>
      <c r="BF8" s="1" t="e">
        <f>(N8+O8)*-1*#REF!/F8</f>
        <v>#REF!</v>
      </c>
      <c r="BG8" s="1">
        <f t="shared" si="20"/>
        <v>0</v>
      </c>
      <c r="BH8" s="1">
        <f t="shared" si="21"/>
        <v>0</v>
      </c>
      <c r="BI8" s="1" t="e">
        <f>#REF!/F8*O8*-1</f>
        <v>#REF!</v>
      </c>
      <c r="BJ8" s="1">
        <f t="shared" si="22"/>
        <v>0</v>
      </c>
      <c r="BL8" s="9"/>
      <c r="BM8" s="10"/>
      <c r="BN8" s="9"/>
      <c r="BP8" s="10"/>
      <c r="BQ8" s="10"/>
      <c r="BR8" s="10"/>
      <c r="BT8" s="10"/>
      <c r="BU8" s="10"/>
      <c r="BV8" s="10"/>
      <c r="BW8" s="10"/>
      <c r="BX8" s="10"/>
      <c r="BY8" s="10"/>
    </row>
    <row r="9" spans="2:77" x14ac:dyDescent="0.2">
      <c r="B9" s="14"/>
      <c r="C9" s="13" t="s">
        <v>72</v>
      </c>
      <c r="D9" s="13"/>
      <c r="E9" s="13"/>
      <c r="F9" s="13"/>
      <c r="G9" s="13"/>
      <c r="H9" s="13"/>
      <c r="I9" s="13"/>
      <c r="J9" s="13"/>
      <c r="K9" s="13"/>
      <c r="L9" s="11">
        <f t="shared" si="0"/>
        <v>0</v>
      </c>
      <c r="N9" s="16"/>
      <c r="O9" s="16"/>
      <c r="P9" s="16"/>
      <c r="Q9" s="16"/>
      <c r="R9" s="16"/>
      <c r="S9" s="11">
        <v>21.986353300000001</v>
      </c>
      <c r="T9" s="17"/>
      <c r="U9" s="17"/>
      <c r="V9" s="16"/>
      <c r="W9" s="16"/>
      <c r="X9" s="16"/>
      <c r="Y9" s="17"/>
      <c r="Z9" s="17"/>
      <c r="AA9" s="17"/>
      <c r="AB9" s="17"/>
      <c r="AC9" s="17"/>
      <c r="AD9" s="17"/>
      <c r="AE9" s="16"/>
      <c r="AF9" s="16"/>
      <c r="AG9" s="16"/>
      <c r="AH9" s="16"/>
      <c r="AJ9" s="1">
        <f t="shared" si="1"/>
        <v>0</v>
      </c>
      <c r="AK9" s="1" t="str">
        <f t="shared" si="2"/>
        <v>CO2Captured</v>
      </c>
      <c r="AL9" s="12" t="e">
        <f t="shared" si="3"/>
        <v>#DIV/0!</v>
      </c>
      <c r="AM9" s="12" t="e">
        <f t="shared" si="4"/>
        <v>#DIV/0!</v>
      </c>
      <c r="AN9" s="5" t="e">
        <f t="shared" si="5"/>
        <v>#DIV/0!</v>
      </c>
      <c r="AO9" s="12" t="e">
        <f t="shared" si="6"/>
        <v>#DIV/0!</v>
      </c>
      <c r="AP9" s="12" t="e">
        <f t="shared" si="7"/>
        <v>#DIV/0!</v>
      </c>
      <c r="AQ9" s="5" t="e">
        <f t="shared" si="8"/>
        <v>#DIV/0!</v>
      </c>
      <c r="AR9" s="5" t="e">
        <f t="shared" si="23"/>
        <v>#DIV/0!</v>
      </c>
      <c r="AS9" s="1" t="e">
        <f t="shared" si="9"/>
        <v>#DIV/0!</v>
      </c>
      <c r="AT9" s="1" t="e">
        <f t="shared" si="10"/>
        <v>#DIV/0!</v>
      </c>
      <c r="AU9" s="1" t="e">
        <f t="shared" si="11"/>
        <v>#DIV/0!</v>
      </c>
      <c r="AV9" s="1" t="e">
        <f t="shared" si="12"/>
        <v>#DIV/0!</v>
      </c>
      <c r="AW9" s="1" t="e">
        <f t="shared" si="13"/>
        <v>#DIV/0!</v>
      </c>
      <c r="AX9" s="1" t="e">
        <f t="shared" si="14"/>
        <v>#DIV/0!</v>
      </c>
      <c r="AY9" s="1">
        <f t="shared" si="15"/>
        <v>0</v>
      </c>
      <c r="AZ9" s="1" t="e">
        <f>(N9+O9)*-1*#REF!/F9</f>
        <v>#REF!</v>
      </c>
      <c r="BA9" s="1">
        <f t="shared" si="16"/>
        <v>0</v>
      </c>
      <c r="BB9" s="1">
        <f t="shared" si="17"/>
        <v>0</v>
      </c>
      <c r="BC9" s="1" t="e">
        <f>O9*#REF!*-1/F9</f>
        <v>#REF!</v>
      </c>
      <c r="BD9" s="1">
        <f t="shared" si="18"/>
        <v>0</v>
      </c>
      <c r="BE9" s="1">
        <f t="shared" si="19"/>
        <v>0</v>
      </c>
      <c r="BF9" s="1" t="e">
        <f>(N9+O9)*-1*#REF!/F9</f>
        <v>#REF!</v>
      </c>
      <c r="BG9" s="1">
        <f t="shared" si="20"/>
        <v>0</v>
      </c>
      <c r="BH9" s="1">
        <f t="shared" si="21"/>
        <v>0</v>
      </c>
      <c r="BI9" s="1" t="e">
        <f>#REF!/F9*O9*-1</f>
        <v>#REF!</v>
      </c>
      <c r="BJ9" s="1">
        <f t="shared" si="22"/>
        <v>0</v>
      </c>
      <c r="BL9" s="9"/>
      <c r="BM9" s="10"/>
      <c r="BN9" s="9"/>
      <c r="BP9" s="10"/>
      <c r="BQ9" s="10"/>
      <c r="BR9" s="10"/>
      <c r="BT9" s="10"/>
      <c r="BU9" s="10"/>
      <c r="BV9" s="10"/>
      <c r="BW9" s="10"/>
      <c r="BX9" s="10"/>
      <c r="BY9" s="10"/>
    </row>
    <row r="10" spans="2:77" x14ac:dyDescent="0.2">
      <c r="B10" s="14"/>
      <c r="C10" s="13" t="s">
        <v>72</v>
      </c>
      <c r="D10" s="13"/>
      <c r="E10" s="13"/>
      <c r="F10" s="13"/>
      <c r="G10" s="13"/>
      <c r="H10" s="13"/>
      <c r="I10" s="13"/>
      <c r="J10" s="13"/>
      <c r="K10" s="13"/>
      <c r="L10" s="11">
        <f t="shared" si="0"/>
        <v>0</v>
      </c>
      <c r="N10" s="16"/>
      <c r="O10" s="16"/>
      <c r="P10" s="16"/>
      <c r="Q10" s="16"/>
      <c r="R10" s="16"/>
      <c r="S10" s="11">
        <v>21.986353300000001</v>
      </c>
      <c r="T10" s="17"/>
      <c r="U10" s="17"/>
      <c r="V10" s="16"/>
      <c r="W10" s="16"/>
      <c r="X10" s="16"/>
      <c r="Y10" s="17"/>
      <c r="Z10" s="17"/>
      <c r="AA10" s="17"/>
      <c r="AB10" s="17"/>
      <c r="AC10" s="17"/>
      <c r="AD10" s="17"/>
      <c r="AE10" s="16"/>
      <c r="AF10" s="16"/>
      <c r="AG10" s="16"/>
      <c r="AH10" s="16"/>
      <c r="AJ10" s="1">
        <f t="shared" si="1"/>
        <v>0</v>
      </c>
      <c r="AK10" s="1" t="str">
        <f t="shared" si="2"/>
        <v>CO2Captured</v>
      </c>
      <c r="AL10" s="12" t="e">
        <f t="shared" si="3"/>
        <v>#DIV/0!</v>
      </c>
      <c r="AM10" s="12" t="e">
        <f t="shared" si="4"/>
        <v>#DIV/0!</v>
      </c>
      <c r="AN10" s="5" t="e">
        <f t="shared" si="5"/>
        <v>#DIV/0!</v>
      </c>
      <c r="AO10" s="12" t="e">
        <f t="shared" si="6"/>
        <v>#DIV/0!</v>
      </c>
      <c r="AP10" s="12" t="e">
        <f t="shared" si="7"/>
        <v>#DIV/0!</v>
      </c>
      <c r="AQ10" s="5" t="e">
        <f t="shared" si="8"/>
        <v>#DIV/0!</v>
      </c>
      <c r="AR10" s="5" t="e">
        <f t="shared" si="23"/>
        <v>#DIV/0!</v>
      </c>
      <c r="AS10" s="1" t="e">
        <f t="shared" si="9"/>
        <v>#DIV/0!</v>
      </c>
      <c r="AT10" s="1" t="e">
        <f t="shared" si="10"/>
        <v>#DIV/0!</v>
      </c>
      <c r="AU10" s="1" t="e">
        <f t="shared" si="11"/>
        <v>#DIV/0!</v>
      </c>
      <c r="AV10" s="1" t="e">
        <f t="shared" si="12"/>
        <v>#DIV/0!</v>
      </c>
      <c r="AW10" s="1" t="e">
        <f t="shared" si="13"/>
        <v>#DIV/0!</v>
      </c>
      <c r="AX10" s="1" t="e">
        <f t="shared" si="14"/>
        <v>#DIV/0!</v>
      </c>
      <c r="AY10" s="1">
        <f t="shared" si="15"/>
        <v>0</v>
      </c>
      <c r="AZ10" s="1" t="e">
        <f>(N10+O10)*-1*#REF!/F10</f>
        <v>#REF!</v>
      </c>
      <c r="BA10" s="1">
        <f t="shared" si="16"/>
        <v>0</v>
      </c>
      <c r="BB10" s="1">
        <f t="shared" si="17"/>
        <v>0</v>
      </c>
      <c r="BC10" s="1" t="e">
        <f>O10*#REF!*-1/F10</f>
        <v>#REF!</v>
      </c>
      <c r="BD10" s="1">
        <f t="shared" si="18"/>
        <v>0</v>
      </c>
      <c r="BE10" s="1">
        <f t="shared" si="19"/>
        <v>0</v>
      </c>
      <c r="BF10" s="1" t="e">
        <f>(N10+O10)*-1*#REF!/F10</f>
        <v>#REF!</v>
      </c>
      <c r="BG10" s="1">
        <f t="shared" si="20"/>
        <v>0</v>
      </c>
      <c r="BH10" s="1">
        <f t="shared" si="21"/>
        <v>0</v>
      </c>
      <c r="BI10" s="1" t="e">
        <f>#REF!/F10*O10*-1</f>
        <v>#REF!</v>
      </c>
      <c r="BJ10" s="1">
        <f t="shared" si="22"/>
        <v>0</v>
      </c>
      <c r="BL10" s="9"/>
      <c r="BM10" s="10"/>
      <c r="BN10" s="9"/>
      <c r="BP10" s="10"/>
      <c r="BQ10" s="10"/>
      <c r="BR10" s="10"/>
      <c r="BT10" s="10"/>
      <c r="BU10" s="10"/>
      <c r="BV10" s="10"/>
      <c r="BW10" s="10"/>
      <c r="BX10" s="10"/>
      <c r="BY10" s="10"/>
    </row>
    <row r="11" spans="2:77" x14ac:dyDescent="0.2">
      <c r="B11" s="14"/>
      <c r="C11" s="13" t="s">
        <v>72</v>
      </c>
      <c r="D11" s="13"/>
      <c r="E11" s="13"/>
      <c r="F11" s="13"/>
      <c r="G11" s="13"/>
      <c r="H11" s="13"/>
      <c r="I11" s="13"/>
      <c r="J11" s="13"/>
      <c r="K11" s="13"/>
      <c r="L11" s="11">
        <f t="shared" si="0"/>
        <v>0</v>
      </c>
      <c r="N11" s="16"/>
      <c r="O11" s="16"/>
      <c r="P11" s="16"/>
      <c r="Q11" s="16"/>
      <c r="R11" s="16"/>
      <c r="S11" s="11">
        <v>21.986353300000001</v>
      </c>
      <c r="T11" s="17"/>
      <c r="U11" s="17"/>
      <c r="V11" s="16"/>
      <c r="W11" s="16"/>
      <c r="X11" s="16"/>
      <c r="Y11" s="17"/>
      <c r="Z11" s="17"/>
      <c r="AA11" s="17"/>
      <c r="AB11" s="17"/>
      <c r="AC11" s="17"/>
      <c r="AD11" s="17"/>
      <c r="AE11" s="16"/>
      <c r="AF11" s="16"/>
      <c r="AG11" s="16"/>
      <c r="AH11" s="16"/>
      <c r="AJ11" s="1">
        <f t="shared" si="1"/>
        <v>0</v>
      </c>
      <c r="AK11" s="1" t="str">
        <f t="shared" si="2"/>
        <v>CO2Captured</v>
      </c>
      <c r="AL11" s="12" t="e">
        <f t="shared" si="3"/>
        <v>#DIV/0!</v>
      </c>
      <c r="AM11" s="12" t="e">
        <f t="shared" si="4"/>
        <v>#DIV/0!</v>
      </c>
      <c r="AN11" s="5" t="e">
        <f t="shared" si="5"/>
        <v>#DIV/0!</v>
      </c>
      <c r="AO11" s="12" t="e">
        <f t="shared" si="6"/>
        <v>#DIV/0!</v>
      </c>
      <c r="AP11" s="12" t="e">
        <f t="shared" si="7"/>
        <v>#DIV/0!</v>
      </c>
      <c r="AQ11" s="5" t="e">
        <f t="shared" si="8"/>
        <v>#DIV/0!</v>
      </c>
      <c r="AR11" s="5" t="e">
        <f t="shared" si="23"/>
        <v>#DIV/0!</v>
      </c>
      <c r="AS11" s="1" t="e">
        <f t="shared" si="9"/>
        <v>#DIV/0!</v>
      </c>
      <c r="AT11" s="1" t="e">
        <f t="shared" si="10"/>
        <v>#DIV/0!</v>
      </c>
      <c r="AU11" s="1" t="e">
        <f t="shared" si="11"/>
        <v>#DIV/0!</v>
      </c>
      <c r="AV11" s="1" t="e">
        <f t="shared" si="12"/>
        <v>#DIV/0!</v>
      </c>
      <c r="AW11" s="1" t="e">
        <f t="shared" si="13"/>
        <v>#DIV/0!</v>
      </c>
      <c r="AX11" s="1" t="e">
        <f t="shared" si="14"/>
        <v>#DIV/0!</v>
      </c>
      <c r="AY11" s="1">
        <f t="shared" si="15"/>
        <v>0</v>
      </c>
      <c r="AZ11" s="1" t="e">
        <f>(N11+O11)*-1*#REF!/F11</f>
        <v>#REF!</v>
      </c>
      <c r="BA11" s="1">
        <f t="shared" si="16"/>
        <v>0</v>
      </c>
      <c r="BB11" s="1">
        <f t="shared" si="17"/>
        <v>0</v>
      </c>
      <c r="BC11" s="1" t="e">
        <f>O11*#REF!*-1/F11</f>
        <v>#REF!</v>
      </c>
      <c r="BD11" s="1">
        <f t="shared" si="18"/>
        <v>0</v>
      </c>
      <c r="BE11" s="1">
        <f t="shared" si="19"/>
        <v>0</v>
      </c>
      <c r="BF11" s="1" t="e">
        <f>(N11+O11)*-1*#REF!/F11</f>
        <v>#REF!</v>
      </c>
      <c r="BG11" s="1">
        <f t="shared" si="20"/>
        <v>0</v>
      </c>
      <c r="BH11" s="1">
        <f t="shared" si="21"/>
        <v>0</v>
      </c>
      <c r="BI11" s="1" t="e">
        <f>#REF!/F11*O11*-1</f>
        <v>#REF!</v>
      </c>
      <c r="BJ11" s="1">
        <f t="shared" si="22"/>
        <v>0</v>
      </c>
      <c r="BL11" s="9"/>
      <c r="BM11" s="10"/>
      <c r="BN11" s="9"/>
      <c r="BP11" s="10"/>
      <c r="BQ11" s="10"/>
      <c r="BR11" s="10"/>
      <c r="BT11" s="10"/>
      <c r="BU11" s="10"/>
      <c r="BV11" s="10"/>
      <c r="BW11" s="10"/>
      <c r="BX11" s="10"/>
      <c r="BY11" s="10"/>
    </row>
    <row r="12" spans="2:77" x14ac:dyDescent="0.2">
      <c r="B12" s="14"/>
      <c r="C12" s="13" t="s">
        <v>72</v>
      </c>
      <c r="D12" s="13"/>
      <c r="E12" s="13"/>
      <c r="F12" s="13"/>
      <c r="G12" s="13"/>
      <c r="H12" s="13"/>
      <c r="I12" s="13"/>
      <c r="J12" s="13"/>
      <c r="K12" s="13"/>
      <c r="L12" s="11">
        <f t="shared" si="0"/>
        <v>0</v>
      </c>
      <c r="N12" s="16"/>
      <c r="O12" s="16"/>
      <c r="P12" s="16"/>
      <c r="Q12" s="16"/>
      <c r="R12" s="16"/>
      <c r="S12" s="11">
        <v>21.986353300000001</v>
      </c>
      <c r="T12" s="17"/>
      <c r="U12" s="17"/>
      <c r="V12" s="16"/>
      <c r="W12" s="16"/>
      <c r="X12" s="16"/>
      <c r="Y12" s="17"/>
      <c r="Z12" s="17"/>
      <c r="AA12" s="17"/>
      <c r="AB12" s="17"/>
      <c r="AC12" s="17"/>
      <c r="AD12" s="17"/>
      <c r="AE12" s="16"/>
      <c r="AF12" s="16"/>
      <c r="AG12" s="16"/>
      <c r="AH12" s="16"/>
      <c r="AJ12" s="1">
        <f t="shared" si="1"/>
        <v>0</v>
      </c>
      <c r="AK12" s="1" t="str">
        <f t="shared" si="2"/>
        <v>CO2Captured</v>
      </c>
      <c r="AL12" s="12" t="e">
        <f t="shared" si="3"/>
        <v>#DIV/0!</v>
      </c>
      <c r="AM12" s="12" t="e">
        <f t="shared" si="4"/>
        <v>#DIV/0!</v>
      </c>
      <c r="AN12" s="5" t="e">
        <f t="shared" si="5"/>
        <v>#DIV/0!</v>
      </c>
      <c r="AO12" s="12" t="e">
        <f t="shared" si="6"/>
        <v>#DIV/0!</v>
      </c>
      <c r="AP12" s="12" t="e">
        <f t="shared" si="7"/>
        <v>#DIV/0!</v>
      </c>
      <c r="AQ12" s="5" t="e">
        <f t="shared" si="8"/>
        <v>#DIV/0!</v>
      </c>
      <c r="AR12" s="5" t="e">
        <f t="shared" si="23"/>
        <v>#DIV/0!</v>
      </c>
      <c r="AS12" s="1" t="e">
        <f t="shared" si="9"/>
        <v>#DIV/0!</v>
      </c>
      <c r="AT12" s="1" t="e">
        <f t="shared" si="10"/>
        <v>#DIV/0!</v>
      </c>
      <c r="AU12" s="1" t="e">
        <f t="shared" si="11"/>
        <v>#DIV/0!</v>
      </c>
      <c r="AV12" s="1" t="e">
        <f t="shared" si="12"/>
        <v>#DIV/0!</v>
      </c>
      <c r="AW12" s="1" t="e">
        <f t="shared" si="13"/>
        <v>#DIV/0!</v>
      </c>
      <c r="AX12" s="1" t="e">
        <f t="shared" si="14"/>
        <v>#DIV/0!</v>
      </c>
      <c r="AY12" s="1">
        <f t="shared" si="15"/>
        <v>0</v>
      </c>
      <c r="AZ12" s="1" t="e">
        <f>(N12+O12)*-1*#REF!/F12</f>
        <v>#REF!</v>
      </c>
      <c r="BA12" s="1">
        <f t="shared" si="16"/>
        <v>0</v>
      </c>
      <c r="BB12" s="1">
        <f t="shared" si="17"/>
        <v>0</v>
      </c>
      <c r="BC12" s="1" t="e">
        <f>O12*#REF!*-1/F12</f>
        <v>#REF!</v>
      </c>
      <c r="BD12" s="1">
        <f t="shared" si="18"/>
        <v>0</v>
      </c>
      <c r="BE12" s="1">
        <f t="shared" si="19"/>
        <v>0</v>
      </c>
      <c r="BF12" s="1" t="e">
        <f>(N12+O12)*-1*#REF!/F12</f>
        <v>#REF!</v>
      </c>
      <c r="BG12" s="1">
        <f t="shared" si="20"/>
        <v>0</v>
      </c>
      <c r="BH12" s="1">
        <f t="shared" si="21"/>
        <v>0</v>
      </c>
      <c r="BI12" s="1" t="e">
        <f>#REF!/F12*O12*-1</f>
        <v>#REF!</v>
      </c>
      <c r="BJ12" s="1">
        <f t="shared" si="22"/>
        <v>0</v>
      </c>
      <c r="BL12" s="9"/>
      <c r="BM12" s="10"/>
      <c r="BN12" s="9"/>
      <c r="BP12" s="10"/>
      <c r="BQ12" s="10"/>
      <c r="BR12" s="10"/>
      <c r="BT12" s="10"/>
      <c r="BU12" s="10"/>
      <c r="BV12" s="10"/>
      <c r="BW12" s="10"/>
      <c r="BX12" s="10"/>
      <c r="BY12" s="10"/>
    </row>
    <row r="13" spans="2:77" x14ac:dyDescent="0.2">
      <c r="B13" s="14"/>
      <c r="C13" s="13" t="s">
        <v>72</v>
      </c>
      <c r="D13" s="13"/>
      <c r="E13" s="13"/>
      <c r="F13" s="13"/>
      <c r="G13" s="13"/>
      <c r="H13" s="13"/>
      <c r="I13" s="13"/>
      <c r="J13" s="13"/>
      <c r="K13" s="13"/>
      <c r="L13" s="11">
        <f t="shared" si="0"/>
        <v>0</v>
      </c>
      <c r="N13" s="16"/>
      <c r="O13" s="16"/>
      <c r="P13" s="16"/>
      <c r="Q13" s="16"/>
      <c r="R13" s="16"/>
      <c r="S13" s="11">
        <v>21.986353300000001</v>
      </c>
      <c r="T13" s="17"/>
      <c r="U13" s="17"/>
      <c r="V13" s="16"/>
      <c r="W13" s="16"/>
      <c r="X13" s="16"/>
      <c r="Y13" s="17"/>
      <c r="Z13" s="17"/>
      <c r="AA13" s="17"/>
      <c r="AB13" s="17"/>
      <c r="AC13" s="17"/>
      <c r="AD13" s="17"/>
      <c r="AE13" s="16"/>
      <c r="AF13" s="16"/>
      <c r="AG13" s="16"/>
      <c r="AH13" s="16"/>
      <c r="AJ13" s="1">
        <f t="shared" si="1"/>
        <v>0</v>
      </c>
      <c r="AK13" s="1" t="str">
        <f t="shared" si="2"/>
        <v>CO2Captured</v>
      </c>
      <c r="AL13" s="12" t="e">
        <f t="shared" si="3"/>
        <v>#DIV/0!</v>
      </c>
      <c r="AM13" s="12" t="e">
        <f t="shared" si="4"/>
        <v>#DIV/0!</v>
      </c>
      <c r="AN13" s="5" t="e">
        <f t="shared" si="5"/>
        <v>#DIV/0!</v>
      </c>
      <c r="AO13" s="12" t="e">
        <f t="shared" si="6"/>
        <v>#DIV/0!</v>
      </c>
      <c r="AP13" s="12" t="e">
        <f t="shared" si="7"/>
        <v>#DIV/0!</v>
      </c>
      <c r="AQ13" s="5" t="e">
        <f t="shared" si="8"/>
        <v>#DIV/0!</v>
      </c>
      <c r="AR13" s="5" t="e">
        <f t="shared" si="23"/>
        <v>#DIV/0!</v>
      </c>
      <c r="AS13" s="1" t="e">
        <f t="shared" si="9"/>
        <v>#DIV/0!</v>
      </c>
      <c r="AT13" s="1" t="e">
        <f t="shared" si="10"/>
        <v>#DIV/0!</v>
      </c>
      <c r="AU13" s="1" t="e">
        <f t="shared" si="11"/>
        <v>#DIV/0!</v>
      </c>
      <c r="AV13" s="1" t="e">
        <f t="shared" si="12"/>
        <v>#DIV/0!</v>
      </c>
      <c r="AW13" s="1" t="e">
        <f t="shared" si="13"/>
        <v>#DIV/0!</v>
      </c>
      <c r="AX13" s="1" t="e">
        <f t="shared" si="14"/>
        <v>#DIV/0!</v>
      </c>
      <c r="AY13" s="1">
        <f t="shared" si="15"/>
        <v>0</v>
      </c>
      <c r="AZ13" s="1" t="e">
        <f>(N13+O13)*-1*#REF!/F13</f>
        <v>#REF!</v>
      </c>
      <c r="BA13" s="1">
        <f t="shared" si="16"/>
        <v>0</v>
      </c>
      <c r="BB13" s="1">
        <f t="shared" si="17"/>
        <v>0</v>
      </c>
      <c r="BC13" s="1" t="e">
        <f>O13*#REF!*-1/F13</f>
        <v>#REF!</v>
      </c>
      <c r="BD13" s="1">
        <f t="shared" si="18"/>
        <v>0</v>
      </c>
      <c r="BE13" s="1">
        <f t="shared" si="19"/>
        <v>0</v>
      </c>
      <c r="BF13" s="1" t="e">
        <f>(N13+O13)*-1*#REF!/F13</f>
        <v>#REF!</v>
      </c>
      <c r="BG13" s="1">
        <f t="shared" si="20"/>
        <v>0</v>
      </c>
      <c r="BH13" s="1">
        <f t="shared" si="21"/>
        <v>0</v>
      </c>
      <c r="BI13" s="1" t="e">
        <f>#REF!/F13*O13*-1</f>
        <v>#REF!</v>
      </c>
      <c r="BJ13" s="1">
        <f t="shared" si="22"/>
        <v>0</v>
      </c>
      <c r="BL13" s="9"/>
      <c r="BM13" s="10"/>
      <c r="BN13" s="9"/>
      <c r="BP13" s="10"/>
      <c r="BQ13" s="10"/>
      <c r="BR13" s="10"/>
      <c r="BT13" s="10"/>
      <c r="BU13" s="10"/>
      <c r="BV13" s="10"/>
      <c r="BW13" s="10"/>
      <c r="BX13" s="10"/>
      <c r="BY13" s="10"/>
    </row>
    <row r="14" spans="2:77" x14ac:dyDescent="0.2">
      <c r="B14" s="14"/>
      <c r="C14" s="13" t="s">
        <v>72</v>
      </c>
      <c r="D14" s="13"/>
      <c r="E14" s="13"/>
      <c r="F14" s="13"/>
      <c r="G14" s="13"/>
      <c r="H14" s="13"/>
      <c r="I14" s="13"/>
      <c r="J14" s="13"/>
      <c r="K14" s="13"/>
      <c r="L14" s="11">
        <f t="shared" si="0"/>
        <v>0</v>
      </c>
      <c r="N14" s="16"/>
      <c r="O14" s="16"/>
      <c r="P14" s="16"/>
      <c r="Q14" s="16"/>
      <c r="R14" s="16"/>
      <c r="S14" s="11">
        <v>21.986353300000001</v>
      </c>
      <c r="T14" s="17"/>
      <c r="U14" s="17"/>
      <c r="V14" s="16"/>
      <c r="W14" s="16"/>
      <c r="X14" s="16"/>
      <c r="Y14" s="17"/>
      <c r="Z14" s="17"/>
      <c r="AA14" s="17"/>
      <c r="AB14" s="17"/>
      <c r="AC14" s="17"/>
      <c r="AD14" s="17"/>
      <c r="AE14" s="16"/>
      <c r="AF14" s="16"/>
      <c r="AG14" s="16"/>
      <c r="AH14" s="16"/>
      <c r="AJ14" s="1">
        <f t="shared" si="1"/>
        <v>0</v>
      </c>
      <c r="AK14" s="1" t="str">
        <f t="shared" si="2"/>
        <v>CO2Captured</v>
      </c>
      <c r="AL14" s="12" t="e">
        <f t="shared" si="3"/>
        <v>#DIV/0!</v>
      </c>
      <c r="AM14" s="12" t="e">
        <f t="shared" si="4"/>
        <v>#DIV/0!</v>
      </c>
      <c r="AN14" s="5" t="e">
        <f t="shared" si="5"/>
        <v>#DIV/0!</v>
      </c>
      <c r="AO14" s="12" t="e">
        <f t="shared" si="6"/>
        <v>#DIV/0!</v>
      </c>
      <c r="AP14" s="12" t="e">
        <f t="shared" si="7"/>
        <v>#DIV/0!</v>
      </c>
      <c r="AQ14" s="5" t="e">
        <f t="shared" si="8"/>
        <v>#DIV/0!</v>
      </c>
      <c r="AR14" s="5" t="e">
        <f t="shared" si="23"/>
        <v>#DIV/0!</v>
      </c>
      <c r="AS14" s="1" t="e">
        <f t="shared" si="9"/>
        <v>#DIV/0!</v>
      </c>
      <c r="AT14" s="1" t="e">
        <f t="shared" si="10"/>
        <v>#DIV/0!</v>
      </c>
      <c r="AU14" s="1" t="e">
        <f t="shared" si="11"/>
        <v>#DIV/0!</v>
      </c>
      <c r="AV14" s="1" t="e">
        <f t="shared" si="12"/>
        <v>#DIV/0!</v>
      </c>
      <c r="AW14" s="1" t="e">
        <f t="shared" si="13"/>
        <v>#DIV/0!</v>
      </c>
      <c r="AX14" s="1" t="e">
        <f t="shared" si="14"/>
        <v>#DIV/0!</v>
      </c>
      <c r="AY14" s="1">
        <f t="shared" si="15"/>
        <v>0</v>
      </c>
      <c r="AZ14" s="1" t="e">
        <f>(N14+O14)*-1*#REF!/F14</f>
        <v>#REF!</v>
      </c>
      <c r="BA14" s="1">
        <f t="shared" si="16"/>
        <v>0</v>
      </c>
      <c r="BB14" s="1">
        <f t="shared" si="17"/>
        <v>0</v>
      </c>
      <c r="BC14" s="1" t="e">
        <f>O14*#REF!*-1/F14</f>
        <v>#REF!</v>
      </c>
      <c r="BD14" s="1">
        <f t="shared" si="18"/>
        <v>0</v>
      </c>
      <c r="BE14" s="1">
        <f t="shared" si="19"/>
        <v>0</v>
      </c>
      <c r="BF14" s="1" t="e">
        <f>(N14+O14)*-1*#REF!/F14</f>
        <v>#REF!</v>
      </c>
      <c r="BG14" s="1">
        <f t="shared" si="20"/>
        <v>0</v>
      </c>
      <c r="BH14" s="1">
        <f t="shared" si="21"/>
        <v>0</v>
      </c>
      <c r="BI14" s="1" t="e">
        <f>#REF!/F14*O14*-1</f>
        <v>#REF!</v>
      </c>
      <c r="BJ14" s="1">
        <f t="shared" si="22"/>
        <v>0</v>
      </c>
      <c r="BL14" s="9"/>
      <c r="BM14" s="10"/>
      <c r="BN14" s="9"/>
      <c r="BP14" s="10"/>
      <c r="BQ14" s="10"/>
      <c r="BR14" s="10"/>
      <c r="BT14" s="10"/>
      <c r="BU14" s="10"/>
      <c r="BV14" s="10"/>
      <c r="BW14" s="10"/>
      <c r="BX14" s="10"/>
      <c r="BY14" s="10"/>
    </row>
    <row r="15" spans="2:77" x14ac:dyDescent="0.2">
      <c r="B15" s="14"/>
      <c r="C15" s="13" t="s">
        <v>72</v>
      </c>
      <c r="D15" s="13"/>
      <c r="E15" s="13"/>
      <c r="F15" s="13"/>
      <c r="G15" s="13"/>
      <c r="H15" s="13"/>
      <c r="I15" s="13"/>
      <c r="J15" s="13"/>
      <c r="K15" s="13"/>
      <c r="L15" s="11">
        <f t="shared" si="0"/>
        <v>0</v>
      </c>
      <c r="N15" s="16"/>
      <c r="O15" s="16"/>
      <c r="P15" s="16"/>
      <c r="Q15" s="16"/>
      <c r="R15" s="16"/>
      <c r="S15" s="11">
        <v>21.986353300000001</v>
      </c>
      <c r="T15" s="17"/>
      <c r="U15" s="17"/>
      <c r="V15" s="16"/>
      <c r="W15" s="16"/>
      <c r="X15" s="16"/>
      <c r="Y15" s="17"/>
      <c r="Z15" s="17"/>
      <c r="AA15" s="17"/>
      <c r="AB15" s="17"/>
      <c r="AC15" s="17"/>
      <c r="AD15" s="17"/>
      <c r="AE15" s="16"/>
      <c r="AF15" s="16"/>
      <c r="AG15" s="16"/>
      <c r="AH15" s="16"/>
      <c r="AJ15" s="1">
        <f t="shared" si="1"/>
        <v>0</v>
      </c>
      <c r="AK15" s="1" t="str">
        <f t="shared" si="2"/>
        <v>CO2Captured</v>
      </c>
      <c r="AL15" s="12" t="e">
        <f t="shared" si="3"/>
        <v>#DIV/0!</v>
      </c>
      <c r="AM15" s="12" t="e">
        <f t="shared" si="4"/>
        <v>#DIV/0!</v>
      </c>
      <c r="AN15" s="5" t="e">
        <f t="shared" si="5"/>
        <v>#DIV/0!</v>
      </c>
      <c r="AO15" s="12" t="e">
        <f t="shared" si="6"/>
        <v>#DIV/0!</v>
      </c>
      <c r="AP15" s="12" t="e">
        <f t="shared" si="7"/>
        <v>#DIV/0!</v>
      </c>
      <c r="AQ15" s="5" t="e">
        <f t="shared" si="8"/>
        <v>#DIV/0!</v>
      </c>
      <c r="AR15" s="5" t="e">
        <f t="shared" si="23"/>
        <v>#DIV/0!</v>
      </c>
      <c r="AS15" s="1" t="e">
        <f t="shared" si="9"/>
        <v>#DIV/0!</v>
      </c>
      <c r="AT15" s="1" t="e">
        <f t="shared" si="10"/>
        <v>#DIV/0!</v>
      </c>
      <c r="AU15" s="1" t="e">
        <f t="shared" si="11"/>
        <v>#DIV/0!</v>
      </c>
      <c r="AV15" s="1" t="e">
        <f t="shared" si="12"/>
        <v>#DIV/0!</v>
      </c>
      <c r="AW15" s="1" t="e">
        <f t="shared" si="13"/>
        <v>#DIV/0!</v>
      </c>
      <c r="AX15" s="1" t="e">
        <f t="shared" si="14"/>
        <v>#DIV/0!</v>
      </c>
      <c r="AY15" s="1">
        <f t="shared" si="15"/>
        <v>0</v>
      </c>
      <c r="AZ15" s="1" t="e">
        <f>(N15+O15)*-1*#REF!/F15</f>
        <v>#REF!</v>
      </c>
      <c r="BA15" s="1">
        <f t="shared" si="16"/>
        <v>0</v>
      </c>
      <c r="BB15" s="1">
        <f t="shared" si="17"/>
        <v>0</v>
      </c>
      <c r="BC15" s="1" t="e">
        <f>O15*#REF!*-1/F15</f>
        <v>#REF!</v>
      </c>
      <c r="BD15" s="1">
        <f t="shared" si="18"/>
        <v>0</v>
      </c>
      <c r="BE15" s="1">
        <f t="shared" si="19"/>
        <v>0</v>
      </c>
      <c r="BF15" s="1" t="e">
        <f>(N15+O15)*-1*#REF!/F15</f>
        <v>#REF!</v>
      </c>
      <c r="BG15" s="1">
        <f t="shared" si="20"/>
        <v>0</v>
      </c>
      <c r="BH15" s="1">
        <f t="shared" si="21"/>
        <v>0</v>
      </c>
      <c r="BI15" s="1" t="e">
        <f>#REF!/F15*O15*-1</f>
        <v>#REF!</v>
      </c>
      <c r="BJ15" s="1">
        <f t="shared" si="22"/>
        <v>0</v>
      </c>
      <c r="BL15" s="9"/>
      <c r="BM15" s="10"/>
      <c r="BN15" s="9"/>
      <c r="BP15" s="10"/>
      <c r="BQ15" s="10"/>
      <c r="BR15" s="10"/>
      <c r="BT15" s="10"/>
      <c r="BU15" s="10"/>
      <c r="BV15" s="10"/>
      <c r="BW15" s="10"/>
      <c r="BX15" s="10"/>
      <c r="BY15" s="10"/>
    </row>
    <row r="16" spans="2:77" x14ac:dyDescent="0.2">
      <c r="B16" s="14"/>
      <c r="C16" s="13" t="s">
        <v>72</v>
      </c>
      <c r="D16" s="13"/>
      <c r="E16" s="13"/>
      <c r="F16" s="13"/>
      <c r="G16" s="13"/>
      <c r="H16" s="13"/>
      <c r="I16" s="13"/>
      <c r="J16" s="13"/>
      <c r="K16" s="13"/>
      <c r="L16" s="11">
        <f t="shared" si="0"/>
        <v>0</v>
      </c>
      <c r="N16" s="16"/>
      <c r="O16" s="16"/>
      <c r="P16" s="16"/>
      <c r="Q16" s="16"/>
      <c r="R16" s="16"/>
      <c r="S16" s="11">
        <v>21.986353300000001</v>
      </c>
      <c r="T16" s="17"/>
      <c r="U16" s="17"/>
      <c r="V16" s="16"/>
      <c r="W16" s="16"/>
      <c r="X16" s="16"/>
      <c r="Y16" s="17"/>
      <c r="Z16" s="17"/>
      <c r="AA16" s="17"/>
      <c r="AB16" s="17"/>
      <c r="AC16" s="17"/>
      <c r="AD16" s="17"/>
      <c r="AE16" s="16"/>
      <c r="AF16" s="16"/>
      <c r="AG16" s="16"/>
      <c r="AH16" s="16"/>
      <c r="AJ16" s="1">
        <f t="shared" si="1"/>
        <v>0</v>
      </c>
      <c r="AK16" s="1" t="str">
        <f t="shared" si="2"/>
        <v>CO2Captured</v>
      </c>
      <c r="AL16" s="12" t="e">
        <f t="shared" si="3"/>
        <v>#DIV/0!</v>
      </c>
      <c r="AM16" s="12" t="e">
        <f t="shared" si="4"/>
        <v>#DIV/0!</v>
      </c>
      <c r="AN16" s="5" t="e">
        <f t="shared" si="5"/>
        <v>#DIV/0!</v>
      </c>
      <c r="AO16" s="12" t="e">
        <f t="shared" si="6"/>
        <v>#DIV/0!</v>
      </c>
      <c r="AP16" s="12" t="e">
        <f t="shared" si="7"/>
        <v>#DIV/0!</v>
      </c>
      <c r="AQ16" s="5" t="e">
        <f t="shared" si="8"/>
        <v>#DIV/0!</v>
      </c>
      <c r="AR16" s="5" t="e">
        <f t="shared" si="23"/>
        <v>#DIV/0!</v>
      </c>
      <c r="AS16" s="1" t="e">
        <f t="shared" si="9"/>
        <v>#DIV/0!</v>
      </c>
      <c r="AT16" s="1" t="e">
        <f t="shared" si="10"/>
        <v>#DIV/0!</v>
      </c>
      <c r="AU16" s="1" t="e">
        <f t="shared" si="11"/>
        <v>#DIV/0!</v>
      </c>
      <c r="AV16" s="1" t="e">
        <f t="shared" si="12"/>
        <v>#DIV/0!</v>
      </c>
      <c r="AW16" s="1" t="e">
        <f t="shared" si="13"/>
        <v>#DIV/0!</v>
      </c>
      <c r="AX16" s="1" t="e">
        <f t="shared" si="14"/>
        <v>#DIV/0!</v>
      </c>
      <c r="AY16" s="1">
        <f t="shared" si="15"/>
        <v>0</v>
      </c>
      <c r="AZ16" s="1" t="e">
        <f>(N16+O16)*-1*#REF!/F16</f>
        <v>#REF!</v>
      </c>
      <c r="BA16" s="1">
        <f t="shared" si="16"/>
        <v>0</v>
      </c>
      <c r="BB16" s="1">
        <f t="shared" si="17"/>
        <v>0</v>
      </c>
      <c r="BC16" s="1" t="e">
        <f>O16*#REF!*-1/F16</f>
        <v>#REF!</v>
      </c>
      <c r="BD16" s="1">
        <f t="shared" si="18"/>
        <v>0</v>
      </c>
      <c r="BE16" s="1">
        <f t="shared" si="19"/>
        <v>0</v>
      </c>
      <c r="BF16" s="1" t="e">
        <f>(N16+O16)*-1*#REF!/F16</f>
        <v>#REF!</v>
      </c>
      <c r="BG16" s="1">
        <f t="shared" si="20"/>
        <v>0</v>
      </c>
      <c r="BH16" s="1">
        <f t="shared" si="21"/>
        <v>0</v>
      </c>
      <c r="BI16" s="1" t="e">
        <f>#REF!/F16*O16*-1</f>
        <v>#REF!</v>
      </c>
      <c r="BJ16" s="1">
        <f t="shared" si="22"/>
        <v>0</v>
      </c>
      <c r="BL16" s="9"/>
      <c r="BM16" s="10"/>
      <c r="BN16" s="9"/>
      <c r="BP16" s="10"/>
      <c r="BQ16" s="10"/>
      <c r="BR16" s="10"/>
      <c r="BT16" s="10"/>
      <c r="BU16" s="10"/>
      <c r="BV16" s="10"/>
      <c r="BW16" s="10"/>
      <c r="BX16" s="10"/>
      <c r="BY16" s="10"/>
    </row>
    <row r="17" spans="2:77" x14ac:dyDescent="0.2">
      <c r="B17" s="14"/>
      <c r="C17" s="13" t="s">
        <v>72</v>
      </c>
      <c r="D17" s="13"/>
      <c r="E17" s="13"/>
      <c r="F17" s="13"/>
      <c r="G17" s="13"/>
      <c r="H17" s="13"/>
      <c r="I17" s="13"/>
      <c r="J17" s="13"/>
      <c r="K17" s="13"/>
      <c r="L17" s="11">
        <f t="shared" si="0"/>
        <v>0</v>
      </c>
      <c r="N17" s="16"/>
      <c r="O17" s="16"/>
      <c r="P17" s="16"/>
      <c r="Q17" s="16"/>
      <c r="R17" s="16"/>
      <c r="S17" s="11">
        <v>21.986353300000001</v>
      </c>
      <c r="T17" s="17"/>
      <c r="U17" s="17"/>
      <c r="V17" s="16"/>
      <c r="W17" s="16"/>
      <c r="X17" s="16"/>
      <c r="Y17" s="17"/>
      <c r="Z17" s="17"/>
      <c r="AA17" s="17"/>
      <c r="AB17" s="17"/>
      <c r="AC17" s="17"/>
      <c r="AD17" s="17"/>
      <c r="AE17" s="16"/>
      <c r="AF17" s="16"/>
      <c r="AG17" s="16"/>
      <c r="AH17" s="16"/>
      <c r="AJ17" s="1">
        <f t="shared" si="1"/>
        <v>0</v>
      </c>
      <c r="AK17" s="1" t="str">
        <f t="shared" si="2"/>
        <v>CO2Captured</v>
      </c>
      <c r="AL17" s="12" t="e">
        <f t="shared" si="3"/>
        <v>#DIV/0!</v>
      </c>
      <c r="AM17" s="12" t="e">
        <f t="shared" si="4"/>
        <v>#DIV/0!</v>
      </c>
      <c r="AN17" s="5" t="e">
        <f t="shared" si="5"/>
        <v>#DIV/0!</v>
      </c>
      <c r="AO17" s="12" t="e">
        <f t="shared" si="6"/>
        <v>#DIV/0!</v>
      </c>
      <c r="AP17" s="12" t="e">
        <f t="shared" si="7"/>
        <v>#DIV/0!</v>
      </c>
      <c r="AQ17" s="5" t="e">
        <f t="shared" si="8"/>
        <v>#DIV/0!</v>
      </c>
      <c r="AR17" s="5" t="e">
        <f t="shared" si="23"/>
        <v>#DIV/0!</v>
      </c>
      <c r="AS17" s="1" t="e">
        <f t="shared" si="9"/>
        <v>#DIV/0!</v>
      </c>
      <c r="AT17" s="1" t="e">
        <f t="shared" si="10"/>
        <v>#DIV/0!</v>
      </c>
      <c r="AU17" s="1" t="e">
        <f t="shared" si="11"/>
        <v>#DIV/0!</v>
      </c>
      <c r="AV17" s="1" t="e">
        <f t="shared" si="12"/>
        <v>#DIV/0!</v>
      </c>
      <c r="AW17" s="1" t="e">
        <f t="shared" si="13"/>
        <v>#DIV/0!</v>
      </c>
      <c r="AX17" s="1" t="e">
        <f t="shared" si="14"/>
        <v>#DIV/0!</v>
      </c>
      <c r="AY17" s="1">
        <f t="shared" si="15"/>
        <v>0</v>
      </c>
      <c r="AZ17" s="1" t="e">
        <f>(N17+O17)*-1*#REF!/F17</f>
        <v>#REF!</v>
      </c>
      <c r="BA17" s="1">
        <f t="shared" si="16"/>
        <v>0</v>
      </c>
      <c r="BB17" s="1">
        <f t="shared" si="17"/>
        <v>0</v>
      </c>
      <c r="BC17" s="1" t="e">
        <f>O17*#REF!*-1/F17</f>
        <v>#REF!</v>
      </c>
      <c r="BD17" s="1">
        <f t="shared" si="18"/>
        <v>0</v>
      </c>
      <c r="BE17" s="1">
        <f t="shared" si="19"/>
        <v>0</v>
      </c>
      <c r="BF17" s="1" t="e">
        <f>(N17+O17)*-1*#REF!/F17</f>
        <v>#REF!</v>
      </c>
      <c r="BG17" s="1">
        <f t="shared" si="20"/>
        <v>0</v>
      </c>
      <c r="BH17" s="1">
        <f t="shared" si="21"/>
        <v>0</v>
      </c>
      <c r="BI17" s="1" t="e">
        <f>#REF!/F17*O17*-1</f>
        <v>#REF!</v>
      </c>
      <c r="BJ17" s="1">
        <f t="shared" si="22"/>
        <v>0</v>
      </c>
      <c r="BL17" s="9"/>
      <c r="BM17" s="10"/>
      <c r="BN17" s="9"/>
      <c r="BP17" s="10"/>
      <c r="BQ17" s="10"/>
      <c r="BR17" s="10"/>
      <c r="BT17" s="10"/>
      <c r="BU17" s="10"/>
      <c r="BV17" s="10"/>
      <c r="BW17" s="10"/>
      <c r="BX17" s="10"/>
      <c r="BY17" s="10"/>
    </row>
    <row r="18" spans="2:77" x14ac:dyDescent="0.2">
      <c r="B18" s="14"/>
      <c r="C18" s="13" t="s">
        <v>72</v>
      </c>
      <c r="D18" s="13"/>
      <c r="E18" s="13"/>
      <c r="F18" s="13"/>
      <c r="G18" s="13"/>
      <c r="H18" s="13"/>
      <c r="I18" s="13"/>
      <c r="J18" s="13"/>
      <c r="K18" s="13"/>
      <c r="L18" s="11">
        <f t="shared" si="0"/>
        <v>0</v>
      </c>
      <c r="N18" s="16"/>
      <c r="O18" s="16"/>
      <c r="P18" s="16"/>
      <c r="Q18" s="16"/>
      <c r="R18" s="16"/>
      <c r="S18" s="11">
        <v>21.986353300000001</v>
      </c>
      <c r="T18" s="17"/>
      <c r="U18" s="17"/>
      <c r="V18" s="16"/>
      <c r="W18" s="16"/>
      <c r="X18" s="16"/>
      <c r="Y18" s="17"/>
      <c r="Z18" s="17"/>
      <c r="AA18" s="17"/>
      <c r="AB18" s="17"/>
      <c r="AC18" s="17"/>
      <c r="AD18" s="17"/>
      <c r="AE18" s="16"/>
      <c r="AF18" s="16"/>
      <c r="AG18" s="16"/>
      <c r="AH18" s="16"/>
      <c r="AJ18" s="1">
        <f t="shared" si="1"/>
        <v>0</v>
      </c>
      <c r="AK18" s="1" t="str">
        <f t="shared" si="2"/>
        <v>CO2Captured</v>
      </c>
      <c r="AL18" s="12" t="e">
        <f t="shared" si="3"/>
        <v>#DIV/0!</v>
      </c>
      <c r="AM18" s="12" t="e">
        <f t="shared" si="4"/>
        <v>#DIV/0!</v>
      </c>
      <c r="AN18" s="5" t="e">
        <f t="shared" si="5"/>
        <v>#DIV/0!</v>
      </c>
      <c r="AO18" s="12" t="e">
        <f t="shared" si="6"/>
        <v>#DIV/0!</v>
      </c>
      <c r="AP18" s="12" t="e">
        <f t="shared" si="7"/>
        <v>#DIV/0!</v>
      </c>
      <c r="AQ18" s="5" t="e">
        <f t="shared" si="8"/>
        <v>#DIV/0!</v>
      </c>
      <c r="AR18" s="5" t="e">
        <f t="shared" si="23"/>
        <v>#DIV/0!</v>
      </c>
      <c r="AS18" s="1" t="e">
        <f t="shared" si="9"/>
        <v>#DIV/0!</v>
      </c>
      <c r="AT18" s="1" t="e">
        <f t="shared" si="10"/>
        <v>#DIV/0!</v>
      </c>
      <c r="AU18" s="1" t="e">
        <f t="shared" si="11"/>
        <v>#DIV/0!</v>
      </c>
      <c r="AV18" s="1" t="e">
        <f t="shared" si="12"/>
        <v>#DIV/0!</v>
      </c>
      <c r="AW18" s="1" t="e">
        <f t="shared" si="13"/>
        <v>#DIV/0!</v>
      </c>
      <c r="AX18" s="1" t="e">
        <f t="shared" si="14"/>
        <v>#DIV/0!</v>
      </c>
      <c r="AY18" s="1">
        <f t="shared" si="15"/>
        <v>0</v>
      </c>
      <c r="AZ18" s="1" t="e">
        <f>(N18+O18)*-1*#REF!/F18</f>
        <v>#REF!</v>
      </c>
      <c r="BA18" s="1">
        <f t="shared" si="16"/>
        <v>0</v>
      </c>
      <c r="BB18" s="1">
        <f t="shared" si="17"/>
        <v>0</v>
      </c>
      <c r="BC18" s="1" t="e">
        <f>O18*#REF!*-1/F18</f>
        <v>#REF!</v>
      </c>
      <c r="BD18" s="1">
        <f t="shared" si="18"/>
        <v>0</v>
      </c>
      <c r="BE18" s="1">
        <f t="shared" si="19"/>
        <v>0</v>
      </c>
      <c r="BF18" s="1" t="e">
        <f>(N18+O18)*-1*#REF!/F18</f>
        <v>#REF!</v>
      </c>
      <c r="BG18" s="1">
        <f t="shared" si="20"/>
        <v>0</v>
      </c>
      <c r="BH18" s="1">
        <f t="shared" si="21"/>
        <v>0</v>
      </c>
      <c r="BI18" s="1" t="e">
        <f>#REF!/F18*O18*-1</f>
        <v>#REF!</v>
      </c>
      <c r="BJ18" s="1">
        <f t="shared" si="22"/>
        <v>0</v>
      </c>
      <c r="BL18" s="9"/>
      <c r="BM18" s="10"/>
      <c r="BN18" s="9"/>
      <c r="BP18" s="10"/>
      <c r="BQ18" s="10"/>
      <c r="BR18" s="10"/>
      <c r="BT18" s="10"/>
      <c r="BU18" s="10"/>
      <c r="BV18" s="10"/>
      <c r="BW18" s="10"/>
      <c r="BX18" s="10"/>
      <c r="BY18" s="10"/>
    </row>
    <row r="19" spans="2:77" x14ac:dyDescent="0.2">
      <c r="B19" s="14"/>
      <c r="C19" s="13" t="s">
        <v>72</v>
      </c>
      <c r="D19" s="13"/>
      <c r="E19" s="13"/>
      <c r="F19" s="13"/>
      <c r="G19" s="13"/>
      <c r="H19" s="13"/>
      <c r="I19" s="13"/>
      <c r="J19" s="13"/>
      <c r="K19" s="13"/>
      <c r="L19" s="11">
        <f t="shared" si="0"/>
        <v>0</v>
      </c>
      <c r="N19" s="16"/>
      <c r="O19" s="16"/>
      <c r="P19" s="16"/>
      <c r="Q19" s="16"/>
      <c r="R19" s="16"/>
      <c r="S19" s="11">
        <v>21.986353300000001</v>
      </c>
      <c r="T19" s="17"/>
      <c r="U19" s="17"/>
      <c r="V19" s="16"/>
      <c r="W19" s="16"/>
      <c r="X19" s="16"/>
      <c r="Y19" s="17"/>
      <c r="Z19" s="17"/>
      <c r="AA19" s="17"/>
      <c r="AB19" s="17"/>
      <c r="AC19" s="17"/>
      <c r="AD19" s="17"/>
      <c r="AE19" s="16"/>
      <c r="AF19" s="16"/>
      <c r="AG19" s="16"/>
      <c r="AH19" s="16"/>
      <c r="AJ19" s="1">
        <f t="shared" si="1"/>
        <v>0</v>
      </c>
      <c r="AK19" s="1" t="str">
        <f t="shared" si="2"/>
        <v>CO2Captured</v>
      </c>
      <c r="AL19" s="12" t="e">
        <f t="shared" si="3"/>
        <v>#DIV/0!</v>
      </c>
      <c r="AM19" s="12" t="e">
        <f t="shared" si="4"/>
        <v>#DIV/0!</v>
      </c>
      <c r="AN19" s="5" t="e">
        <f t="shared" si="5"/>
        <v>#DIV/0!</v>
      </c>
      <c r="AO19" s="12" t="e">
        <f t="shared" si="6"/>
        <v>#DIV/0!</v>
      </c>
      <c r="AP19" s="12" t="e">
        <f t="shared" si="7"/>
        <v>#DIV/0!</v>
      </c>
      <c r="AQ19" s="5" t="e">
        <f t="shared" si="8"/>
        <v>#DIV/0!</v>
      </c>
      <c r="AR19" s="5" t="e">
        <f t="shared" si="23"/>
        <v>#DIV/0!</v>
      </c>
      <c r="AS19" s="1" t="e">
        <f t="shared" si="9"/>
        <v>#DIV/0!</v>
      </c>
      <c r="AT19" s="1" t="e">
        <f t="shared" si="10"/>
        <v>#DIV/0!</v>
      </c>
      <c r="AU19" s="1" t="e">
        <f t="shared" si="11"/>
        <v>#DIV/0!</v>
      </c>
      <c r="AV19" s="1" t="e">
        <f t="shared" si="12"/>
        <v>#DIV/0!</v>
      </c>
      <c r="AW19" s="1" t="e">
        <f t="shared" si="13"/>
        <v>#DIV/0!</v>
      </c>
      <c r="AX19" s="1" t="e">
        <f t="shared" si="14"/>
        <v>#DIV/0!</v>
      </c>
      <c r="AY19" s="1">
        <f t="shared" si="15"/>
        <v>0</v>
      </c>
      <c r="AZ19" s="1" t="e">
        <f>(N19+O19)*-1*#REF!/F19</f>
        <v>#REF!</v>
      </c>
      <c r="BA19" s="1">
        <f t="shared" si="16"/>
        <v>0</v>
      </c>
      <c r="BB19" s="1">
        <f t="shared" si="17"/>
        <v>0</v>
      </c>
      <c r="BC19" s="1" t="e">
        <f>O19*#REF!*-1/F19</f>
        <v>#REF!</v>
      </c>
      <c r="BD19" s="1">
        <f t="shared" si="18"/>
        <v>0</v>
      </c>
      <c r="BE19" s="1">
        <f t="shared" si="19"/>
        <v>0</v>
      </c>
      <c r="BF19" s="1" t="e">
        <f>(N19+O19)*-1*#REF!/F19</f>
        <v>#REF!</v>
      </c>
      <c r="BG19" s="1">
        <f t="shared" si="20"/>
        <v>0</v>
      </c>
      <c r="BH19" s="1">
        <f t="shared" si="21"/>
        <v>0</v>
      </c>
      <c r="BI19" s="1" t="e">
        <f>#REF!/F19*O19*-1</f>
        <v>#REF!</v>
      </c>
      <c r="BJ19" s="1">
        <f t="shared" si="22"/>
        <v>0</v>
      </c>
      <c r="BL19" s="9"/>
      <c r="BM19" s="10"/>
      <c r="BN19" s="9"/>
      <c r="BP19" s="10"/>
      <c r="BQ19" s="10"/>
      <c r="BR19" s="10"/>
      <c r="BT19" s="10"/>
      <c r="BU19" s="10"/>
      <c r="BV19" s="10"/>
      <c r="BW19" s="10"/>
      <c r="BX19" s="10"/>
      <c r="BY19" s="10"/>
    </row>
    <row r="20" spans="2:77" x14ac:dyDescent="0.2">
      <c r="B20" s="14"/>
      <c r="C20" s="13" t="s">
        <v>72</v>
      </c>
      <c r="D20" s="13"/>
      <c r="E20" s="13"/>
      <c r="F20" s="13"/>
      <c r="G20" s="13"/>
      <c r="H20" s="13"/>
      <c r="I20" s="13"/>
      <c r="J20" s="13"/>
      <c r="K20" s="13"/>
      <c r="L20" s="11">
        <f t="shared" si="0"/>
        <v>0</v>
      </c>
      <c r="N20" s="16"/>
      <c r="O20" s="16"/>
      <c r="P20" s="16"/>
      <c r="Q20" s="16"/>
      <c r="R20" s="16"/>
      <c r="S20" s="11">
        <v>21.986353300000001</v>
      </c>
      <c r="T20" s="17"/>
      <c r="U20" s="17"/>
      <c r="V20" s="16"/>
      <c r="W20" s="16"/>
      <c r="X20" s="16"/>
      <c r="Y20" s="17"/>
      <c r="Z20" s="17"/>
      <c r="AA20" s="17"/>
      <c r="AB20" s="17"/>
      <c r="AC20" s="17"/>
      <c r="AD20" s="17"/>
      <c r="AE20" s="16"/>
      <c r="AF20" s="16"/>
      <c r="AG20" s="16"/>
      <c r="AH20" s="16"/>
      <c r="AJ20" s="1">
        <f t="shared" si="1"/>
        <v>0</v>
      </c>
      <c r="AK20" s="1" t="str">
        <f t="shared" si="2"/>
        <v>CO2Captured</v>
      </c>
      <c r="AL20" s="12" t="e">
        <f t="shared" si="3"/>
        <v>#DIV/0!</v>
      </c>
      <c r="AM20" s="12" t="e">
        <f t="shared" si="4"/>
        <v>#DIV/0!</v>
      </c>
      <c r="AN20" s="5" t="e">
        <f t="shared" si="5"/>
        <v>#DIV/0!</v>
      </c>
      <c r="AO20" s="12" t="e">
        <f t="shared" si="6"/>
        <v>#DIV/0!</v>
      </c>
      <c r="AP20" s="12" t="e">
        <f t="shared" si="7"/>
        <v>#DIV/0!</v>
      </c>
      <c r="AQ20" s="5" t="e">
        <f t="shared" si="8"/>
        <v>#DIV/0!</v>
      </c>
      <c r="AR20" s="5" t="e">
        <f t="shared" si="23"/>
        <v>#DIV/0!</v>
      </c>
      <c r="AS20" s="1" t="e">
        <f t="shared" si="9"/>
        <v>#DIV/0!</v>
      </c>
      <c r="AT20" s="1" t="e">
        <f t="shared" si="10"/>
        <v>#DIV/0!</v>
      </c>
      <c r="AU20" s="1" t="e">
        <f t="shared" si="11"/>
        <v>#DIV/0!</v>
      </c>
      <c r="AV20" s="1" t="e">
        <f t="shared" si="12"/>
        <v>#DIV/0!</v>
      </c>
      <c r="AW20" s="1" t="e">
        <f t="shared" si="13"/>
        <v>#DIV/0!</v>
      </c>
      <c r="AX20" s="1" t="e">
        <f t="shared" si="14"/>
        <v>#DIV/0!</v>
      </c>
      <c r="AY20" s="1">
        <f t="shared" si="15"/>
        <v>0</v>
      </c>
      <c r="AZ20" s="1" t="e">
        <f>(N20+O20)*-1*#REF!/F20</f>
        <v>#REF!</v>
      </c>
      <c r="BA20" s="1">
        <f t="shared" si="16"/>
        <v>0</v>
      </c>
      <c r="BB20" s="1">
        <f t="shared" si="17"/>
        <v>0</v>
      </c>
      <c r="BC20" s="1" t="e">
        <f>O20*#REF!*-1/F20</f>
        <v>#REF!</v>
      </c>
      <c r="BD20" s="1">
        <f t="shared" si="18"/>
        <v>0</v>
      </c>
      <c r="BE20" s="1">
        <f t="shared" si="19"/>
        <v>0</v>
      </c>
      <c r="BF20" s="1" t="e">
        <f>(N20+O20)*-1*#REF!/F20</f>
        <v>#REF!</v>
      </c>
      <c r="BG20" s="1">
        <f t="shared" si="20"/>
        <v>0</v>
      </c>
      <c r="BH20" s="1">
        <f t="shared" si="21"/>
        <v>0</v>
      </c>
      <c r="BI20" s="1" t="e">
        <f>#REF!/F20*O20*-1</f>
        <v>#REF!</v>
      </c>
      <c r="BJ20" s="1">
        <f t="shared" si="22"/>
        <v>0</v>
      </c>
      <c r="BL20" s="9"/>
      <c r="BM20" s="10"/>
      <c r="BN20" s="9"/>
      <c r="BP20" s="10"/>
      <c r="BQ20" s="10"/>
      <c r="BR20" s="10"/>
      <c r="BT20" s="10"/>
      <c r="BU20" s="10"/>
      <c r="BV20" s="10"/>
      <c r="BW20" s="10"/>
      <c r="BX20" s="10"/>
      <c r="BY20" s="10"/>
    </row>
    <row r="21" spans="2:77" x14ac:dyDescent="0.2">
      <c r="B21" s="14"/>
      <c r="C21" s="13" t="s">
        <v>72</v>
      </c>
      <c r="D21" s="13"/>
      <c r="E21" s="13"/>
      <c r="F21" s="13"/>
      <c r="G21" s="13"/>
      <c r="H21" s="13"/>
      <c r="I21" s="13"/>
      <c r="J21" s="13"/>
      <c r="K21" s="13"/>
      <c r="L21" s="11">
        <f t="shared" si="0"/>
        <v>0</v>
      </c>
      <c r="N21" s="16"/>
      <c r="O21" s="16"/>
      <c r="P21" s="16"/>
      <c r="Q21" s="16"/>
      <c r="R21" s="16"/>
      <c r="S21" s="11">
        <v>21.986353300000001</v>
      </c>
      <c r="T21" s="17"/>
      <c r="U21" s="17"/>
      <c r="V21" s="16"/>
      <c r="W21" s="16"/>
      <c r="X21" s="16"/>
      <c r="Y21" s="17"/>
      <c r="Z21" s="17"/>
      <c r="AA21" s="17"/>
      <c r="AB21" s="17"/>
      <c r="AC21" s="17"/>
      <c r="AD21" s="17"/>
      <c r="AE21" s="16"/>
      <c r="AF21" s="16"/>
      <c r="AG21" s="16"/>
      <c r="AH21" s="16"/>
      <c r="AJ21" s="1">
        <f t="shared" si="1"/>
        <v>0</v>
      </c>
      <c r="AK21" s="1" t="str">
        <f t="shared" si="2"/>
        <v>CO2Captured</v>
      </c>
      <c r="AL21" s="12" t="e">
        <f t="shared" si="3"/>
        <v>#DIV/0!</v>
      </c>
      <c r="AM21" s="12" t="e">
        <f t="shared" si="4"/>
        <v>#DIV/0!</v>
      </c>
      <c r="AN21" s="5" t="e">
        <f t="shared" si="5"/>
        <v>#DIV/0!</v>
      </c>
      <c r="AO21" s="12" t="e">
        <f t="shared" si="6"/>
        <v>#DIV/0!</v>
      </c>
      <c r="AP21" s="12" t="e">
        <f t="shared" si="7"/>
        <v>#DIV/0!</v>
      </c>
      <c r="AQ21" s="5" t="e">
        <f t="shared" si="8"/>
        <v>#DIV/0!</v>
      </c>
      <c r="AR21" s="5" t="e">
        <f t="shared" si="23"/>
        <v>#DIV/0!</v>
      </c>
      <c r="AS21" s="1" t="e">
        <f t="shared" si="9"/>
        <v>#DIV/0!</v>
      </c>
      <c r="AT21" s="1" t="e">
        <f t="shared" si="10"/>
        <v>#DIV/0!</v>
      </c>
      <c r="AU21" s="1" t="e">
        <f t="shared" si="11"/>
        <v>#DIV/0!</v>
      </c>
      <c r="AV21" s="1" t="e">
        <f t="shared" si="12"/>
        <v>#DIV/0!</v>
      </c>
      <c r="AW21" s="1" t="e">
        <f t="shared" si="13"/>
        <v>#DIV/0!</v>
      </c>
      <c r="AX21" s="1" t="e">
        <f t="shared" si="14"/>
        <v>#DIV/0!</v>
      </c>
      <c r="AY21" s="1">
        <f t="shared" si="15"/>
        <v>0</v>
      </c>
      <c r="AZ21" s="1" t="e">
        <f>(N21+O21)*-1*#REF!/F21</f>
        <v>#REF!</v>
      </c>
      <c r="BA21" s="1">
        <f t="shared" si="16"/>
        <v>0</v>
      </c>
      <c r="BB21" s="1">
        <f t="shared" si="17"/>
        <v>0</v>
      </c>
      <c r="BC21" s="1" t="e">
        <f>O21*#REF!*-1/F21</f>
        <v>#REF!</v>
      </c>
      <c r="BD21" s="1">
        <f t="shared" si="18"/>
        <v>0</v>
      </c>
      <c r="BE21" s="1">
        <f t="shared" si="19"/>
        <v>0</v>
      </c>
      <c r="BF21" s="1" t="e">
        <f>(N21+O21)*-1*#REF!/F21</f>
        <v>#REF!</v>
      </c>
      <c r="BG21" s="1">
        <f t="shared" si="20"/>
        <v>0</v>
      </c>
      <c r="BH21" s="1">
        <f t="shared" si="21"/>
        <v>0</v>
      </c>
      <c r="BI21" s="1" t="e">
        <f>#REF!/F21*O21*-1</f>
        <v>#REF!</v>
      </c>
      <c r="BJ21" s="1">
        <f t="shared" si="22"/>
        <v>0</v>
      </c>
      <c r="BL21" s="9"/>
      <c r="BM21" s="10"/>
      <c r="BN21" s="9"/>
      <c r="BP21" s="10"/>
      <c r="BQ21" s="10"/>
      <c r="BR21" s="10"/>
      <c r="BT21" s="10"/>
      <c r="BU21" s="10"/>
      <c r="BV21" s="10"/>
      <c r="BW21" s="10"/>
      <c r="BX21" s="10"/>
      <c r="BY21" s="10"/>
    </row>
    <row r="22" spans="2:77" x14ac:dyDescent="0.2">
      <c r="B22" s="14"/>
      <c r="C22" s="13" t="s">
        <v>72</v>
      </c>
      <c r="D22" s="13"/>
      <c r="E22" s="13"/>
      <c r="F22" s="13"/>
      <c r="G22" s="13"/>
      <c r="H22" s="13"/>
      <c r="I22" s="13"/>
      <c r="J22" s="13"/>
      <c r="K22" s="13"/>
      <c r="L22" s="11">
        <f t="shared" si="0"/>
        <v>0</v>
      </c>
      <c r="N22" s="16"/>
      <c r="O22" s="16"/>
      <c r="P22" s="16"/>
      <c r="Q22" s="16"/>
      <c r="R22" s="16"/>
      <c r="S22" s="11">
        <v>21.986353300000001</v>
      </c>
      <c r="T22" s="17"/>
      <c r="U22" s="17"/>
      <c r="V22" s="16"/>
      <c r="W22" s="16"/>
      <c r="X22" s="16"/>
      <c r="Y22" s="17"/>
      <c r="Z22" s="17"/>
      <c r="AA22" s="17"/>
      <c r="AB22" s="17"/>
      <c r="AC22" s="17"/>
      <c r="AD22" s="17"/>
      <c r="AE22" s="16"/>
      <c r="AF22" s="16"/>
      <c r="AG22" s="16"/>
      <c r="AH22" s="16"/>
      <c r="AJ22" s="1">
        <f t="shared" si="1"/>
        <v>0</v>
      </c>
      <c r="AK22" s="1" t="str">
        <f t="shared" si="2"/>
        <v>CO2Captured</v>
      </c>
      <c r="AL22" s="12" t="e">
        <f t="shared" si="3"/>
        <v>#DIV/0!</v>
      </c>
      <c r="AM22" s="12" t="e">
        <f t="shared" si="4"/>
        <v>#DIV/0!</v>
      </c>
      <c r="AN22" s="5" t="e">
        <f t="shared" si="5"/>
        <v>#DIV/0!</v>
      </c>
      <c r="AO22" s="12" t="e">
        <f t="shared" si="6"/>
        <v>#DIV/0!</v>
      </c>
      <c r="AP22" s="12" t="e">
        <f t="shared" si="7"/>
        <v>#DIV/0!</v>
      </c>
      <c r="AQ22" s="5" t="e">
        <f t="shared" si="8"/>
        <v>#DIV/0!</v>
      </c>
      <c r="AR22" s="5" t="e">
        <f t="shared" si="23"/>
        <v>#DIV/0!</v>
      </c>
      <c r="AS22" s="1" t="e">
        <f t="shared" si="9"/>
        <v>#DIV/0!</v>
      </c>
      <c r="AT22" s="1" t="e">
        <f t="shared" si="10"/>
        <v>#DIV/0!</v>
      </c>
      <c r="AU22" s="1" t="e">
        <f t="shared" si="11"/>
        <v>#DIV/0!</v>
      </c>
      <c r="AV22" s="1" t="e">
        <f t="shared" si="12"/>
        <v>#DIV/0!</v>
      </c>
      <c r="AW22" s="1" t="e">
        <f t="shared" si="13"/>
        <v>#DIV/0!</v>
      </c>
      <c r="AX22" s="1" t="e">
        <f t="shared" si="14"/>
        <v>#DIV/0!</v>
      </c>
      <c r="AY22" s="1">
        <f t="shared" si="15"/>
        <v>0</v>
      </c>
      <c r="AZ22" s="1" t="e">
        <f>(N22+O22)*-1*#REF!/F22</f>
        <v>#REF!</v>
      </c>
      <c r="BA22" s="1">
        <f t="shared" si="16"/>
        <v>0</v>
      </c>
      <c r="BB22" s="1">
        <f t="shared" si="17"/>
        <v>0</v>
      </c>
      <c r="BC22" s="1" t="e">
        <f>O22*#REF!*-1/F22</f>
        <v>#REF!</v>
      </c>
      <c r="BD22" s="1">
        <f t="shared" si="18"/>
        <v>0</v>
      </c>
      <c r="BE22" s="1">
        <f t="shared" si="19"/>
        <v>0</v>
      </c>
      <c r="BF22" s="1" t="e">
        <f>(N22+O22)*-1*#REF!/F22</f>
        <v>#REF!</v>
      </c>
      <c r="BG22" s="1">
        <f t="shared" si="20"/>
        <v>0</v>
      </c>
      <c r="BH22" s="1">
        <f t="shared" si="21"/>
        <v>0</v>
      </c>
      <c r="BI22" s="1" t="e">
        <f>#REF!/F22*O22*-1</f>
        <v>#REF!</v>
      </c>
      <c r="BJ22" s="1">
        <f t="shared" si="22"/>
        <v>0</v>
      </c>
      <c r="BL22" s="9"/>
      <c r="BM22" s="10"/>
      <c r="BN22" s="9"/>
      <c r="BP22" s="10"/>
      <c r="BQ22" s="10"/>
      <c r="BR22" s="10"/>
      <c r="BT22" s="10"/>
      <c r="BU22" s="10"/>
      <c r="BV22" s="10"/>
      <c r="BW22" s="10"/>
      <c r="BX22" s="10"/>
      <c r="BY22" s="10"/>
    </row>
    <row r="23" spans="2:77" x14ac:dyDescent="0.2">
      <c r="B23" s="14"/>
      <c r="C23" s="13" t="s">
        <v>72</v>
      </c>
      <c r="D23" s="13"/>
      <c r="E23" s="13"/>
      <c r="F23" s="13"/>
      <c r="G23" s="13"/>
      <c r="H23" s="13"/>
      <c r="I23" s="13"/>
      <c r="J23" s="13"/>
      <c r="K23" s="13"/>
      <c r="L23" s="11">
        <f t="shared" si="0"/>
        <v>0</v>
      </c>
      <c r="N23" s="16"/>
      <c r="O23" s="16"/>
      <c r="P23" s="16"/>
      <c r="Q23" s="16"/>
      <c r="R23" s="16"/>
      <c r="S23" s="11">
        <v>21.986353300000001</v>
      </c>
      <c r="T23" s="17"/>
      <c r="U23" s="17"/>
      <c r="V23" s="16"/>
      <c r="W23" s="16"/>
      <c r="X23" s="16"/>
      <c r="Y23" s="17"/>
      <c r="Z23" s="17"/>
      <c r="AA23" s="17"/>
      <c r="AB23" s="17"/>
      <c r="AC23" s="17"/>
      <c r="AD23" s="17"/>
      <c r="AE23" s="16"/>
      <c r="AF23" s="16"/>
      <c r="AG23" s="16"/>
      <c r="AH23" s="16"/>
      <c r="AJ23" s="1">
        <f t="shared" si="1"/>
        <v>0</v>
      </c>
      <c r="AK23" s="1" t="str">
        <f t="shared" si="2"/>
        <v>CO2Captured</v>
      </c>
      <c r="AL23" s="12" t="e">
        <f t="shared" si="3"/>
        <v>#DIV/0!</v>
      </c>
      <c r="AM23" s="12" t="e">
        <f t="shared" si="4"/>
        <v>#DIV/0!</v>
      </c>
      <c r="AN23" s="5" t="e">
        <f t="shared" si="5"/>
        <v>#DIV/0!</v>
      </c>
      <c r="AO23" s="12" t="e">
        <f t="shared" si="6"/>
        <v>#DIV/0!</v>
      </c>
      <c r="AP23" s="12" t="e">
        <f t="shared" si="7"/>
        <v>#DIV/0!</v>
      </c>
      <c r="AQ23" s="5" t="e">
        <f t="shared" si="8"/>
        <v>#DIV/0!</v>
      </c>
      <c r="AR23" s="5" t="e">
        <f t="shared" si="23"/>
        <v>#DIV/0!</v>
      </c>
      <c r="AS23" s="1" t="e">
        <f t="shared" si="9"/>
        <v>#DIV/0!</v>
      </c>
      <c r="AT23" s="1" t="e">
        <f t="shared" si="10"/>
        <v>#DIV/0!</v>
      </c>
      <c r="AU23" s="1" t="e">
        <f t="shared" si="11"/>
        <v>#DIV/0!</v>
      </c>
      <c r="AV23" s="1" t="e">
        <f t="shared" si="12"/>
        <v>#DIV/0!</v>
      </c>
      <c r="AW23" s="1" t="e">
        <f t="shared" si="13"/>
        <v>#DIV/0!</v>
      </c>
      <c r="AX23" s="1" t="e">
        <f t="shared" si="14"/>
        <v>#DIV/0!</v>
      </c>
      <c r="AY23" s="1">
        <f t="shared" si="15"/>
        <v>0</v>
      </c>
      <c r="AZ23" s="1" t="e">
        <f>(N23+O23)*-1*#REF!/F23</f>
        <v>#REF!</v>
      </c>
      <c r="BA23" s="1">
        <f t="shared" si="16"/>
        <v>0</v>
      </c>
      <c r="BB23" s="1">
        <f t="shared" si="17"/>
        <v>0</v>
      </c>
      <c r="BC23" s="1" t="e">
        <f>O23*#REF!*-1/F23</f>
        <v>#REF!</v>
      </c>
      <c r="BD23" s="1">
        <f t="shared" si="18"/>
        <v>0</v>
      </c>
      <c r="BE23" s="1">
        <f t="shared" si="19"/>
        <v>0</v>
      </c>
      <c r="BF23" s="1" t="e">
        <f>(N23+O23)*-1*#REF!/F23</f>
        <v>#REF!</v>
      </c>
      <c r="BG23" s="1">
        <f t="shared" si="20"/>
        <v>0</v>
      </c>
      <c r="BH23" s="1">
        <f t="shared" si="21"/>
        <v>0</v>
      </c>
      <c r="BI23" s="1" t="e">
        <f>#REF!/F23*O23*-1</f>
        <v>#REF!</v>
      </c>
      <c r="BJ23" s="1">
        <f t="shared" si="22"/>
        <v>0</v>
      </c>
      <c r="BL23" s="9"/>
      <c r="BM23" s="10"/>
      <c r="BN23" s="9"/>
      <c r="BP23" s="10"/>
      <c r="BQ23" s="10"/>
      <c r="BR23" s="10"/>
      <c r="BT23" s="10"/>
      <c r="BU23" s="10"/>
      <c r="BV23" s="10"/>
      <c r="BW23" s="10"/>
      <c r="BX23" s="10"/>
      <c r="BY23" s="10"/>
    </row>
    <row r="24" spans="2:77" x14ac:dyDescent="0.2">
      <c r="B24" s="14"/>
      <c r="C24" s="13" t="s">
        <v>72</v>
      </c>
      <c r="D24" s="13"/>
      <c r="E24" s="13"/>
      <c r="F24" s="13"/>
      <c r="G24" s="13"/>
      <c r="H24" s="13"/>
      <c r="I24" s="13"/>
      <c r="J24" s="13"/>
      <c r="K24" s="13"/>
      <c r="L24" s="11">
        <f t="shared" si="0"/>
        <v>0</v>
      </c>
      <c r="N24" s="16"/>
      <c r="O24" s="16"/>
      <c r="P24" s="16"/>
      <c r="Q24" s="16"/>
      <c r="R24" s="16"/>
      <c r="S24" s="11">
        <v>21.986353300000001</v>
      </c>
      <c r="T24" s="17"/>
      <c r="U24" s="17"/>
      <c r="V24" s="16"/>
      <c r="W24" s="16"/>
      <c r="X24" s="16"/>
      <c r="Y24" s="17"/>
      <c r="Z24" s="17"/>
      <c r="AA24" s="17"/>
      <c r="AB24" s="17"/>
      <c r="AC24" s="17"/>
      <c r="AD24" s="17"/>
      <c r="AE24" s="16"/>
      <c r="AF24" s="16"/>
      <c r="AG24" s="16"/>
      <c r="AH24" s="16"/>
      <c r="AJ24" s="1">
        <f t="shared" si="1"/>
        <v>0</v>
      </c>
      <c r="AK24" s="1" t="str">
        <f t="shared" si="2"/>
        <v>CO2Captured</v>
      </c>
      <c r="AL24" s="12" t="e">
        <f t="shared" si="3"/>
        <v>#DIV/0!</v>
      </c>
      <c r="AM24" s="12" t="e">
        <f t="shared" si="4"/>
        <v>#DIV/0!</v>
      </c>
      <c r="AN24" s="5" t="e">
        <f t="shared" si="5"/>
        <v>#DIV/0!</v>
      </c>
      <c r="AO24" s="12" t="e">
        <f t="shared" si="6"/>
        <v>#DIV/0!</v>
      </c>
      <c r="AP24" s="12" t="e">
        <f t="shared" si="7"/>
        <v>#DIV/0!</v>
      </c>
      <c r="AQ24" s="5" t="e">
        <f t="shared" si="8"/>
        <v>#DIV/0!</v>
      </c>
      <c r="AR24" s="5" t="e">
        <f t="shared" si="23"/>
        <v>#DIV/0!</v>
      </c>
      <c r="AS24" s="1" t="e">
        <f t="shared" si="9"/>
        <v>#DIV/0!</v>
      </c>
      <c r="AT24" s="1" t="e">
        <f t="shared" si="10"/>
        <v>#DIV/0!</v>
      </c>
      <c r="AU24" s="1" t="e">
        <f t="shared" si="11"/>
        <v>#DIV/0!</v>
      </c>
      <c r="AV24" s="1" t="e">
        <f t="shared" si="12"/>
        <v>#DIV/0!</v>
      </c>
      <c r="AW24" s="1" t="e">
        <f t="shared" si="13"/>
        <v>#DIV/0!</v>
      </c>
      <c r="AX24" s="1" t="e">
        <f t="shared" si="14"/>
        <v>#DIV/0!</v>
      </c>
      <c r="AY24" s="1">
        <f t="shared" si="15"/>
        <v>0</v>
      </c>
      <c r="AZ24" s="1" t="e">
        <f>(N24+O24)*-1*#REF!/F24</f>
        <v>#REF!</v>
      </c>
      <c r="BA24" s="1">
        <f t="shared" si="16"/>
        <v>0</v>
      </c>
      <c r="BB24" s="1">
        <f t="shared" si="17"/>
        <v>0</v>
      </c>
      <c r="BC24" s="1" t="e">
        <f>O24*#REF!*-1/F24</f>
        <v>#REF!</v>
      </c>
      <c r="BD24" s="1">
        <f t="shared" si="18"/>
        <v>0</v>
      </c>
      <c r="BE24" s="1">
        <f t="shared" si="19"/>
        <v>0</v>
      </c>
      <c r="BF24" s="1" t="e">
        <f>(N24+O24)*-1*#REF!/F24</f>
        <v>#REF!</v>
      </c>
      <c r="BG24" s="1">
        <f t="shared" si="20"/>
        <v>0</v>
      </c>
      <c r="BH24" s="1">
        <f t="shared" si="21"/>
        <v>0</v>
      </c>
      <c r="BI24" s="1" t="e">
        <f>#REF!/F24*O24*-1</f>
        <v>#REF!</v>
      </c>
      <c r="BJ24" s="1">
        <f t="shared" si="22"/>
        <v>0</v>
      </c>
      <c r="BL24" s="9"/>
      <c r="BM24" s="10"/>
      <c r="BN24" s="9"/>
      <c r="BP24" s="10"/>
      <c r="BQ24" s="10"/>
      <c r="BR24" s="10"/>
      <c r="BT24" s="10"/>
      <c r="BU24" s="10"/>
      <c r="BV24" s="10"/>
      <c r="BW24" s="10"/>
      <c r="BX24" s="10"/>
      <c r="BY24" s="10"/>
    </row>
    <row r="25" spans="2:77" x14ac:dyDescent="0.2">
      <c r="B25" s="14"/>
      <c r="C25" s="13" t="s">
        <v>72</v>
      </c>
      <c r="D25" s="13"/>
      <c r="E25" s="13"/>
      <c r="F25" s="13"/>
      <c r="G25" s="13"/>
      <c r="H25" s="13"/>
      <c r="I25" s="13"/>
      <c r="J25" s="13"/>
      <c r="K25" s="13"/>
      <c r="L25" s="11">
        <f t="shared" si="0"/>
        <v>0</v>
      </c>
      <c r="N25" s="16"/>
      <c r="O25" s="16"/>
      <c r="P25" s="16"/>
      <c r="Q25" s="16"/>
      <c r="R25" s="16"/>
      <c r="S25" s="11">
        <v>21.986353300000001</v>
      </c>
      <c r="T25" s="17"/>
      <c r="U25" s="17"/>
      <c r="V25" s="16"/>
      <c r="W25" s="16"/>
      <c r="X25" s="16"/>
      <c r="Y25" s="17"/>
      <c r="Z25" s="17"/>
      <c r="AA25" s="17"/>
      <c r="AB25" s="17"/>
      <c r="AC25" s="17"/>
      <c r="AD25" s="17"/>
      <c r="AE25" s="16"/>
      <c r="AF25" s="16"/>
      <c r="AG25" s="16"/>
      <c r="AH25" s="16"/>
      <c r="AJ25" s="1">
        <f t="shared" si="1"/>
        <v>0</v>
      </c>
      <c r="AK25" s="1" t="str">
        <f t="shared" si="2"/>
        <v>CO2Captured</v>
      </c>
      <c r="AL25" s="12" t="e">
        <f t="shared" si="3"/>
        <v>#DIV/0!</v>
      </c>
      <c r="AM25" s="12" t="e">
        <f t="shared" si="4"/>
        <v>#DIV/0!</v>
      </c>
      <c r="AN25" s="5" t="e">
        <f t="shared" si="5"/>
        <v>#DIV/0!</v>
      </c>
      <c r="AO25" s="12" t="e">
        <f t="shared" si="6"/>
        <v>#DIV/0!</v>
      </c>
      <c r="AP25" s="12" t="e">
        <f t="shared" si="7"/>
        <v>#DIV/0!</v>
      </c>
      <c r="AQ25" s="5" t="e">
        <f t="shared" si="8"/>
        <v>#DIV/0!</v>
      </c>
      <c r="AR25" s="5" t="e">
        <f t="shared" si="23"/>
        <v>#DIV/0!</v>
      </c>
      <c r="AS25" s="1" t="e">
        <f t="shared" si="9"/>
        <v>#DIV/0!</v>
      </c>
      <c r="AT25" s="1" t="e">
        <f t="shared" si="10"/>
        <v>#DIV/0!</v>
      </c>
      <c r="AU25" s="1" t="e">
        <f t="shared" si="11"/>
        <v>#DIV/0!</v>
      </c>
      <c r="AV25" s="1" t="e">
        <f t="shared" si="12"/>
        <v>#DIV/0!</v>
      </c>
      <c r="AW25" s="1" t="e">
        <f t="shared" si="13"/>
        <v>#DIV/0!</v>
      </c>
      <c r="AX25" s="1" t="e">
        <f t="shared" si="14"/>
        <v>#DIV/0!</v>
      </c>
      <c r="AY25" s="1">
        <f t="shared" si="15"/>
        <v>0</v>
      </c>
      <c r="AZ25" s="1" t="e">
        <f>(N25+O25)*-1*#REF!/F25</f>
        <v>#REF!</v>
      </c>
      <c r="BA25" s="1">
        <f t="shared" si="16"/>
        <v>0</v>
      </c>
      <c r="BB25" s="1">
        <f t="shared" si="17"/>
        <v>0</v>
      </c>
      <c r="BC25" s="1" t="e">
        <f>O25*#REF!*-1/F25</f>
        <v>#REF!</v>
      </c>
      <c r="BD25" s="1">
        <f t="shared" si="18"/>
        <v>0</v>
      </c>
      <c r="BE25" s="1">
        <f t="shared" si="19"/>
        <v>0</v>
      </c>
      <c r="BF25" s="1" t="e">
        <f>(N25+O25)*-1*#REF!/F25</f>
        <v>#REF!</v>
      </c>
      <c r="BG25" s="1">
        <f t="shared" si="20"/>
        <v>0</v>
      </c>
      <c r="BH25" s="1">
        <f t="shared" si="21"/>
        <v>0</v>
      </c>
      <c r="BI25" s="1" t="e">
        <f>#REF!/F25*O25*-1</f>
        <v>#REF!</v>
      </c>
      <c r="BJ25" s="1">
        <f t="shared" si="22"/>
        <v>0</v>
      </c>
      <c r="BL25" s="9"/>
      <c r="BM25" s="10"/>
      <c r="BN25" s="9"/>
      <c r="BP25" s="10"/>
      <c r="BQ25" s="10"/>
      <c r="BR25" s="10"/>
      <c r="BT25" s="10"/>
      <c r="BU25" s="10"/>
      <c r="BV25" s="10"/>
      <c r="BW25" s="10"/>
      <c r="BX25" s="10"/>
      <c r="BY25" s="10"/>
    </row>
    <row r="26" spans="2:77" x14ac:dyDescent="0.2">
      <c r="B26" s="14"/>
      <c r="C26" s="13" t="s">
        <v>72</v>
      </c>
      <c r="D26" s="13"/>
      <c r="E26" s="13"/>
      <c r="F26" s="13"/>
      <c r="G26" s="13"/>
      <c r="H26" s="13"/>
      <c r="I26" s="13"/>
      <c r="J26" s="13"/>
      <c r="K26" s="13"/>
      <c r="L26" s="11">
        <f t="shared" si="0"/>
        <v>0</v>
      </c>
      <c r="N26" s="16"/>
      <c r="O26" s="16"/>
      <c r="P26" s="16"/>
      <c r="Q26" s="16"/>
      <c r="R26" s="16"/>
      <c r="S26" s="11">
        <v>21.986353300000001</v>
      </c>
      <c r="T26" s="17"/>
      <c r="U26" s="17"/>
      <c r="V26" s="16"/>
      <c r="W26" s="16"/>
      <c r="X26" s="16"/>
      <c r="Y26" s="17"/>
      <c r="Z26" s="17"/>
      <c r="AA26" s="17"/>
      <c r="AB26" s="17"/>
      <c r="AC26" s="17"/>
      <c r="AD26" s="17"/>
      <c r="AE26" s="16"/>
      <c r="AF26" s="16"/>
      <c r="AG26" s="16"/>
      <c r="AH26" s="16"/>
      <c r="AJ26" s="1">
        <f t="shared" si="1"/>
        <v>0</v>
      </c>
      <c r="AK26" s="1" t="str">
        <f t="shared" si="2"/>
        <v>CO2Captured</v>
      </c>
      <c r="AL26" s="12" t="e">
        <f t="shared" si="3"/>
        <v>#DIV/0!</v>
      </c>
      <c r="AM26" s="12" t="e">
        <f t="shared" si="4"/>
        <v>#DIV/0!</v>
      </c>
      <c r="AN26" s="5" t="e">
        <f t="shared" si="5"/>
        <v>#DIV/0!</v>
      </c>
      <c r="AO26" s="12" t="e">
        <f t="shared" si="6"/>
        <v>#DIV/0!</v>
      </c>
      <c r="AP26" s="12" t="e">
        <f t="shared" si="7"/>
        <v>#DIV/0!</v>
      </c>
      <c r="AQ26" s="5" t="e">
        <f t="shared" si="8"/>
        <v>#DIV/0!</v>
      </c>
      <c r="AR26" s="5" t="e">
        <f t="shared" si="23"/>
        <v>#DIV/0!</v>
      </c>
      <c r="AS26" s="1" t="e">
        <f t="shared" si="9"/>
        <v>#DIV/0!</v>
      </c>
      <c r="AT26" s="1" t="e">
        <f t="shared" si="10"/>
        <v>#DIV/0!</v>
      </c>
      <c r="AU26" s="1" t="e">
        <f t="shared" si="11"/>
        <v>#DIV/0!</v>
      </c>
      <c r="AV26" s="1" t="e">
        <f t="shared" si="12"/>
        <v>#DIV/0!</v>
      </c>
      <c r="AW26" s="1" t="e">
        <f t="shared" si="13"/>
        <v>#DIV/0!</v>
      </c>
      <c r="AX26" s="1" t="e">
        <f t="shared" si="14"/>
        <v>#DIV/0!</v>
      </c>
      <c r="AY26" s="1">
        <f t="shared" si="15"/>
        <v>0</v>
      </c>
      <c r="AZ26" s="1" t="e">
        <f>(N26+O26)*-1*#REF!/F26</f>
        <v>#REF!</v>
      </c>
      <c r="BA26" s="1">
        <f t="shared" si="16"/>
        <v>0</v>
      </c>
      <c r="BB26" s="1">
        <f t="shared" si="17"/>
        <v>0</v>
      </c>
      <c r="BC26" s="1" t="e">
        <f>O26*#REF!*-1/F26</f>
        <v>#REF!</v>
      </c>
      <c r="BD26" s="1">
        <f t="shared" si="18"/>
        <v>0</v>
      </c>
      <c r="BE26" s="1">
        <f t="shared" si="19"/>
        <v>0</v>
      </c>
      <c r="BF26" s="1" t="e">
        <f>(N26+O26)*-1*#REF!/F26</f>
        <v>#REF!</v>
      </c>
      <c r="BG26" s="1">
        <f t="shared" si="20"/>
        <v>0</v>
      </c>
      <c r="BH26" s="1">
        <f t="shared" si="21"/>
        <v>0</v>
      </c>
      <c r="BI26" s="1" t="e">
        <f>#REF!/F26*O26*-1</f>
        <v>#REF!</v>
      </c>
      <c r="BJ26" s="1">
        <f t="shared" si="22"/>
        <v>0</v>
      </c>
      <c r="BL26" s="9"/>
      <c r="BM26" s="10"/>
      <c r="BN26" s="9"/>
      <c r="BP26" s="10"/>
      <c r="BQ26" s="10"/>
      <c r="BR26" s="10"/>
      <c r="BT26" s="10"/>
      <c r="BU26" s="10"/>
      <c r="BV26" s="10"/>
      <c r="BW26" s="10"/>
      <c r="BX26" s="10"/>
      <c r="BY26" s="10"/>
    </row>
    <row r="27" spans="2:77" x14ac:dyDescent="0.2">
      <c r="B27" s="14"/>
      <c r="C27" s="13" t="s">
        <v>72</v>
      </c>
      <c r="D27" s="13"/>
      <c r="E27" s="13"/>
      <c r="F27" s="13"/>
      <c r="G27" s="13"/>
      <c r="H27" s="13"/>
      <c r="I27" s="13"/>
      <c r="J27" s="13"/>
      <c r="K27" s="13"/>
      <c r="L27" s="11">
        <f t="shared" si="0"/>
        <v>0</v>
      </c>
      <c r="N27" s="16"/>
      <c r="O27" s="16"/>
      <c r="P27" s="16"/>
      <c r="Q27" s="16"/>
      <c r="R27" s="16"/>
      <c r="S27" s="11">
        <v>21.986353300000001</v>
      </c>
      <c r="T27" s="17"/>
      <c r="U27" s="17"/>
      <c r="V27" s="16"/>
      <c r="W27" s="16"/>
      <c r="X27" s="16"/>
      <c r="Y27" s="17"/>
      <c r="Z27" s="17"/>
      <c r="AA27" s="17"/>
      <c r="AB27" s="17"/>
      <c r="AC27" s="17"/>
      <c r="AD27" s="17"/>
      <c r="AE27" s="16"/>
      <c r="AF27" s="16"/>
      <c r="AG27" s="16"/>
      <c r="AH27" s="16"/>
      <c r="AJ27" s="1">
        <f t="shared" si="1"/>
        <v>0</v>
      </c>
      <c r="AK27" s="1" t="str">
        <f t="shared" si="2"/>
        <v>CO2Captured</v>
      </c>
      <c r="AL27" s="12" t="e">
        <f t="shared" si="3"/>
        <v>#DIV/0!</v>
      </c>
      <c r="AM27" s="12" t="e">
        <f t="shared" si="4"/>
        <v>#DIV/0!</v>
      </c>
      <c r="AN27" s="5" t="e">
        <f t="shared" si="5"/>
        <v>#DIV/0!</v>
      </c>
      <c r="AO27" s="12" t="e">
        <f t="shared" si="6"/>
        <v>#DIV/0!</v>
      </c>
      <c r="AP27" s="12" t="e">
        <f t="shared" si="7"/>
        <v>#DIV/0!</v>
      </c>
      <c r="AQ27" s="5" t="e">
        <f t="shared" si="8"/>
        <v>#DIV/0!</v>
      </c>
      <c r="AR27" s="5" t="e">
        <f t="shared" si="23"/>
        <v>#DIV/0!</v>
      </c>
      <c r="AS27" s="1" t="e">
        <f t="shared" si="9"/>
        <v>#DIV/0!</v>
      </c>
      <c r="AT27" s="1" t="e">
        <f t="shared" si="10"/>
        <v>#DIV/0!</v>
      </c>
      <c r="AU27" s="1" t="e">
        <f t="shared" si="11"/>
        <v>#DIV/0!</v>
      </c>
      <c r="AV27" s="1" t="e">
        <f t="shared" si="12"/>
        <v>#DIV/0!</v>
      </c>
      <c r="AW27" s="1" t="e">
        <f t="shared" si="13"/>
        <v>#DIV/0!</v>
      </c>
      <c r="AX27" s="1" t="e">
        <f t="shared" si="14"/>
        <v>#DIV/0!</v>
      </c>
      <c r="AY27" s="1">
        <f t="shared" si="15"/>
        <v>0</v>
      </c>
      <c r="AZ27" s="1" t="e">
        <f>(N27+O27)*-1*#REF!/F27</f>
        <v>#REF!</v>
      </c>
      <c r="BA27" s="1">
        <f t="shared" si="16"/>
        <v>0</v>
      </c>
      <c r="BB27" s="1">
        <f t="shared" si="17"/>
        <v>0</v>
      </c>
      <c r="BC27" s="1" t="e">
        <f>O27*#REF!*-1/F27</f>
        <v>#REF!</v>
      </c>
      <c r="BD27" s="1">
        <f t="shared" si="18"/>
        <v>0</v>
      </c>
      <c r="BE27" s="1">
        <f t="shared" si="19"/>
        <v>0</v>
      </c>
      <c r="BF27" s="1" t="e">
        <f>(N27+O27)*-1*#REF!/F27</f>
        <v>#REF!</v>
      </c>
      <c r="BG27" s="1">
        <f t="shared" si="20"/>
        <v>0</v>
      </c>
      <c r="BH27" s="1">
        <f t="shared" si="21"/>
        <v>0</v>
      </c>
      <c r="BI27" s="1" t="e">
        <f>#REF!/F27*O27*-1</f>
        <v>#REF!</v>
      </c>
      <c r="BJ27" s="1">
        <f t="shared" si="22"/>
        <v>0</v>
      </c>
      <c r="BL27" s="9"/>
      <c r="BM27" s="10"/>
      <c r="BN27" s="9"/>
      <c r="BP27" s="10"/>
      <c r="BQ27" s="10"/>
      <c r="BR27" s="10"/>
      <c r="BT27" s="10"/>
      <c r="BU27" s="10"/>
      <c r="BV27" s="10"/>
      <c r="BW27" s="10"/>
      <c r="BX27" s="10"/>
      <c r="BY27" s="10"/>
    </row>
    <row r="28" spans="2:77" x14ac:dyDescent="0.2">
      <c r="B28" s="14"/>
      <c r="C28" s="13" t="s">
        <v>72</v>
      </c>
      <c r="D28" s="13"/>
      <c r="E28" s="13"/>
      <c r="F28" s="13"/>
      <c r="G28" s="13"/>
      <c r="H28" s="13"/>
      <c r="I28" s="13"/>
      <c r="J28" s="13"/>
      <c r="K28" s="13"/>
      <c r="L28" s="11">
        <f t="shared" si="0"/>
        <v>0</v>
      </c>
      <c r="N28" s="16"/>
      <c r="O28" s="16"/>
      <c r="P28" s="16"/>
      <c r="Q28" s="16"/>
      <c r="R28" s="16"/>
      <c r="S28" s="11">
        <v>21.986353300000001</v>
      </c>
      <c r="T28" s="17"/>
      <c r="U28" s="17"/>
      <c r="V28" s="16"/>
      <c r="W28" s="16"/>
      <c r="X28" s="16"/>
      <c r="Y28" s="17"/>
      <c r="Z28" s="17"/>
      <c r="AA28" s="17"/>
      <c r="AB28" s="17"/>
      <c r="AC28" s="17"/>
      <c r="AD28" s="17"/>
      <c r="AE28" s="16"/>
      <c r="AF28" s="16"/>
      <c r="AG28" s="16"/>
      <c r="AH28" s="16"/>
      <c r="AJ28" s="1">
        <f t="shared" si="1"/>
        <v>0</v>
      </c>
      <c r="AK28" s="1" t="str">
        <f t="shared" si="2"/>
        <v>CO2Captured</v>
      </c>
      <c r="AL28" s="12" t="e">
        <f t="shared" si="3"/>
        <v>#DIV/0!</v>
      </c>
      <c r="AM28" s="12" t="e">
        <f t="shared" si="4"/>
        <v>#DIV/0!</v>
      </c>
      <c r="AN28" s="5" t="e">
        <f t="shared" si="5"/>
        <v>#DIV/0!</v>
      </c>
      <c r="AO28" s="12" t="e">
        <f t="shared" si="6"/>
        <v>#DIV/0!</v>
      </c>
      <c r="AP28" s="12" t="e">
        <f t="shared" si="7"/>
        <v>#DIV/0!</v>
      </c>
      <c r="AQ28" s="5" t="e">
        <f t="shared" si="8"/>
        <v>#DIV/0!</v>
      </c>
      <c r="AR28" s="5" t="e">
        <f t="shared" si="23"/>
        <v>#DIV/0!</v>
      </c>
      <c r="AS28" s="1" t="e">
        <f t="shared" si="9"/>
        <v>#DIV/0!</v>
      </c>
      <c r="AT28" s="1" t="e">
        <f t="shared" si="10"/>
        <v>#DIV/0!</v>
      </c>
      <c r="AU28" s="1" t="e">
        <f t="shared" si="11"/>
        <v>#DIV/0!</v>
      </c>
      <c r="AV28" s="1" t="e">
        <f t="shared" si="12"/>
        <v>#DIV/0!</v>
      </c>
      <c r="AW28" s="1" t="e">
        <f t="shared" si="13"/>
        <v>#DIV/0!</v>
      </c>
      <c r="AX28" s="1" t="e">
        <f t="shared" si="14"/>
        <v>#DIV/0!</v>
      </c>
      <c r="AY28" s="1">
        <f t="shared" si="15"/>
        <v>0</v>
      </c>
      <c r="AZ28" s="1" t="e">
        <f>(N28+O28)*-1*#REF!/F28</f>
        <v>#REF!</v>
      </c>
      <c r="BA28" s="1">
        <f t="shared" si="16"/>
        <v>0</v>
      </c>
      <c r="BB28" s="1">
        <f t="shared" si="17"/>
        <v>0</v>
      </c>
      <c r="BC28" s="1" t="e">
        <f>O28*#REF!*-1/F28</f>
        <v>#REF!</v>
      </c>
      <c r="BD28" s="1">
        <f t="shared" si="18"/>
        <v>0</v>
      </c>
      <c r="BE28" s="1">
        <f t="shared" si="19"/>
        <v>0</v>
      </c>
      <c r="BF28" s="1" t="e">
        <f>(N28+O28)*-1*#REF!/F28</f>
        <v>#REF!</v>
      </c>
      <c r="BG28" s="1">
        <f t="shared" si="20"/>
        <v>0</v>
      </c>
      <c r="BH28" s="1">
        <f t="shared" si="21"/>
        <v>0</v>
      </c>
      <c r="BI28" s="1" t="e">
        <f>#REF!/F28*O28*-1</f>
        <v>#REF!</v>
      </c>
      <c r="BJ28" s="1">
        <f t="shared" si="22"/>
        <v>0</v>
      </c>
      <c r="BL28" s="9"/>
      <c r="BM28" s="10"/>
      <c r="BN28" s="9"/>
      <c r="BP28" s="10"/>
      <c r="BQ28" s="10"/>
      <c r="BR28" s="10"/>
      <c r="BT28" s="10"/>
      <c r="BU28" s="10"/>
      <c r="BV28" s="10"/>
      <c r="BW28" s="10"/>
      <c r="BX28" s="10"/>
      <c r="BY28" s="10"/>
    </row>
    <row r="29" spans="2:77" x14ac:dyDescent="0.2">
      <c r="B29" s="14"/>
      <c r="C29" s="13" t="s">
        <v>72</v>
      </c>
      <c r="D29" s="13"/>
      <c r="E29" s="13"/>
      <c r="F29" s="13"/>
      <c r="G29" s="13"/>
      <c r="H29" s="13"/>
      <c r="I29" s="13"/>
      <c r="J29" s="13"/>
      <c r="K29" s="13"/>
      <c r="L29" s="11">
        <f t="shared" si="0"/>
        <v>0</v>
      </c>
      <c r="N29" s="16"/>
      <c r="O29" s="16"/>
      <c r="P29" s="16"/>
      <c r="Q29" s="16"/>
      <c r="R29" s="16"/>
      <c r="S29" s="11">
        <v>21.986353300000001</v>
      </c>
      <c r="T29" s="17"/>
      <c r="U29" s="17"/>
      <c r="V29" s="16"/>
      <c r="W29" s="16"/>
      <c r="X29" s="16"/>
      <c r="Y29" s="17"/>
      <c r="Z29" s="17"/>
      <c r="AA29" s="17"/>
      <c r="AB29" s="17"/>
      <c r="AC29" s="17"/>
      <c r="AD29" s="17"/>
      <c r="AE29" s="16"/>
      <c r="AF29" s="16"/>
      <c r="AG29" s="16"/>
      <c r="AH29" s="16"/>
      <c r="AJ29" s="1">
        <f t="shared" si="1"/>
        <v>0</v>
      </c>
      <c r="AK29" s="1" t="str">
        <f t="shared" si="2"/>
        <v>CO2Captured</v>
      </c>
      <c r="AL29" s="12" t="e">
        <f t="shared" si="3"/>
        <v>#DIV/0!</v>
      </c>
      <c r="AM29" s="12" t="e">
        <f t="shared" si="4"/>
        <v>#DIV/0!</v>
      </c>
      <c r="AN29" s="5" t="e">
        <f t="shared" si="5"/>
        <v>#DIV/0!</v>
      </c>
      <c r="AO29" s="12" t="e">
        <f t="shared" si="6"/>
        <v>#DIV/0!</v>
      </c>
      <c r="AP29" s="12" t="e">
        <f t="shared" si="7"/>
        <v>#DIV/0!</v>
      </c>
      <c r="AQ29" s="5" t="e">
        <f t="shared" si="8"/>
        <v>#DIV/0!</v>
      </c>
      <c r="AR29" s="5" t="e">
        <f t="shared" si="23"/>
        <v>#DIV/0!</v>
      </c>
      <c r="AS29" s="1" t="e">
        <f t="shared" si="9"/>
        <v>#DIV/0!</v>
      </c>
      <c r="AT29" s="1" t="e">
        <f t="shared" si="10"/>
        <v>#DIV/0!</v>
      </c>
      <c r="AU29" s="1" t="e">
        <f t="shared" si="11"/>
        <v>#DIV/0!</v>
      </c>
      <c r="AV29" s="1" t="e">
        <f t="shared" si="12"/>
        <v>#DIV/0!</v>
      </c>
      <c r="AW29" s="1" t="e">
        <f t="shared" si="13"/>
        <v>#DIV/0!</v>
      </c>
      <c r="AX29" s="1" t="e">
        <f t="shared" si="14"/>
        <v>#DIV/0!</v>
      </c>
      <c r="AY29" s="1">
        <f t="shared" si="15"/>
        <v>0</v>
      </c>
      <c r="AZ29" s="1" t="e">
        <f>(N29+O29)*-1*#REF!/F29</f>
        <v>#REF!</v>
      </c>
      <c r="BA29" s="1">
        <f t="shared" si="16"/>
        <v>0</v>
      </c>
      <c r="BB29" s="1">
        <f t="shared" si="17"/>
        <v>0</v>
      </c>
      <c r="BC29" s="1" t="e">
        <f>O29*#REF!*-1/F29</f>
        <v>#REF!</v>
      </c>
      <c r="BD29" s="1">
        <f t="shared" si="18"/>
        <v>0</v>
      </c>
      <c r="BE29" s="1">
        <f t="shared" si="19"/>
        <v>0</v>
      </c>
      <c r="BF29" s="1" t="e">
        <f>(N29+O29)*-1*#REF!/F29</f>
        <v>#REF!</v>
      </c>
      <c r="BG29" s="1">
        <f t="shared" si="20"/>
        <v>0</v>
      </c>
      <c r="BH29" s="1">
        <f t="shared" si="21"/>
        <v>0</v>
      </c>
      <c r="BI29" s="1" t="e">
        <f>#REF!/F29*O29*-1</f>
        <v>#REF!</v>
      </c>
      <c r="BJ29" s="1">
        <f t="shared" si="22"/>
        <v>0</v>
      </c>
      <c r="BL29" s="9"/>
      <c r="BM29" s="10"/>
      <c r="BN29" s="9"/>
      <c r="BP29" s="10"/>
      <c r="BQ29" s="10"/>
      <c r="BR29" s="10"/>
      <c r="BT29" s="10"/>
      <c r="BU29" s="10"/>
      <c r="BV29" s="10"/>
      <c r="BW29" s="10"/>
      <c r="BX29" s="10"/>
      <c r="BY29" s="10"/>
    </row>
    <row r="30" spans="2:77" x14ac:dyDescent="0.2">
      <c r="B30" s="14"/>
      <c r="C30" s="13" t="s">
        <v>72</v>
      </c>
      <c r="D30" s="13"/>
      <c r="E30" s="13"/>
      <c r="F30" s="13"/>
      <c r="G30" s="13"/>
      <c r="H30" s="13"/>
      <c r="I30" s="13"/>
      <c r="J30" s="13"/>
      <c r="K30" s="13"/>
      <c r="L30" s="11">
        <f t="shared" si="0"/>
        <v>0</v>
      </c>
      <c r="N30" s="16"/>
      <c r="O30" s="16"/>
      <c r="P30" s="16"/>
      <c r="Q30" s="16"/>
      <c r="R30" s="16"/>
      <c r="S30" s="11">
        <v>21.986353300000001</v>
      </c>
      <c r="T30" s="17"/>
      <c r="U30" s="17"/>
      <c r="V30" s="16"/>
      <c r="W30" s="16"/>
      <c r="X30" s="16"/>
      <c r="Y30" s="17"/>
      <c r="Z30" s="17"/>
      <c r="AA30" s="17"/>
      <c r="AB30" s="17"/>
      <c r="AC30" s="17"/>
      <c r="AD30" s="17"/>
      <c r="AE30" s="16"/>
      <c r="AF30" s="16"/>
      <c r="AG30" s="16"/>
      <c r="AH30" s="16"/>
      <c r="AJ30" s="1">
        <f t="shared" si="1"/>
        <v>0</v>
      </c>
      <c r="AK30" s="1" t="str">
        <f t="shared" si="2"/>
        <v>CO2Captured</v>
      </c>
      <c r="AL30" s="12" t="e">
        <f t="shared" si="3"/>
        <v>#DIV/0!</v>
      </c>
      <c r="AM30" s="12" t="e">
        <f t="shared" si="4"/>
        <v>#DIV/0!</v>
      </c>
      <c r="AN30" s="5" t="e">
        <f t="shared" si="5"/>
        <v>#DIV/0!</v>
      </c>
      <c r="AO30" s="12" t="e">
        <f t="shared" si="6"/>
        <v>#DIV/0!</v>
      </c>
      <c r="AP30" s="12" t="e">
        <f t="shared" si="7"/>
        <v>#DIV/0!</v>
      </c>
      <c r="AQ30" s="5" t="e">
        <f t="shared" si="8"/>
        <v>#DIV/0!</v>
      </c>
      <c r="AR30" s="5" t="e">
        <f t="shared" si="23"/>
        <v>#DIV/0!</v>
      </c>
      <c r="AS30" s="1" t="e">
        <f t="shared" si="9"/>
        <v>#DIV/0!</v>
      </c>
      <c r="AT30" s="1" t="e">
        <f t="shared" si="10"/>
        <v>#DIV/0!</v>
      </c>
      <c r="AU30" s="1" t="e">
        <f t="shared" si="11"/>
        <v>#DIV/0!</v>
      </c>
      <c r="AV30" s="1" t="e">
        <f t="shared" si="12"/>
        <v>#DIV/0!</v>
      </c>
      <c r="AW30" s="1" t="e">
        <f t="shared" si="13"/>
        <v>#DIV/0!</v>
      </c>
      <c r="AX30" s="1" t="e">
        <f t="shared" si="14"/>
        <v>#DIV/0!</v>
      </c>
      <c r="AY30" s="1">
        <f t="shared" si="15"/>
        <v>0</v>
      </c>
      <c r="AZ30" s="1" t="e">
        <f>(N30+O30)*-1*#REF!/F30</f>
        <v>#REF!</v>
      </c>
      <c r="BA30" s="1">
        <f t="shared" si="16"/>
        <v>0</v>
      </c>
      <c r="BB30" s="1">
        <f t="shared" si="17"/>
        <v>0</v>
      </c>
      <c r="BC30" s="1" t="e">
        <f>O30*#REF!*-1/F30</f>
        <v>#REF!</v>
      </c>
      <c r="BD30" s="1">
        <f t="shared" si="18"/>
        <v>0</v>
      </c>
      <c r="BE30" s="1">
        <f t="shared" si="19"/>
        <v>0</v>
      </c>
      <c r="BF30" s="1" t="e">
        <f>(N30+O30)*-1*#REF!/F30</f>
        <v>#REF!</v>
      </c>
      <c r="BG30" s="1">
        <f t="shared" si="20"/>
        <v>0</v>
      </c>
      <c r="BH30" s="1">
        <f t="shared" si="21"/>
        <v>0</v>
      </c>
      <c r="BI30" s="1" t="e">
        <f>#REF!/F30*O30*-1</f>
        <v>#REF!</v>
      </c>
      <c r="BJ30" s="1">
        <f t="shared" si="22"/>
        <v>0</v>
      </c>
      <c r="BL30" s="9"/>
      <c r="BM30" s="10"/>
      <c r="BN30" s="9"/>
      <c r="BP30" s="10"/>
      <c r="BQ30" s="10"/>
      <c r="BR30" s="10"/>
      <c r="BT30" s="10"/>
      <c r="BU30" s="10"/>
      <c r="BV30" s="10"/>
      <c r="BW30" s="10"/>
      <c r="BX30" s="10"/>
      <c r="BY30" s="10"/>
    </row>
    <row r="31" spans="2:77" x14ac:dyDescent="0.2">
      <c r="B31" s="14"/>
      <c r="C31" s="13" t="s">
        <v>72</v>
      </c>
      <c r="D31" s="13"/>
      <c r="E31" s="13"/>
      <c r="F31" s="13"/>
      <c r="G31" s="13"/>
      <c r="H31" s="13"/>
      <c r="I31" s="13"/>
      <c r="J31" s="13"/>
      <c r="K31" s="13"/>
      <c r="L31" s="11">
        <f t="shared" si="0"/>
        <v>0</v>
      </c>
      <c r="N31" s="16"/>
      <c r="O31" s="16"/>
      <c r="P31" s="16"/>
      <c r="Q31" s="16"/>
      <c r="R31" s="16"/>
      <c r="S31" s="11">
        <v>21.986353300000001</v>
      </c>
      <c r="T31" s="17"/>
      <c r="U31" s="17"/>
      <c r="V31" s="16"/>
      <c r="W31" s="16"/>
      <c r="X31" s="16"/>
      <c r="Y31" s="17"/>
      <c r="Z31" s="17"/>
      <c r="AA31" s="17"/>
      <c r="AB31" s="17"/>
      <c r="AC31" s="17"/>
      <c r="AD31" s="17"/>
      <c r="AE31" s="16"/>
      <c r="AF31" s="16"/>
      <c r="AG31" s="16"/>
      <c r="AH31" s="16"/>
      <c r="AJ31" s="1">
        <f t="shared" si="1"/>
        <v>0</v>
      </c>
      <c r="AK31" s="1" t="str">
        <f t="shared" si="2"/>
        <v>CO2Captured</v>
      </c>
      <c r="AL31" s="12" t="e">
        <f t="shared" si="3"/>
        <v>#DIV/0!</v>
      </c>
      <c r="AM31" s="12" t="e">
        <f t="shared" si="4"/>
        <v>#DIV/0!</v>
      </c>
      <c r="AN31" s="5" t="e">
        <f t="shared" si="5"/>
        <v>#DIV/0!</v>
      </c>
      <c r="AO31" s="12" t="e">
        <f t="shared" si="6"/>
        <v>#DIV/0!</v>
      </c>
      <c r="AP31" s="12" t="e">
        <f t="shared" si="7"/>
        <v>#DIV/0!</v>
      </c>
      <c r="AQ31" s="5" t="e">
        <f t="shared" si="8"/>
        <v>#DIV/0!</v>
      </c>
      <c r="AR31" s="5" t="e">
        <f t="shared" si="23"/>
        <v>#DIV/0!</v>
      </c>
      <c r="AS31" s="1" t="e">
        <f t="shared" si="9"/>
        <v>#DIV/0!</v>
      </c>
      <c r="AT31" s="1" t="e">
        <f t="shared" si="10"/>
        <v>#DIV/0!</v>
      </c>
      <c r="AU31" s="1" t="e">
        <f t="shared" si="11"/>
        <v>#DIV/0!</v>
      </c>
      <c r="AV31" s="1" t="e">
        <f t="shared" si="12"/>
        <v>#DIV/0!</v>
      </c>
      <c r="AW31" s="1" t="e">
        <f t="shared" si="13"/>
        <v>#DIV/0!</v>
      </c>
      <c r="AX31" s="1" t="e">
        <f t="shared" si="14"/>
        <v>#DIV/0!</v>
      </c>
      <c r="AY31" s="1">
        <f t="shared" si="15"/>
        <v>0</v>
      </c>
      <c r="AZ31" s="1" t="e">
        <f>(N31+O31)*-1*#REF!/F31</f>
        <v>#REF!</v>
      </c>
      <c r="BA31" s="1">
        <f t="shared" si="16"/>
        <v>0</v>
      </c>
      <c r="BB31" s="1">
        <f t="shared" si="17"/>
        <v>0</v>
      </c>
      <c r="BC31" s="1" t="e">
        <f>O31*#REF!*-1/F31</f>
        <v>#REF!</v>
      </c>
      <c r="BD31" s="1">
        <f t="shared" si="18"/>
        <v>0</v>
      </c>
      <c r="BE31" s="1">
        <f t="shared" si="19"/>
        <v>0</v>
      </c>
      <c r="BF31" s="1" t="e">
        <f>(N31+O31)*-1*#REF!/F31</f>
        <v>#REF!</v>
      </c>
      <c r="BG31" s="1">
        <f t="shared" si="20"/>
        <v>0</v>
      </c>
      <c r="BH31" s="1">
        <f t="shared" si="21"/>
        <v>0</v>
      </c>
      <c r="BI31" s="1" t="e">
        <f>#REF!/F31*O31*-1</f>
        <v>#REF!</v>
      </c>
      <c r="BJ31" s="1">
        <f t="shared" si="22"/>
        <v>0</v>
      </c>
      <c r="BL31" s="9"/>
      <c r="BM31" s="10"/>
      <c r="BN31" s="9"/>
      <c r="BP31" s="10"/>
      <c r="BQ31" s="10"/>
      <c r="BR31" s="10"/>
      <c r="BT31" s="10"/>
      <c r="BU31" s="10"/>
      <c r="BV31" s="10"/>
      <c r="BW31" s="10"/>
      <c r="BX31" s="10"/>
      <c r="BY31" s="10"/>
    </row>
    <row r="32" spans="2:77" x14ac:dyDescent="0.2">
      <c r="B32" s="14"/>
      <c r="C32" s="13" t="s">
        <v>72</v>
      </c>
      <c r="D32" s="13"/>
      <c r="E32" s="13"/>
      <c r="F32" s="13"/>
      <c r="G32" s="13"/>
      <c r="H32" s="13"/>
      <c r="I32" s="13"/>
      <c r="J32" s="13"/>
      <c r="K32" s="13"/>
      <c r="L32" s="11">
        <f t="shared" si="0"/>
        <v>0</v>
      </c>
      <c r="N32" s="16"/>
      <c r="O32" s="16"/>
      <c r="P32" s="16"/>
      <c r="Q32" s="16"/>
      <c r="R32" s="16"/>
      <c r="S32" s="11">
        <v>21.986353300000001</v>
      </c>
      <c r="T32" s="17"/>
      <c r="U32" s="17"/>
      <c r="V32" s="16"/>
      <c r="W32" s="16"/>
      <c r="X32" s="16"/>
      <c r="Y32" s="17"/>
      <c r="Z32" s="17"/>
      <c r="AA32" s="17"/>
      <c r="AB32" s="17"/>
      <c r="AC32" s="17"/>
      <c r="AD32" s="17"/>
      <c r="AE32" s="16"/>
      <c r="AF32" s="16"/>
      <c r="AG32" s="16"/>
      <c r="AH32" s="16"/>
      <c r="AJ32" s="1">
        <f t="shared" si="1"/>
        <v>0</v>
      </c>
      <c r="AK32" s="1" t="str">
        <f t="shared" si="2"/>
        <v>CO2Captured</v>
      </c>
      <c r="AL32" s="12" t="e">
        <f t="shared" si="3"/>
        <v>#DIV/0!</v>
      </c>
      <c r="AM32" s="12" t="e">
        <f t="shared" si="4"/>
        <v>#DIV/0!</v>
      </c>
      <c r="AN32" s="5" t="e">
        <f t="shared" si="5"/>
        <v>#DIV/0!</v>
      </c>
      <c r="AO32" s="12" t="e">
        <f t="shared" si="6"/>
        <v>#DIV/0!</v>
      </c>
      <c r="AP32" s="12" t="e">
        <f t="shared" si="7"/>
        <v>#DIV/0!</v>
      </c>
      <c r="AQ32" s="5" t="e">
        <f t="shared" si="8"/>
        <v>#DIV/0!</v>
      </c>
      <c r="AR32" s="5" t="e">
        <f t="shared" si="23"/>
        <v>#DIV/0!</v>
      </c>
      <c r="AS32" s="1" t="e">
        <f t="shared" si="9"/>
        <v>#DIV/0!</v>
      </c>
      <c r="AT32" s="1" t="e">
        <f t="shared" si="10"/>
        <v>#DIV/0!</v>
      </c>
      <c r="AU32" s="1" t="e">
        <f t="shared" si="11"/>
        <v>#DIV/0!</v>
      </c>
      <c r="AV32" s="1" t="e">
        <f t="shared" si="12"/>
        <v>#DIV/0!</v>
      </c>
      <c r="AW32" s="1" t="e">
        <f t="shared" si="13"/>
        <v>#DIV/0!</v>
      </c>
      <c r="AX32" s="1" t="e">
        <f t="shared" si="14"/>
        <v>#DIV/0!</v>
      </c>
      <c r="AY32" s="1">
        <f t="shared" si="15"/>
        <v>0</v>
      </c>
      <c r="AZ32" s="1" t="e">
        <f>(N32+O32)*-1*#REF!/F32</f>
        <v>#REF!</v>
      </c>
      <c r="BA32" s="1">
        <f t="shared" si="16"/>
        <v>0</v>
      </c>
      <c r="BB32" s="1">
        <f t="shared" si="17"/>
        <v>0</v>
      </c>
      <c r="BC32" s="1" t="e">
        <f>O32*#REF!*-1/F32</f>
        <v>#REF!</v>
      </c>
      <c r="BD32" s="1">
        <f t="shared" si="18"/>
        <v>0</v>
      </c>
      <c r="BE32" s="1">
        <f t="shared" si="19"/>
        <v>0</v>
      </c>
      <c r="BF32" s="1" t="e">
        <f>(N32+O32)*-1*#REF!/F32</f>
        <v>#REF!</v>
      </c>
      <c r="BG32" s="1">
        <f t="shared" si="20"/>
        <v>0</v>
      </c>
      <c r="BH32" s="1">
        <f t="shared" si="21"/>
        <v>0</v>
      </c>
      <c r="BI32" s="1" t="e">
        <f>#REF!/F32*O32*-1</f>
        <v>#REF!</v>
      </c>
      <c r="BJ32" s="1">
        <f t="shared" si="22"/>
        <v>0</v>
      </c>
      <c r="BL32" s="9"/>
      <c r="BM32" s="10"/>
      <c r="BN32" s="9"/>
      <c r="BP32" s="10"/>
      <c r="BQ32" s="10"/>
      <c r="BR32" s="10"/>
      <c r="BT32" s="10"/>
      <c r="BU32" s="10"/>
      <c r="BV32" s="10"/>
      <c r="BW32" s="10"/>
      <c r="BX32" s="10"/>
      <c r="BY32" s="10"/>
    </row>
    <row r="33" spans="2:77" x14ac:dyDescent="0.2">
      <c r="B33" s="14"/>
      <c r="C33" s="13" t="s">
        <v>72</v>
      </c>
      <c r="D33" s="13"/>
      <c r="E33" s="13"/>
      <c r="F33" s="13"/>
      <c r="G33" s="13"/>
      <c r="H33" s="13"/>
      <c r="I33" s="13"/>
      <c r="J33" s="13"/>
      <c r="K33" s="13"/>
      <c r="L33" s="11">
        <f t="shared" si="0"/>
        <v>0</v>
      </c>
      <c r="N33" s="16"/>
      <c r="O33" s="16"/>
      <c r="P33" s="16"/>
      <c r="Q33" s="16"/>
      <c r="R33" s="16"/>
      <c r="S33" s="11">
        <v>21.986353300000001</v>
      </c>
      <c r="T33" s="17"/>
      <c r="U33" s="17"/>
      <c r="V33" s="16"/>
      <c r="W33" s="16"/>
      <c r="X33" s="16"/>
      <c r="Y33" s="17"/>
      <c r="Z33" s="17"/>
      <c r="AA33" s="17"/>
      <c r="AB33" s="17"/>
      <c r="AC33" s="17"/>
      <c r="AD33" s="17"/>
      <c r="AE33" s="16"/>
      <c r="AF33" s="16"/>
      <c r="AG33" s="16"/>
      <c r="AH33" s="16"/>
      <c r="AJ33" s="1">
        <f t="shared" si="1"/>
        <v>0</v>
      </c>
      <c r="AK33" s="1" t="str">
        <f t="shared" si="2"/>
        <v>CO2Captured</v>
      </c>
      <c r="AL33" s="12" t="e">
        <f t="shared" si="3"/>
        <v>#DIV/0!</v>
      </c>
      <c r="AM33" s="12" t="e">
        <f t="shared" si="4"/>
        <v>#DIV/0!</v>
      </c>
      <c r="AN33" s="5" t="e">
        <f t="shared" si="5"/>
        <v>#DIV/0!</v>
      </c>
      <c r="AO33" s="12" t="e">
        <f t="shared" si="6"/>
        <v>#DIV/0!</v>
      </c>
      <c r="AP33" s="12" t="e">
        <f t="shared" si="7"/>
        <v>#DIV/0!</v>
      </c>
      <c r="AQ33" s="5" t="e">
        <f t="shared" si="8"/>
        <v>#DIV/0!</v>
      </c>
      <c r="AR33" s="5" t="e">
        <f t="shared" si="23"/>
        <v>#DIV/0!</v>
      </c>
      <c r="AS33" s="1" t="e">
        <f t="shared" si="9"/>
        <v>#DIV/0!</v>
      </c>
      <c r="AT33" s="1" t="e">
        <f t="shared" si="10"/>
        <v>#DIV/0!</v>
      </c>
      <c r="AU33" s="1" t="e">
        <f t="shared" si="11"/>
        <v>#DIV/0!</v>
      </c>
      <c r="AV33" s="1" t="e">
        <f t="shared" si="12"/>
        <v>#DIV/0!</v>
      </c>
      <c r="AW33" s="1" t="e">
        <f t="shared" si="13"/>
        <v>#DIV/0!</v>
      </c>
      <c r="AX33" s="1" t="e">
        <f t="shared" si="14"/>
        <v>#DIV/0!</v>
      </c>
      <c r="AY33" s="1">
        <f t="shared" si="15"/>
        <v>0</v>
      </c>
      <c r="AZ33" s="1" t="e">
        <f>(N33+O33)*-1*#REF!/F33</f>
        <v>#REF!</v>
      </c>
      <c r="BA33" s="1">
        <f t="shared" si="16"/>
        <v>0</v>
      </c>
      <c r="BB33" s="1">
        <f t="shared" si="17"/>
        <v>0</v>
      </c>
      <c r="BC33" s="1" t="e">
        <f>O33*#REF!*-1/F33</f>
        <v>#REF!</v>
      </c>
      <c r="BD33" s="1">
        <f t="shared" si="18"/>
        <v>0</v>
      </c>
      <c r="BE33" s="1">
        <f t="shared" si="19"/>
        <v>0</v>
      </c>
      <c r="BF33" s="1" t="e">
        <f>(N33+O33)*-1*#REF!/F33</f>
        <v>#REF!</v>
      </c>
      <c r="BG33" s="1">
        <f t="shared" si="20"/>
        <v>0</v>
      </c>
      <c r="BH33" s="1">
        <f t="shared" si="21"/>
        <v>0</v>
      </c>
      <c r="BI33" s="1" t="e">
        <f>#REF!/F33*O33*-1</f>
        <v>#REF!</v>
      </c>
      <c r="BJ33" s="1">
        <f t="shared" si="22"/>
        <v>0</v>
      </c>
      <c r="BL33" s="9"/>
      <c r="BM33" s="10"/>
      <c r="BN33" s="9"/>
      <c r="BP33" s="10"/>
      <c r="BQ33" s="10"/>
      <c r="BR33" s="10"/>
      <c r="BT33" s="10"/>
      <c r="BU33" s="10"/>
      <c r="BV33" s="10"/>
      <c r="BW33" s="10"/>
      <c r="BX33" s="10"/>
      <c r="BY33" s="10"/>
    </row>
    <row r="34" spans="2:77" x14ac:dyDescent="0.2">
      <c r="B34" s="14"/>
      <c r="C34" s="13" t="s">
        <v>72</v>
      </c>
      <c r="D34" s="13"/>
      <c r="E34" s="13"/>
      <c r="F34" s="13"/>
      <c r="G34" s="13"/>
      <c r="H34" s="13"/>
      <c r="I34" s="13"/>
      <c r="J34" s="13"/>
      <c r="K34" s="13"/>
      <c r="L34" s="11">
        <f t="shared" si="0"/>
        <v>0</v>
      </c>
      <c r="N34" s="16"/>
      <c r="O34" s="16"/>
      <c r="P34" s="16"/>
      <c r="Q34" s="16"/>
      <c r="R34" s="16"/>
      <c r="S34" s="11">
        <v>21.986353300000001</v>
      </c>
      <c r="T34" s="17"/>
      <c r="U34" s="17"/>
      <c r="V34" s="16"/>
      <c r="W34" s="16"/>
      <c r="X34" s="16"/>
      <c r="Y34" s="17"/>
      <c r="Z34" s="17"/>
      <c r="AA34" s="17"/>
      <c r="AB34" s="17"/>
      <c r="AC34" s="17"/>
      <c r="AD34" s="17"/>
      <c r="AE34" s="16"/>
      <c r="AF34" s="16"/>
      <c r="AG34" s="16"/>
      <c r="AH34" s="16"/>
      <c r="AJ34" s="1">
        <f t="shared" si="1"/>
        <v>0</v>
      </c>
      <c r="AK34" s="1" t="str">
        <f t="shared" si="2"/>
        <v>CO2Captured</v>
      </c>
      <c r="AL34" s="12" t="e">
        <f t="shared" si="3"/>
        <v>#DIV/0!</v>
      </c>
      <c r="AM34" s="12" t="e">
        <f t="shared" si="4"/>
        <v>#DIV/0!</v>
      </c>
      <c r="AN34" s="5" t="e">
        <f t="shared" si="5"/>
        <v>#DIV/0!</v>
      </c>
      <c r="AO34" s="12" t="e">
        <f t="shared" si="6"/>
        <v>#DIV/0!</v>
      </c>
      <c r="AP34" s="12" t="e">
        <f t="shared" si="7"/>
        <v>#DIV/0!</v>
      </c>
      <c r="AQ34" s="5" t="e">
        <f t="shared" si="8"/>
        <v>#DIV/0!</v>
      </c>
      <c r="AR34" s="5" t="e">
        <f t="shared" si="23"/>
        <v>#DIV/0!</v>
      </c>
      <c r="AS34" s="1" t="e">
        <f t="shared" si="9"/>
        <v>#DIV/0!</v>
      </c>
      <c r="AT34" s="1" t="e">
        <f t="shared" si="10"/>
        <v>#DIV/0!</v>
      </c>
      <c r="AU34" s="1" t="e">
        <f t="shared" si="11"/>
        <v>#DIV/0!</v>
      </c>
      <c r="AV34" s="1" t="e">
        <f t="shared" si="12"/>
        <v>#DIV/0!</v>
      </c>
      <c r="AW34" s="1" t="e">
        <f t="shared" si="13"/>
        <v>#DIV/0!</v>
      </c>
      <c r="AX34" s="1" t="e">
        <f t="shared" si="14"/>
        <v>#DIV/0!</v>
      </c>
      <c r="AY34" s="1">
        <f t="shared" si="15"/>
        <v>0</v>
      </c>
      <c r="AZ34" s="1" t="e">
        <f>(N34+O34)*-1*#REF!/F34</f>
        <v>#REF!</v>
      </c>
      <c r="BA34" s="1">
        <f t="shared" si="16"/>
        <v>0</v>
      </c>
      <c r="BB34" s="1">
        <f t="shared" si="17"/>
        <v>0</v>
      </c>
      <c r="BC34" s="1" t="e">
        <f>O34*#REF!*-1/F34</f>
        <v>#REF!</v>
      </c>
      <c r="BD34" s="1">
        <f t="shared" si="18"/>
        <v>0</v>
      </c>
      <c r="BE34" s="1">
        <f t="shared" si="19"/>
        <v>0</v>
      </c>
      <c r="BF34" s="1" t="e">
        <f>(N34+O34)*-1*#REF!/F34</f>
        <v>#REF!</v>
      </c>
      <c r="BG34" s="1">
        <f t="shared" si="20"/>
        <v>0</v>
      </c>
      <c r="BH34" s="1">
        <f t="shared" si="21"/>
        <v>0</v>
      </c>
      <c r="BI34" s="1" t="e">
        <f>#REF!/F34*O34*-1</f>
        <v>#REF!</v>
      </c>
      <c r="BJ34" s="1">
        <f t="shared" si="22"/>
        <v>0</v>
      </c>
      <c r="BL34" s="9"/>
      <c r="BM34" s="10"/>
      <c r="BN34" s="9"/>
      <c r="BP34" s="10"/>
      <c r="BQ34" s="10"/>
      <c r="BR34" s="10"/>
      <c r="BT34" s="10"/>
      <c r="BU34" s="10"/>
      <c r="BV34" s="10"/>
      <c r="BW34" s="10"/>
      <c r="BX34" s="10"/>
      <c r="BY34" s="10"/>
    </row>
    <row r="35" spans="2:77" x14ac:dyDescent="0.2">
      <c r="B35" s="14"/>
      <c r="C35" s="13" t="s">
        <v>72</v>
      </c>
      <c r="D35" s="13"/>
      <c r="E35" s="13"/>
      <c r="F35" s="13"/>
      <c r="G35" s="13"/>
      <c r="H35" s="13"/>
      <c r="I35" s="13"/>
      <c r="J35" s="13"/>
      <c r="K35" s="13"/>
      <c r="L35" s="11">
        <f t="shared" si="0"/>
        <v>0</v>
      </c>
      <c r="N35" s="16"/>
      <c r="O35" s="16"/>
      <c r="P35" s="16"/>
      <c r="Q35" s="16"/>
      <c r="R35" s="16"/>
      <c r="S35" s="11">
        <v>21.986353300000001</v>
      </c>
      <c r="T35" s="17"/>
      <c r="U35" s="17"/>
      <c r="V35" s="16"/>
      <c r="W35" s="16"/>
      <c r="X35" s="16"/>
      <c r="Y35" s="17"/>
      <c r="Z35" s="17"/>
      <c r="AA35" s="17"/>
      <c r="AB35" s="17"/>
      <c r="AC35" s="17"/>
      <c r="AD35" s="17"/>
      <c r="AE35" s="16"/>
      <c r="AF35" s="16"/>
      <c r="AG35" s="16"/>
      <c r="AH35" s="16"/>
      <c r="AJ35" s="1">
        <f t="shared" si="1"/>
        <v>0</v>
      </c>
      <c r="AK35" s="1" t="str">
        <f t="shared" si="2"/>
        <v>CO2Captured</v>
      </c>
      <c r="AL35" s="12" t="e">
        <f t="shared" si="3"/>
        <v>#DIV/0!</v>
      </c>
      <c r="AM35" s="12" t="e">
        <f t="shared" si="4"/>
        <v>#DIV/0!</v>
      </c>
      <c r="AN35" s="5" t="e">
        <f t="shared" si="5"/>
        <v>#DIV/0!</v>
      </c>
      <c r="AO35" s="12" t="e">
        <f t="shared" si="6"/>
        <v>#DIV/0!</v>
      </c>
      <c r="AP35" s="12" t="e">
        <f t="shared" si="7"/>
        <v>#DIV/0!</v>
      </c>
      <c r="AQ35" s="5" t="e">
        <f t="shared" si="8"/>
        <v>#DIV/0!</v>
      </c>
      <c r="AR35" s="5" t="e">
        <f t="shared" si="23"/>
        <v>#DIV/0!</v>
      </c>
      <c r="AS35" s="1" t="e">
        <f t="shared" si="9"/>
        <v>#DIV/0!</v>
      </c>
      <c r="AT35" s="1" t="e">
        <f t="shared" si="10"/>
        <v>#DIV/0!</v>
      </c>
      <c r="AU35" s="1" t="e">
        <f t="shared" si="11"/>
        <v>#DIV/0!</v>
      </c>
      <c r="AV35" s="1" t="e">
        <f t="shared" si="12"/>
        <v>#DIV/0!</v>
      </c>
      <c r="AW35" s="1" t="e">
        <f t="shared" si="13"/>
        <v>#DIV/0!</v>
      </c>
      <c r="AX35" s="1" t="e">
        <f t="shared" si="14"/>
        <v>#DIV/0!</v>
      </c>
      <c r="AY35" s="1">
        <f t="shared" si="15"/>
        <v>0</v>
      </c>
      <c r="AZ35" s="1" t="e">
        <f>(N35+O35)*-1*#REF!/F35</f>
        <v>#REF!</v>
      </c>
      <c r="BA35" s="1">
        <f t="shared" si="16"/>
        <v>0</v>
      </c>
      <c r="BB35" s="1">
        <f t="shared" si="17"/>
        <v>0</v>
      </c>
      <c r="BC35" s="1" t="e">
        <f>O35*#REF!*-1/F35</f>
        <v>#REF!</v>
      </c>
      <c r="BD35" s="1">
        <f t="shared" si="18"/>
        <v>0</v>
      </c>
      <c r="BE35" s="1">
        <f t="shared" si="19"/>
        <v>0</v>
      </c>
      <c r="BF35" s="1" t="e">
        <f>(N35+O35)*-1*#REF!/F35</f>
        <v>#REF!</v>
      </c>
      <c r="BG35" s="1">
        <f t="shared" si="20"/>
        <v>0</v>
      </c>
      <c r="BH35" s="1">
        <f t="shared" si="21"/>
        <v>0</v>
      </c>
      <c r="BI35" s="1" t="e">
        <f>#REF!/F35*O35*-1</f>
        <v>#REF!</v>
      </c>
      <c r="BJ35" s="1">
        <f t="shared" si="22"/>
        <v>0</v>
      </c>
      <c r="BL35" s="9"/>
      <c r="BM35" s="10"/>
      <c r="BN35" s="9"/>
      <c r="BP35" s="10"/>
      <c r="BQ35" s="10"/>
      <c r="BR35" s="10"/>
      <c r="BT35" s="10"/>
      <c r="BU35" s="10"/>
      <c r="BV35" s="10"/>
      <c r="BW35" s="10"/>
      <c r="BX35" s="10"/>
      <c r="BY35" s="10"/>
    </row>
    <row r="36" spans="2:77" x14ac:dyDescent="0.2">
      <c r="B36" s="14"/>
      <c r="C36" s="13" t="s">
        <v>72</v>
      </c>
      <c r="D36" s="13"/>
      <c r="E36" s="13"/>
      <c r="F36" s="13"/>
      <c r="G36" s="13"/>
      <c r="H36" s="13"/>
      <c r="I36" s="13"/>
      <c r="J36" s="13"/>
      <c r="K36" s="13"/>
      <c r="L36" s="11">
        <f t="shared" ref="L36:L66" si="24">BX36/0.22/14</f>
        <v>0</v>
      </c>
      <c r="N36" s="16"/>
      <c r="O36" s="16"/>
      <c r="P36" s="16"/>
      <c r="Q36" s="16"/>
      <c r="R36" s="16"/>
      <c r="S36" s="11">
        <v>21.986353300000001</v>
      </c>
      <c r="T36" s="17"/>
      <c r="U36" s="17"/>
      <c r="V36" s="16"/>
      <c r="W36" s="16"/>
      <c r="X36" s="16"/>
      <c r="Y36" s="17"/>
      <c r="Z36" s="17"/>
      <c r="AA36" s="17"/>
      <c r="AB36" s="17"/>
      <c r="AC36" s="17"/>
      <c r="AD36" s="17"/>
      <c r="AE36" s="16"/>
      <c r="AF36" s="16"/>
      <c r="AG36" s="16"/>
      <c r="AH36" s="16"/>
      <c r="AJ36" s="1">
        <f t="shared" ref="AJ36:AJ66" si="25">B36</f>
        <v>0</v>
      </c>
      <c r="AK36" s="1" t="str">
        <f t="shared" ref="AK36:AK66" si="26">C36</f>
        <v>CO2Captured</v>
      </c>
      <c r="AL36" s="12" t="e">
        <f t="shared" ref="AL36:AL66" si="27">SUM(AR36:AX36)+AZ36+BA36</f>
        <v>#DIV/0!</v>
      </c>
      <c r="AM36" s="12" t="e">
        <f t="shared" ref="AM36:AM66" si="28">SUM(AR36:AX36)+BC36+BD36</f>
        <v>#DIV/0!</v>
      </c>
      <c r="AN36" s="5" t="e">
        <f t="shared" ref="AN36:AN67" si="29">AL36-AM36</f>
        <v>#DIV/0!</v>
      </c>
      <c r="AO36" s="12" t="e">
        <f t="shared" ref="AO36:AO66" si="30">SUM(AR36:AX36)+BF36+BG36</f>
        <v>#DIV/0!</v>
      </c>
      <c r="AP36" s="12" t="e">
        <f t="shared" ref="AP36:AP66" si="31">SUM(AR36:AX36)+BI36+BJ36</f>
        <v>#DIV/0!</v>
      </c>
      <c r="AQ36" s="5" t="e">
        <f t="shared" ref="AQ36:AQ67" si="32">AO36-AP36</f>
        <v>#DIV/0!</v>
      </c>
      <c r="AR36" s="5" t="e">
        <f t="shared" ref="AR36:AR66" si="33">D36/F36*W36</f>
        <v>#DIV/0!</v>
      </c>
      <c r="AS36" s="1" t="e">
        <f t="shared" ref="AS36:AS66" si="34">E36/F36*V36</f>
        <v>#DIV/0!</v>
      </c>
      <c r="AT36" s="1" t="e">
        <f t="shared" ref="AT36:AT66" si="35">1/F36*S36</f>
        <v>#DIV/0!</v>
      </c>
      <c r="AU36" s="1" t="e">
        <f t="shared" ref="AU36:AU66" si="36">G36/F36*AE36*-1</f>
        <v>#DIV/0!</v>
      </c>
      <c r="AV36" s="1" t="e">
        <f t="shared" ref="AV36:AV66" si="37">I36/F36/(0.9*8760)</f>
        <v>#DIV/0!</v>
      </c>
      <c r="AW36" s="1" t="e">
        <f t="shared" ref="AW36:AW66" si="38">J36/F36/(0.9*8760)</f>
        <v>#DIV/0!</v>
      </c>
      <c r="AX36" s="1" t="e">
        <f t="shared" ref="AX36:AX66" si="39">K36/F36</f>
        <v>#DIV/0!</v>
      </c>
      <c r="AY36" s="1">
        <f t="shared" ref="AY36:AY66" si="40">BU36+BV36+BW36</f>
        <v>0</v>
      </c>
      <c r="AZ36" s="1" t="e">
        <f>(N36+O36)*-1*#REF!/F36</f>
        <v>#REF!</v>
      </c>
      <c r="BA36" s="1">
        <f t="shared" ref="BA36:BA66" si="41">AY36*N36</f>
        <v>0</v>
      </c>
      <c r="BB36" s="1">
        <f t="shared" ref="BB36:BB66" si="42">BU36+BV36</f>
        <v>0</v>
      </c>
      <c r="BC36" s="1" t="e">
        <f>O36*#REF!*-1/F36</f>
        <v>#REF!</v>
      </c>
      <c r="BD36" s="1">
        <f t="shared" ref="BD36:BD66" si="43">BB36*N36</f>
        <v>0</v>
      </c>
      <c r="BE36" s="1">
        <f t="shared" ref="BE36:BE66" si="44">SUM(BT36:BX36)</f>
        <v>0</v>
      </c>
      <c r="BF36" s="1" t="e">
        <f>(N36+O36)*-1*#REF!/F36</f>
        <v>#REF!</v>
      </c>
      <c r="BG36" s="1">
        <f t="shared" ref="BG36:BG66" si="45">BE36*N36</f>
        <v>0</v>
      </c>
      <c r="BH36" s="1">
        <f t="shared" ref="BH36:BH66" si="46">BT36+BU36+BV36+BX36</f>
        <v>0</v>
      </c>
      <c r="BI36" s="1" t="e">
        <f>#REF!/F36*O36*-1</f>
        <v>#REF!</v>
      </c>
      <c r="BJ36" s="1">
        <f t="shared" ref="BJ36:BJ66" si="47">N36*BH36</f>
        <v>0</v>
      </c>
      <c r="BL36" s="9"/>
      <c r="BM36" s="10"/>
      <c r="BN36" s="9"/>
      <c r="BP36" s="10"/>
      <c r="BQ36" s="10"/>
      <c r="BR36" s="10"/>
      <c r="BT36" s="10"/>
      <c r="BU36" s="10"/>
      <c r="BV36" s="10"/>
      <c r="BW36" s="10"/>
      <c r="BX36" s="10"/>
      <c r="BY36" s="10"/>
    </row>
    <row r="37" spans="2:77" x14ac:dyDescent="0.2">
      <c r="B37" s="14"/>
      <c r="C37" s="13" t="s">
        <v>72</v>
      </c>
      <c r="D37" s="13"/>
      <c r="E37" s="13"/>
      <c r="F37" s="13"/>
      <c r="G37" s="13"/>
      <c r="H37" s="13"/>
      <c r="I37" s="13"/>
      <c r="J37" s="13"/>
      <c r="K37" s="13"/>
      <c r="L37" s="11">
        <f t="shared" si="24"/>
        <v>0</v>
      </c>
      <c r="N37" s="16"/>
      <c r="O37" s="16"/>
      <c r="P37" s="16"/>
      <c r="Q37" s="16"/>
      <c r="R37" s="16"/>
      <c r="S37" s="11">
        <v>21.986353300000001</v>
      </c>
      <c r="T37" s="17"/>
      <c r="U37" s="17"/>
      <c r="V37" s="16"/>
      <c r="W37" s="16"/>
      <c r="X37" s="16"/>
      <c r="Y37" s="17"/>
      <c r="Z37" s="17"/>
      <c r="AA37" s="17"/>
      <c r="AB37" s="17"/>
      <c r="AC37" s="17"/>
      <c r="AD37" s="17"/>
      <c r="AE37" s="16"/>
      <c r="AF37" s="16"/>
      <c r="AG37" s="16"/>
      <c r="AH37" s="16"/>
      <c r="AJ37" s="1">
        <f t="shared" si="25"/>
        <v>0</v>
      </c>
      <c r="AK37" s="1" t="str">
        <f t="shared" si="26"/>
        <v>CO2Captured</v>
      </c>
      <c r="AL37" s="12" t="e">
        <f t="shared" si="27"/>
        <v>#DIV/0!</v>
      </c>
      <c r="AM37" s="12" t="e">
        <f t="shared" si="28"/>
        <v>#DIV/0!</v>
      </c>
      <c r="AN37" s="5" t="e">
        <f t="shared" si="29"/>
        <v>#DIV/0!</v>
      </c>
      <c r="AO37" s="12" t="e">
        <f t="shared" si="30"/>
        <v>#DIV/0!</v>
      </c>
      <c r="AP37" s="12" t="e">
        <f t="shared" si="31"/>
        <v>#DIV/0!</v>
      </c>
      <c r="AQ37" s="5" t="e">
        <f t="shared" si="32"/>
        <v>#DIV/0!</v>
      </c>
      <c r="AR37" s="5" t="e">
        <f t="shared" si="33"/>
        <v>#DIV/0!</v>
      </c>
      <c r="AS37" s="1" t="e">
        <f t="shared" si="34"/>
        <v>#DIV/0!</v>
      </c>
      <c r="AT37" s="1" t="e">
        <f t="shared" si="35"/>
        <v>#DIV/0!</v>
      </c>
      <c r="AU37" s="1" t="e">
        <f t="shared" si="36"/>
        <v>#DIV/0!</v>
      </c>
      <c r="AV37" s="1" t="e">
        <f t="shared" si="37"/>
        <v>#DIV/0!</v>
      </c>
      <c r="AW37" s="1" t="e">
        <f t="shared" si="38"/>
        <v>#DIV/0!</v>
      </c>
      <c r="AX37" s="1" t="e">
        <f t="shared" si="39"/>
        <v>#DIV/0!</v>
      </c>
      <c r="AY37" s="1">
        <f t="shared" si="40"/>
        <v>0</v>
      </c>
      <c r="AZ37" s="1" t="e">
        <f>(N37+O37)*-1*#REF!/F37</f>
        <v>#REF!</v>
      </c>
      <c r="BA37" s="1">
        <f t="shared" si="41"/>
        <v>0</v>
      </c>
      <c r="BB37" s="1">
        <f t="shared" si="42"/>
        <v>0</v>
      </c>
      <c r="BC37" s="1" t="e">
        <f>O37*#REF!*-1/F37</f>
        <v>#REF!</v>
      </c>
      <c r="BD37" s="1">
        <f t="shared" si="43"/>
        <v>0</v>
      </c>
      <c r="BE37" s="1">
        <f t="shared" si="44"/>
        <v>0</v>
      </c>
      <c r="BF37" s="1" t="e">
        <f>(N37+O37)*-1*#REF!/F37</f>
        <v>#REF!</v>
      </c>
      <c r="BG37" s="1">
        <f t="shared" si="45"/>
        <v>0</v>
      </c>
      <c r="BH37" s="1">
        <f t="shared" si="46"/>
        <v>0</v>
      </c>
      <c r="BI37" s="1" t="e">
        <f>#REF!/F37*O37*-1</f>
        <v>#REF!</v>
      </c>
      <c r="BJ37" s="1">
        <f t="shared" si="47"/>
        <v>0</v>
      </c>
      <c r="BL37" s="9"/>
      <c r="BM37" s="10"/>
      <c r="BN37" s="9"/>
      <c r="BP37" s="10"/>
      <c r="BQ37" s="10"/>
      <c r="BR37" s="10"/>
      <c r="BT37" s="10"/>
      <c r="BU37" s="10"/>
      <c r="BV37" s="10"/>
      <c r="BW37" s="10"/>
      <c r="BX37" s="10"/>
      <c r="BY37" s="10"/>
    </row>
    <row r="38" spans="2:77" x14ac:dyDescent="0.2">
      <c r="B38" s="14"/>
      <c r="C38" s="13" t="s">
        <v>72</v>
      </c>
      <c r="D38" s="13"/>
      <c r="E38" s="13"/>
      <c r="F38" s="13"/>
      <c r="G38" s="13"/>
      <c r="H38" s="13"/>
      <c r="I38" s="13"/>
      <c r="J38" s="13"/>
      <c r="K38" s="13"/>
      <c r="L38" s="11">
        <f t="shared" si="24"/>
        <v>0</v>
      </c>
      <c r="N38" s="16"/>
      <c r="O38" s="16"/>
      <c r="P38" s="16"/>
      <c r="Q38" s="16"/>
      <c r="R38" s="16"/>
      <c r="S38" s="11">
        <v>21.986353300000001</v>
      </c>
      <c r="T38" s="17"/>
      <c r="U38" s="17"/>
      <c r="V38" s="16"/>
      <c r="W38" s="16"/>
      <c r="X38" s="16"/>
      <c r="Y38" s="17"/>
      <c r="Z38" s="17"/>
      <c r="AA38" s="17"/>
      <c r="AB38" s="17"/>
      <c r="AC38" s="17"/>
      <c r="AD38" s="17"/>
      <c r="AE38" s="16"/>
      <c r="AF38" s="16"/>
      <c r="AG38" s="16"/>
      <c r="AH38" s="16"/>
      <c r="AJ38" s="1">
        <f t="shared" si="25"/>
        <v>0</v>
      </c>
      <c r="AK38" s="1" t="str">
        <f t="shared" si="26"/>
        <v>CO2Captured</v>
      </c>
      <c r="AL38" s="12" t="e">
        <f t="shared" si="27"/>
        <v>#DIV/0!</v>
      </c>
      <c r="AM38" s="12" t="e">
        <f t="shared" si="28"/>
        <v>#DIV/0!</v>
      </c>
      <c r="AN38" s="5" t="e">
        <f t="shared" si="29"/>
        <v>#DIV/0!</v>
      </c>
      <c r="AO38" s="12" t="e">
        <f t="shared" si="30"/>
        <v>#DIV/0!</v>
      </c>
      <c r="AP38" s="12" t="e">
        <f t="shared" si="31"/>
        <v>#DIV/0!</v>
      </c>
      <c r="AQ38" s="5" t="e">
        <f t="shared" si="32"/>
        <v>#DIV/0!</v>
      </c>
      <c r="AR38" s="5" t="e">
        <f t="shared" si="33"/>
        <v>#DIV/0!</v>
      </c>
      <c r="AS38" s="1" t="e">
        <f t="shared" si="34"/>
        <v>#DIV/0!</v>
      </c>
      <c r="AT38" s="1" t="e">
        <f t="shared" si="35"/>
        <v>#DIV/0!</v>
      </c>
      <c r="AU38" s="1" t="e">
        <f t="shared" si="36"/>
        <v>#DIV/0!</v>
      </c>
      <c r="AV38" s="1" t="e">
        <f t="shared" si="37"/>
        <v>#DIV/0!</v>
      </c>
      <c r="AW38" s="1" t="e">
        <f t="shared" si="38"/>
        <v>#DIV/0!</v>
      </c>
      <c r="AX38" s="1" t="e">
        <f t="shared" si="39"/>
        <v>#DIV/0!</v>
      </c>
      <c r="AY38" s="1">
        <f t="shared" si="40"/>
        <v>0</v>
      </c>
      <c r="AZ38" s="1" t="e">
        <f>(N38+O38)*-1*#REF!/F38</f>
        <v>#REF!</v>
      </c>
      <c r="BA38" s="1">
        <f t="shared" si="41"/>
        <v>0</v>
      </c>
      <c r="BB38" s="1">
        <f t="shared" si="42"/>
        <v>0</v>
      </c>
      <c r="BC38" s="1" t="e">
        <f>O38*#REF!*-1/F38</f>
        <v>#REF!</v>
      </c>
      <c r="BD38" s="1">
        <f t="shared" si="43"/>
        <v>0</v>
      </c>
      <c r="BE38" s="1">
        <f t="shared" si="44"/>
        <v>0</v>
      </c>
      <c r="BF38" s="1" t="e">
        <f>(N38+O38)*-1*#REF!/F38</f>
        <v>#REF!</v>
      </c>
      <c r="BG38" s="1">
        <f t="shared" si="45"/>
        <v>0</v>
      </c>
      <c r="BH38" s="1">
        <f t="shared" si="46"/>
        <v>0</v>
      </c>
      <c r="BI38" s="1" t="e">
        <f>#REF!/F38*O38*-1</f>
        <v>#REF!</v>
      </c>
      <c r="BJ38" s="1">
        <f t="shared" si="47"/>
        <v>0</v>
      </c>
      <c r="BL38" s="9"/>
      <c r="BM38" s="10"/>
      <c r="BN38" s="9"/>
      <c r="BP38" s="10"/>
      <c r="BQ38" s="10"/>
      <c r="BR38" s="10"/>
      <c r="BT38" s="10"/>
      <c r="BU38" s="10"/>
      <c r="BV38" s="10"/>
      <c r="BW38" s="10"/>
      <c r="BX38" s="10"/>
      <c r="BY38" s="10"/>
    </row>
    <row r="39" spans="2:77" x14ac:dyDescent="0.2">
      <c r="B39" s="14"/>
      <c r="C39" s="13" t="s">
        <v>72</v>
      </c>
      <c r="D39" s="13"/>
      <c r="E39" s="13"/>
      <c r="F39" s="13"/>
      <c r="G39" s="13"/>
      <c r="H39" s="13"/>
      <c r="I39" s="13"/>
      <c r="J39" s="13"/>
      <c r="K39" s="13"/>
      <c r="L39" s="11">
        <f t="shared" si="24"/>
        <v>0</v>
      </c>
      <c r="N39" s="16"/>
      <c r="O39" s="16"/>
      <c r="P39" s="16"/>
      <c r="Q39" s="16"/>
      <c r="R39" s="16"/>
      <c r="S39" s="11">
        <v>21.986353300000001</v>
      </c>
      <c r="T39" s="17"/>
      <c r="U39" s="17"/>
      <c r="V39" s="16"/>
      <c r="W39" s="16"/>
      <c r="X39" s="16"/>
      <c r="Y39" s="17"/>
      <c r="Z39" s="17"/>
      <c r="AA39" s="17"/>
      <c r="AB39" s="17"/>
      <c r="AC39" s="17"/>
      <c r="AD39" s="17"/>
      <c r="AE39" s="16"/>
      <c r="AF39" s="16"/>
      <c r="AG39" s="16"/>
      <c r="AH39" s="16"/>
      <c r="AJ39" s="1">
        <f t="shared" si="25"/>
        <v>0</v>
      </c>
      <c r="AK39" s="1" t="str">
        <f t="shared" si="26"/>
        <v>CO2Captured</v>
      </c>
      <c r="AL39" s="12" t="e">
        <f t="shared" si="27"/>
        <v>#DIV/0!</v>
      </c>
      <c r="AM39" s="12" t="e">
        <f t="shared" si="28"/>
        <v>#DIV/0!</v>
      </c>
      <c r="AN39" s="5" t="e">
        <f t="shared" si="29"/>
        <v>#DIV/0!</v>
      </c>
      <c r="AO39" s="12" t="e">
        <f t="shared" si="30"/>
        <v>#DIV/0!</v>
      </c>
      <c r="AP39" s="12" t="e">
        <f t="shared" si="31"/>
        <v>#DIV/0!</v>
      </c>
      <c r="AQ39" s="5" t="e">
        <f t="shared" si="32"/>
        <v>#DIV/0!</v>
      </c>
      <c r="AR39" s="5" t="e">
        <f t="shared" si="33"/>
        <v>#DIV/0!</v>
      </c>
      <c r="AS39" s="1" t="e">
        <f t="shared" si="34"/>
        <v>#DIV/0!</v>
      </c>
      <c r="AT39" s="1" t="e">
        <f t="shared" si="35"/>
        <v>#DIV/0!</v>
      </c>
      <c r="AU39" s="1" t="e">
        <f t="shared" si="36"/>
        <v>#DIV/0!</v>
      </c>
      <c r="AV39" s="1" t="e">
        <f t="shared" si="37"/>
        <v>#DIV/0!</v>
      </c>
      <c r="AW39" s="1" t="e">
        <f t="shared" si="38"/>
        <v>#DIV/0!</v>
      </c>
      <c r="AX39" s="1" t="e">
        <f t="shared" si="39"/>
        <v>#DIV/0!</v>
      </c>
      <c r="AY39" s="1">
        <f t="shared" si="40"/>
        <v>0</v>
      </c>
      <c r="AZ39" s="1" t="e">
        <f>(N39+O39)*-1*#REF!/F39</f>
        <v>#REF!</v>
      </c>
      <c r="BA39" s="1">
        <f t="shared" si="41"/>
        <v>0</v>
      </c>
      <c r="BB39" s="1">
        <f t="shared" si="42"/>
        <v>0</v>
      </c>
      <c r="BC39" s="1" t="e">
        <f>O39*#REF!*-1/F39</f>
        <v>#REF!</v>
      </c>
      <c r="BD39" s="1">
        <f t="shared" si="43"/>
        <v>0</v>
      </c>
      <c r="BE39" s="1">
        <f t="shared" si="44"/>
        <v>0</v>
      </c>
      <c r="BF39" s="1" t="e">
        <f>(N39+O39)*-1*#REF!/F39</f>
        <v>#REF!</v>
      </c>
      <c r="BG39" s="1">
        <f t="shared" si="45"/>
        <v>0</v>
      </c>
      <c r="BH39" s="1">
        <f t="shared" si="46"/>
        <v>0</v>
      </c>
      <c r="BI39" s="1" t="e">
        <f>#REF!/F39*O39*-1</f>
        <v>#REF!</v>
      </c>
      <c r="BJ39" s="1">
        <f t="shared" si="47"/>
        <v>0</v>
      </c>
      <c r="BL39" s="9"/>
      <c r="BM39" s="10"/>
      <c r="BN39" s="9"/>
      <c r="BP39" s="10"/>
      <c r="BQ39" s="10"/>
      <c r="BR39" s="10"/>
      <c r="BT39" s="10"/>
      <c r="BU39" s="10"/>
      <c r="BV39" s="10"/>
      <c r="BW39" s="10"/>
      <c r="BX39" s="10"/>
      <c r="BY39" s="10"/>
    </row>
    <row r="40" spans="2:77" x14ac:dyDescent="0.2">
      <c r="B40" s="14"/>
      <c r="C40" s="13" t="s">
        <v>72</v>
      </c>
      <c r="D40" s="13"/>
      <c r="E40" s="13"/>
      <c r="F40" s="13"/>
      <c r="G40" s="13"/>
      <c r="H40" s="13"/>
      <c r="I40" s="13"/>
      <c r="J40" s="13"/>
      <c r="K40" s="13"/>
      <c r="L40" s="11">
        <f t="shared" si="24"/>
        <v>0</v>
      </c>
      <c r="N40" s="16"/>
      <c r="O40" s="16"/>
      <c r="P40" s="16"/>
      <c r="Q40" s="16"/>
      <c r="R40" s="16"/>
      <c r="S40" s="11">
        <v>21.986353300000001</v>
      </c>
      <c r="T40" s="17"/>
      <c r="U40" s="17"/>
      <c r="V40" s="16"/>
      <c r="W40" s="16"/>
      <c r="X40" s="16"/>
      <c r="Y40" s="17"/>
      <c r="Z40" s="17"/>
      <c r="AA40" s="17"/>
      <c r="AB40" s="17"/>
      <c r="AC40" s="17"/>
      <c r="AD40" s="17"/>
      <c r="AE40" s="16"/>
      <c r="AF40" s="16"/>
      <c r="AG40" s="16"/>
      <c r="AH40" s="16"/>
      <c r="AJ40" s="1">
        <f t="shared" si="25"/>
        <v>0</v>
      </c>
      <c r="AK40" s="1" t="str">
        <f t="shared" si="26"/>
        <v>CO2Captured</v>
      </c>
      <c r="AL40" s="12" t="e">
        <f t="shared" si="27"/>
        <v>#DIV/0!</v>
      </c>
      <c r="AM40" s="12" t="e">
        <f t="shared" si="28"/>
        <v>#DIV/0!</v>
      </c>
      <c r="AN40" s="5" t="e">
        <f t="shared" si="29"/>
        <v>#DIV/0!</v>
      </c>
      <c r="AO40" s="12" t="e">
        <f t="shared" si="30"/>
        <v>#DIV/0!</v>
      </c>
      <c r="AP40" s="12" t="e">
        <f t="shared" si="31"/>
        <v>#DIV/0!</v>
      </c>
      <c r="AQ40" s="5" t="e">
        <f t="shared" si="32"/>
        <v>#DIV/0!</v>
      </c>
      <c r="AR40" s="5" t="e">
        <f t="shared" si="33"/>
        <v>#DIV/0!</v>
      </c>
      <c r="AS40" s="1" t="e">
        <f t="shared" si="34"/>
        <v>#DIV/0!</v>
      </c>
      <c r="AT40" s="1" t="e">
        <f t="shared" si="35"/>
        <v>#DIV/0!</v>
      </c>
      <c r="AU40" s="1" t="e">
        <f t="shared" si="36"/>
        <v>#DIV/0!</v>
      </c>
      <c r="AV40" s="1" t="e">
        <f t="shared" si="37"/>
        <v>#DIV/0!</v>
      </c>
      <c r="AW40" s="1" t="e">
        <f t="shared" si="38"/>
        <v>#DIV/0!</v>
      </c>
      <c r="AX40" s="1" t="e">
        <f t="shared" si="39"/>
        <v>#DIV/0!</v>
      </c>
      <c r="AY40" s="1">
        <f t="shared" si="40"/>
        <v>0</v>
      </c>
      <c r="AZ40" s="1" t="e">
        <f>(N40+O40)*-1*#REF!/F40</f>
        <v>#REF!</v>
      </c>
      <c r="BA40" s="1">
        <f t="shared" si="41"/>
        <v>0</v>
      </c>
      <c r="BB40" s="1">
        <f t="shared" si="42"/>
        <v>0</v>
      </c>
      <c r="BC40" s="1" t="e">
        <f>O40*#REF!*-1/F40</f>
        <v>#REF!</v>
      </c>
      <c r="BD40" s="1">
        <f t="shared" si="43"/>
        <v>0</v>
      </c>
      <c r="BE40" s="1">
        <f t="shared" si="44"/>
        <v>0</v>
      </c>
      <c r="BF40" s="1" t="e">
        <f>(N40+O40)*-1*#REF!/F40</f>
        <v>#REF!</v>
      </c>
      <c r="BG40" s="1">
        <f t="shared" si="45"/>
        <v>0</v>
      </c>
      <c r="BH40" s="1">
        <f t="shared" si="46"/>
        <v>0</v>
      </c>
      <c r="BI40" s="1" t="e">
        <f>#REF!/F40*O40*-1</f>
        <v>#REF!</v>
      </c>
      <c r="BJ40" s="1">
        <f t="shared" si="47"/>
        <v>0</v>
      </c>
      <c r="BL40" s="9"/>
      <c r="BM40" s="10"/>
      <c r="BN40" s="9"/>
      <c r="BP40" s="10"/>
      <c r="BQ40" s="10"/>
      <c r="BR40" s="10"/>
      <c r="BT40" s="10"/>
      <c r="BU40" s="10"/>
      <c r="BV40" s="10"/>
      <c r="BW40" s="10"/>
      <c r="BX40" s="10"/>
      <c r="BY40" s="10"/>
    </row>
    <row r="41" spans="2:77" x14ac:dyDescent="0.2">
      <c r="B41" s="14"/>
      <c r="C41" s="13" t="s">
        <v>72</v>
      </c>
      <c r="D41" s="13"/>
      <c r="E41" s="13"/>
      <c r="F41" s="13"/>
      <c r="G41" s="13"/>
      <c r="H41" s="13"/>
      <c r="I41" s="13"/>
      <c r="J41" s="13"/>
      <c r="K41" s="13"/>
      <c r="L41" s="11">
        <f t="shared" si="24"/>
        <v>0</v>
      </c>
      <c r="N41" s="16"/>
      <c r="O41" s="16"/>
      <c r="P41" s="16"/>
      <c r="Q41" s="16"/>
      <c r="R41" s="16"/>
      <c r="S41" s="11">
        <v>21.986353300000001</v>
      </c>
      <c r="T41" s="17"/>
      <c r="U41" s="17"/>
      <c r="V41" s="16"/>
      <c r="W41" s="16"/>
      <c r="X41" s="16"/>
      <c r="Y41" s="17"/>
      <c r="Z41" s="17"/>
      <c r="AA41" s="17"/>
      <c r="AB41" s="17"/>
      <c r="AC41" s="17"/>
      <c r="AD41" s="17"/>
      <c r="AE41" s="16"/>
      <c r="AF41" s="16"/>
      <c r="AG41" s="16"/>
      <c r="AH41" s="16"/>
      <c r="AJ41" s="1">
        <f t="shared" si="25"/>
        <v>0</v>
      </c>
      <c r="AK41" s="1" t="str">
        <f t="shared" si="26"/>
        <v>CO2Captured</v>
      </c>
      <c r="AL41" s="12" t="e">
        <f t="shared" si="27"/>
        <v>#DIV/0!</v>
      </c>
      <c r="AM41" s="12" t="e">
        <f t="shared" si="28"/>
        <v>#DIV/0!</v>
      </c>
      <c r="AN41" s="5" t="e">
        <f t="shared" si="29"/>
        <v>#DIV/0!</v>
      </c>
      <c r="AO41" s="12" t="e">
        <f t="shared" si="30"/>
        <v>#DIV/0!</v>
      </c>
      <c r="AP41" s="12" t="e">
        <f t="shared" si="31"/>
        <v>#DIV/0!</v>
      </c>
      <c r="AQ41" s="5" t="e">
        <f t="shared" si="32"/>
        <v>#DIV/0!</v>
      </c>
      <c r="AR41" s="5" t="e">
        <f t="shared" si="33"/>
        <v>#DIV/0!</v>
      </c>
      <c r="AS41" s="1" t="e">
        <f t="shared" si="34"/>
        <v>#DIV/0!</v>
      </c>
      <c r="AT41" s="1" t="e">
        <f t="shared" si="35"/>
        <v>#DIV/0!</v>
      </c>
      <c r="AU41" s="1" t="e">
        <f t="shared" si="36"/>
        <v>#DIV/0!</v>
      </c>
      <c r="AV41" s="1" t="e">
        <f t="shared" si="37"/>
        <v>#DIV/0!</v>
      </c>
      <c r="AW41" s="1" t="e">
        <f t="shared" si="38"/>
        <v>#DIV/0!</v>
      </c>
      <c r="AX41" s="1" t="e">
        <f t="shared" si="39"/>
        <v>#DIV/0!</v>
      </c>
      <c r="AY41" s="1">
        <f t="shared" si="40"/>
        <v>0</v>
      </c>
      <c r="AZ41" s="1" t="e">
        <f>(N41+O41)*-1*#REF!/F41</f>
        <v>#REF!</v>
      </c>
      <c r="BA41" s="1">
        <f t="shared" si="41"/>
        <v>0</v>
      </c>
      <c r="BB41" s="1">
        <f t="shared" si="42"/>
        <v>0</v>
      </c>
      <c r="BC41" s="1" t="e">
        <f>O41*#REF!*-1/F41</f>
        <v>#REF!</v>
      </c>
      <c r="BD41" s="1">
        <f t="shared" si="43"/>
        <v>0</v>
      </c>
      <c r="BE41" s="1">
        <f t="shared" si="44"/>
        <v>0</v>
      </c>
      <c r="BF41" s="1" t="e">
        <f>(N41+O41)*-1*#REF!/F41</f>
        <v>#REF!</v>
      </c>
      <c r="BG41" s="1">
        <f t="shared" si="45"/>
        <v>0</v>
      </c>
      <c r="BH41" s="1">
        <f t="shared" si="46"/>
        <v>0</v>
      </c>
      <c r="BI41" s="1" t="e">
        <f>#REF!/F41*O41*-1</f>
        <v>#REF!</v>
      </c>
      <c r="BJ41" s="1">
        <f t="shared" si="47"/>
        <v>0</v>
      </c>
      <c r="BL41" s="9"/>
      <c r="BM41" s="10"/>
      <c r="BN41" s="9"/>
      <c r="BP41" s="10"/>
      <c r="BQ41" s="10"/>
      <c r="BR41" s="10"/>
      <c r="BT41" s="10"/>
      <c r="BU41" s="10"/>
      <c r="BV41" s="10"/>
      <c r="BW41" s="10"/>
      <c r="BX41" s="10"/>
      <c r="BY41" s="10"/>
    </row>
    <row r="42" spans="2:77" x14ac:dyDescent="0.2">
      <c r="B42" s="14"/>
      <c r="C42" s="13" t="s">
        <v>72</v>
      </c>
      <c r="D42" s="13"/>
      <c r="E42" s="13"/>
      <c r="F42" s="13"/>
      <c r="G42" s="13"/>
      <c r="H42" s="13"/>
      <c r="I42" s="13"/>
      <c r="J42" s="13"/>
      <c r="K42" s="13"/>
      <c r="L42" s="11">
        <f t="shared" si="24"/>
        <v>0</v>
      </c>
      <c r="N42" s="16"/>
      <c r="O42" s="16"/>
      <c r="P42" s="16"/>
      <c r="Q42" s="16"/>
      <c r="R42" s="16"/>
      <c r="S42" s="11">
        <v>21.986353300000001</v>
      </c>
      <c r="T42" s="17"/>
      <c r="U42" s="17"/>
      <c r="V42" s="16"/>
      <c r="W42" s="16"/>
      <c r="X42" s="16"/>
      <c r="Y42" s="17"/>
      <c r="Z42" s="17"/>
      <c r="AA42" s="17"/>
      <c r="AB42" s="17"/>
      <c r="AC42" s="17"/>
      <c r="AD42" s="17"/>
      <c r="AE42" s="16"/>
      <c r="AF42" s="16"/>
      <c r="AG42" s="16"/>
      <c r="AH42" s="16"/>
      <c r="AJ42" s="1">
        <f t="shared" si="25"/>
        <v>0</v>
      </c>
      <c r="AK42" s="1" t="str">
        <f t="shared" si="26"/>
        <v>CO2Captured</v>
      </c>
      <c r="AL42" s="12" t="e">
        <f t="shared" si="27"/>
        <v>#DIV/0!</v>
      </c>
      <c r="AM42" s="12" t="e">
        <f t="shared" si="28"/>
        <v>#DIV/0!</v>
      </c>
      <c r="AN42" s="5" t="e">
        <f t="shared" si="29"/>
        <v>#DIV/0!</v>
      </c>
      <c r="AO42" s="12" t="e">
        <f t="shared" si="30"/>
        <v>#DIV/0!</v>
      </c>
      <c r="AP42" s="12" t="e">
        <f t="shared" si="31"/>
        <v>#DIV/0!</v>
      </c>
      <c r="AQ42" s="5" t="e">
        <f t="shared" si="32"/>
        <v>#DIV/0!</v>
      </c>
      <c r="AR42" s="5" t="e">
        <f t="shared" si="33"/>
        <v>#DIV/0!</v>
      </c>
      <c r="AS42" s="1" t="e">
        <f t="shared" si="34"/>
        <v>#DIV/0!</v>
      </c>
      <c r="AT42" s="1" t="e">
        <f t="shared" si="35"/>
        <v>#DIV/0!</v>
      </c>
      <c r="AU42" s="1" t="e">
        <f t="shared" si="36"/>
        <v>#DIV/0!</v>
      </c>
      <c r="AV42" s="1" t="e">
        <f t="shared" si="37"/>
        <v>#DIV/0!</v>
      </c>
      <c r="AW42" s="1" t="e">
        <f t="shared" si="38"/>
        <v>#DIV/0!</v>
      </c>
      <c r="AX42" s="1" t="e">
        <f t="shared" si="39"/>
        <v>#DIV/0!</v>
      </c>
      <c r="AY42" s="1">
        <f t="shared" si="40"/>
        <v>0</v>
      </c>
      <c r="AZ42" s="1" t="e">
        <f>(N42+O42)*-1*#REF!/F42</f>
        <v>#REF!</v>
      </c>
      <c r="BA42" s="1">
        <f t="shared" si="41"/>
        <v>0</v>
      </c>
      <c r="BB42" s="1">
        <f t="shared" si="42"/>
        <v>0</v>
      </c>
      <c r="BC42" s="1" t="e">
        <f>O42*#REF!*-1/F42</f>
        <v>#REF!</v>
      </c>
      <c r="BD42" s="1">
        <f t="shared" si="43"/>
        <v>0</v>
      </c>
      <c r="BE42" s="1">
        <f t="shared" si="44"/>
        <v>0</v>
      </c>
      <c r="BF42" s="1" t="e">
        <f>(N42+O42)*-1*#REF!/F42</f>
        <v>#REF!</v>
      </c>
      <c r="BG42" s="1">
        <f t="shared" si="45"/>
        <v>0</v>
      </c>
      <c r="BH42" s="1">
        <f t="shared" si="46"/>
        <v>0</v>
      </c>
      <c r="BI42" s="1" t="e">
        <f>#REF!/F42*O42*-1</f>
        <v>#REF!</v>
      </c>
      <c r="BJ42" s="1">
        <f t="shared" si="47"/>
        <v>0</v>
      </c>
      <c r="BL42" s="9"/>
      <c r="BM42" s="10"/>
      <c r="BN42" s="9"/>
      <c r="BP42" s="10"/>
      <c r="BQ42" s="10"/>
      <c r="BR42" s="10"/>
      <c r="BT42" s="10"/>
      <c r="BU42" s="10"/>
      <c r="BV42" s="10"/>
      <c r="BW42" s="10"/>
      <c r="BX42" s="10"/>
      <c r="BY42" s="10"/>
    </row>
    <row r="43" spans="2:77" x14ac:dyDescent="0.2">
      <c r="B43" s="14"/>
      <c r="C43" s="13" t="s">
        <v>72</v>
      </c>
      <c r="D43" s="13"/>
      <c r="E43" s="13"/>
      <c r="F43" s="13"/>
      <c r="G43" s="13"/>
      <c r="H43" s="13"/>
      <c r="I43" s="13"/>
      <c r="J43" s="13"/>
      <c r="K43" s="13"/>
      <c r="L43" s="11">
        <f t="shared" si="24"/>
        <v>0</v>
      </c>
      <c r="N43" s="16"/>
      <c r="O43" s="16"/>
      <c r="P43" s="16"/>
      <c r="Q43" s="16"/>
      <c r="R43" s="16"/>
      <c r="S43" s="11">
        <v>21.986353300000001</v>
      </c>
      <c r="T43" s="17"/>
      <c r="U43" s="17"/>
      <c r="V43" s="16"/>
      <c r="W43" s="16"/>
      <c r="X43" s="16"/>
      <c r="Y43" s="17"/>
      <c r="Z43" s="17"/>
      <c r="AA43" s="17"/>
      <c r="AB43" s="17"/>
      <c r="AC43" s="17"/>
      <c r="AD43" s="17"/>
      <c r="AE43" s="16"/>
      <c r="AF43" s="16"/>
      <c r="AG43" s="16"/>
      <c r="AH43" s="16"/>
      <c r="AJ43" s="1">
        <f t="shared" si="25"/>
        <v>0</v>
      </c>
      <c r="AK43" s="1" t="str">
        <f t="shared" si="26"/>
        <v>CO2Captured</v>
      </c>
      <c r="AL43" s="12" t="e">
        <f t="shared" si="27"/>
        <v>#DIV/0!</v>
      </c>
      <c r="AM43" s="12" t="e">
        <f t="shared" si="28"/>
        <v>#DIV/0!</v>
      </c>
      <c r="AN43" s="5" t="e">
        <f t="shared" si="29"/>
        <v>#DIV/0!</v>
      </c>
      <c r="AO43" s="12" t="e">
        <f t="shared" si="30"/>
        <v>#DIV/0!</v>
      </c>
      <c r="AP43" s="12" t="e">
        <f t="shared" si="31"/>
        <v>#DIV/0!</v>
      </c>
      <c r="AQ43" s="5" t="e">
        <f t="shared" si="32"/>
        <v>#DIV/0!</v>
      </c>
      <c r="AR43" s="5" t="e">
        <f t="shared" si="33"/>
        <v>#DIV/0!</v>
      </c>
      <c r="AS43" s="1" t="e">
        <f t="shared" si="34"/>
        <v>#DIV/0!</v>
      </c>
      <c r="AT43" s="1" t="e">
        <f t="shared" si="35"/>
        <v>#DIV/0!</v>
      </c>
      <c r="AU43" s="1" t="e">
        <f t="shared" si="36"/>
        <v>#DIV/0!</v>
      </c>
      <c r="AV43" s="1" t="e">
        <f t="shared" si="37"/>
        <v>#DIV/0!</v>
      </c>
      <c r="AW43" s="1" t="e">
        <f t="shared" si="38"/>
        <v>#DIV/0!</v>
      </c>
      <c r="AX43" s="1" t="e">
        <f t="shared" si="39"/>
        <v>#DIV/0!</v>
      </c>
      <c r="AY43" s="1">
        <f t="shared" si="40"/>
        <v>0</v>
      </c>
      <c r="AZ43" s="1" t="e">
        <f>(N43+O43)*-1*#REF!/F43</f>
        <v>#REF!</v>
      </c>
      <c r="BA43" s="1">
        <f t="shared" si="41"/>
        <v>0</v>
      </c>
      <c r="BB43" s="1">
        <f t="shared" si="42"/>
        <v>0</v>
      </c>
      <c r="BC43" s="1" t="e">
        <f>O43*#REF!*-1/F43</f>
        <v>#REF!</v>
      </c>
      <c r="BD43" s="1">
        <f t="shared" si="43"/>
        <v>0</v>
      </c>
      <c r="BE43" s="1">
        <f t="shared" si="44"/>
        <v>0</v>
      </c>
      <c r="BF43" s="1" t="e">
        <f>(N43+O43)*-1*#REF!/F43</f>
        <v>#REF!</v>
      </c>
      <c r="BG43" s="1">
        <f t="shared" si="45"/>
        <v>0</v>
      </c>
      <c r="BH43" s="1">
        <f t="shared" si="46"/>
        <v>0</v>
      </c>
      <c r="BI43" s="1" t="e">
        <f>#REF!/F43*O43*-1</f>
        <v>#REF!</v>
      </c>
      <c r="BJ43" s="1">
        <f t="shared" si="47"/>
        <v>0</v>
      </c>
      <c r="BL43" s="9"/>
      <c r="BM43" s="10"/>
      <c r="BN43" s="9"/>
      <c r="BP43" s="10"/>
      <c r="BQ43" s="10"/>
      <c r="BR43" s="10"/>
      <c r="BT43" s="10"/>
      <c r="BU43" s="10"/>
      <c r="BV43" s="10"/>
      <c r="BW43" s="10"/>
      <c r="BX43" s="10"/>
      <c r="BY43" s="10"/>
    </row>
    <row r="44" spans="2:77" x14ac:dyDescent="0.2">
      <c r="B44" s="14"/>
      <c r="C44" s="13" t="s">
        <v>72</v>
      </c>
      <c r="D44" s="13"/>
      <c r="E44" s="13"/>
      <c r="F44" s="13"/>
      <c r="G44" s="13"/>
      <c r="H44" s="13"/>
      <c r="I44" s="13"/>
      <c r="J44" s="13"/>
      <c r="K44" s="13"/>
      <c r="L44" s="11">
        <f t="shared" si="24"/>
        <v>0</v>
      </c>
      <c r="N44" s="16"/>
      <c r="O44" s="16"/>
      <c r="P44" s="16"/>
      <c r="Q44" s="16"/>
      <c r="R44" s="16"/>
      <c r="S44" s="11">
        <v>21.986353300000001</v>
      </c>
      <c r="T44" s="17"/>
      <c r="U44" s="17"/>
      <c r="V44" s="16"/>
      <c r="W44" s="16"/>
      <c r="X44" s="16"/>
      <c r="Y44" s="17"/>
      <c r="Z44" s="17"/>
      <c r="AA44" s="17"/>
      <c r="AB44" s="17"/>
      <c r="AC44" s="17"/>
      <c r="AD44" s="17"/>
      <c r="AE44" s="16"/>
      <c r="AF44" s="16"/>
      <c r="AG44" s="16"/>
      <c r="AH44" s="16"/>
      <c r="AJ44" s="1">
        <f t="shared" si="25"/>
        <v>0</v>
      </c>
      <c r="AK44" s="1" t="str">
        <f t="shared" si="26"/>
        <v>CO2Captured</v>
      </c>
      <c r="AL44" s="12" t="e">
        <f t="shared" si="27"/>
        <v>#DIV/0!</v>
      </c>
      <c r="AM44" s="12" t="e">
        <f t="shared" si="28"/>
        <v>#DIV/0!</v>
      </c>
      <c r="AN44" s="5" t="e">
        <f t="shared" si="29"/>
        <v>#DIV/0!</v>
      </c>
      <c r="AO44" s="12" t="e">
        <f t="shared" si="30"/>
        <v>#DIV/0!</v>
      </c>
      <c r="AP44" s="12" t="e">
        <f t="shared" si="31"/>
        <v>#DIV/0!</v>
      </c>
      <c r="AQ44" s="5" t="e">
        <f t="shared" si="32"/>
        <v>#DIV/0!</v>
      </c>
      <c r="AR44" s="5" t="e">
        <f t="shared" si="33"/>
        <v>#DIV/0!</v>
      </c>
      <c r="AS44" s="1" t="e">
        <f t="shared" si="34"/>
        <v>#DIV/0!</v>
      </c>
      <c r="AT44" s="1" t="e">
        <f t="shared" si="35"/>
        <v>#DIV/0!</v>
      </c>
      <c r="AU44" s="1" t="e">
        <f t="shared" si="36"/>
        <v>#DIV/0!</v>
      </c>
      <c r="AV44" s="1" t="e">
        <f t="shared" si="37"/>
        <v>#DIV/0!</v>
      </c>
      <c r="AW44" s="1" t="e">
        <f t="shared" si="38"/>
        <v>#DIV/0!</v>
      </c>
      <c r="AX44" s="1" t="e">
        <f t="shared" si="39"/>
        <v>#DIV/0!</v>
      </c>
      <c r="AY44" s="1">
        <f t="shared" si="40"/>
        <v>0</v>
      </c>
      <c r="AZ44" s="1" t="e">
        <f>(N44+O44)*-1*#REF!/F44</f>
        <v>#REF!</v>
      </c>
      <c r="BA44" s="1">
        <f t="shared" si="41"/>
        <v>0</v>
      </c>
      <c r="BB44" s="1">
        <f t="shared" si="42"/>
        <v>0</v>
      </c>
      <c r="BC44" s="1" t="e">
        <f>O44*#REF!*-1/F44</f>
        <v>#REF!</v>
      </c>
      <c r="BD44" s="1">
        <f t="shared" si="43"/>
        <v>0</v>
      </c>
      <c r="BE44" s="1">
        <f t="shared" si="44"/>
        <v>0</v>
      </c>
      <c r="BF44" s="1" t="e">
        <f>(N44+O44)*-1*#REF!/F44</f>
        <v>#REF!</v>
      </c>
      <c r="BG44" s="1">
        <f t="shared" si="45"/>
        <v>0</v>
      </c>
      <c r="BH44" s="1">
        <f t="shared" si="46"/>
        <v>0</v>
      </c>
      <c r="BI44" s="1" t="e">
        <f>#REF!/F44*O44*-1</f>
        <v>#REF!</v>
      </c>
      <c r="BJ44" s="1">
        <f t="shared" si="47"/>
        <v>0</v>
      </c>
      <c r="BL44" s="9"/>
      <c r="BM44" s="10"/>
      <c r="BN44" s="9"/>
      <c r="BP44" s="10"/>
      <c r="BQ44" s="10"/>
      <c r="BR44" s="10"/>
      <c r="BT44" s="10"/>
      <c r="BU44" s="10"/>
      <c r="BV44" s="10"/>
      <c r="BW44" s="10"/>
      <c r="BX44" s="10"/>
      <c r="BY44" s="10"/>
    </row>
    <row r="45" spans="2:77" x14ac:dyDescent="0.2">
      <c r="B45" s="14"/>
      <c r="C45" s="13" t="s">
        <v>72</v>
      </c>
      <c r="D45" s="13"/>
      <c r="E45" s="13"/>
      <c r="F45" s="13"/>
      <c r="G45" s="13"/>
      <c r="H45" s="13"/>
      <c r="I45" s="13"/>
      <c r="J45" s="13"/>
      <c r="K45" s="13"/>
      <c r="L45" s="11">
        <f t="shared" si="24"/>
        <v>0</v>
      </c>
      <c r="N45" s="16"/>
      <c r="O45" s="16"/>
      <c r="P45" s="16"/>
      <c r="Q45" s="16"/>
      <c r="R45" s="16"/>
      <c r="S45" s="11">
        <v>21.986353300000001</v>
      </c>
      <c r="T45" s="17"/>
      <c r="U45" s="17"/>
      <c r="V45" s="16"/>
      <c r="W45" s="16"/>
      <c r="X45" s="16"/>
      <c r="Y45" s="17"/>
      <c r="Z45" s="17"/>
      <c r="AA45" s="17"/>
      <c r="AB45" s="17"/>
      <c r="AC45" s="17"/>
      <c r="AD45" s="17"/>
      <c r="AE45" s="16"/>
      <c r="AF45" s="16"/>
      <c r="AG45" s="16"/>
      <c r="AH45" s="16"/>
      <c r="AJ45" s="1">
        <f t="shared" si="25"/>
        <v>0</v>
      </c>
      <c r="AK45" s="1" t="str">
        <f t="shared" si="26"/>
        <v>CO2Captured</v>
      </c>
      <c r="AL45" s="12" t="e">
        <f t="shared" si="27"/>
        <v>#DIV/0!</v>
      </c>
      <c r="AM45" s="12" t="e">
        <f t="shared" si="28"/>
        <v>#DIV/0!</v>
      </c>
      <c r="AN45" s="5" t="e">
        <f t="shared" si="29"/>
        <v>#DIV/0!</v>
      </c>
      <c r="AO45" s="12" t="e">
        <f t="shared" si="30"/>
        <v>#DIV/0!</v>
      </c>
      <c r="AP45" s="12" t="e">
        <f t="shared" si="31"/>
        <v>#DIV/0!</v>
      </c>
      <c r="AQ45" s="5" t="e">
        <f t="shared" si="32"/>
        <v>#DIV/0!</v>
      </c>
      <c r="AR45" s="5" t="e">
        <f t="shared" si="33"/>
        <v>#DIV/0!</v>
      </c>
      <c r="AS45" s="1" t="e">
        <f t="shared" si="34"/>
        <v>#DIV/0!</v>
      </c>
      <c r="AT45" s="1" t="e">
        <f t="shared" si="35"/>
        <v>#DIV/0!</v>
      </c>
      <c r="AU45" s="1" t="e">
        <f t="shared" si="36"/>
        <v>#DIV/0!</v>
      </c>
      <c r="AV45" s="1" t="e">
        <f t="shared" si="37"/>
        <v>#DIV/0!</v>
      </c>
      <c r="AW45" s="1" t="e">
        <f t="shared" si="38"/>
        <v>#DIV/0!</v>
      </c>
      <c r="AX45" s="1" t="e">
        <f t="shared" si="39"/>
        <v>#DIV/0!</v>
      </c>
      <c r="AY45" s="1">
        <f t="shared" si="40"/>
        <v>0</v>
      </c>
      <c r="AZ45" s="1" t="e">
        <f>(N45+O45)*-1*#REF!/F45</f>
        <v>#REF!</v>
      </c>
      <c r="BA45" s="1">
        <f t="shared" si="41"/>
        <v>0</v>
      </c>
      <c r="BB45" s="1">
        <f t="shared" si="42"/>
        <v>0</v>
      </c>
      <c r="BC45" s="1" t="e">
        <f>O45*#REF!*-1/F45</f>
        <v>#REF!</v>
      </c>
      <c r="BD45" s="1">
        <f t="shared" si="43"/>
        <v>0</v>
      </c>
      <c r="BE45" s="1">
        <f t="shared" si="44"/>
        <v>0</v>
      </c>
      <c r="BF45" s="1" t="e">
        <f>(N45+O45)*-1*#REF!/F45</f>
        <v>#REF!</v>
      </c>
      <c r="BG45" s="1">
        <f t="shared" si="45"/>
        <v>0</v>
      </c>
      <c r="BH45" s="1">
        <f t="shared" si="46"/>
        <v>0</v>
      </c>
      <c r="BI45" s="1" t="e">
        <f>#REF!/F45*O45*-1</f>
        <v>#REF!</v>
      </c>
      <c r="BJ45" s="1">
        <f t="shared" si="47"/>
        <v>0</v>
      </c>
      <c r="BL45" s="9"/>
      <c r="BM45" s="10"/>
      <c r="BN45" s="9"/>
      <c r="BP45" s="10"/>
      <c r="BQ45" s="10"/>
      <c r="BR45" s="10"/>
      <c r="BT45" s="10"/>
      <c r="BU45" s="10"/>
      <c r="BV45" s="10"/>
      <c r="BW45" s="10"/>
      <c r="BX45" s="10"/>
      <c r="BY45" s="10"/>
    </row>
    <row r="46" spans="2:77" x14ac:dyDescent="0.2">
      <c r="B46" s="14"/>
      <c r="C46" s="13" t="s">
        <v>72</v>
      </c>
      <c r="D46" s="13"/>
      <c r="E46" s="13"/>
      <c r="F46" s="13"/>
      <c r="G46" s="13"/>
      <c r="H46" s="13"/>
      <c r="I46" s="13"/>
      <c r="J46" s="13"/>
      <c r="K46" s="13"/>
      <c r="L46" s="11">
        <f t="shared" si="24"/>
        <v>0</v>
      </c>
      <c r="N46" s="16"/>
      <c r="O46" s="16"/>
      <c r="P46" s="16"/>
      <c r="Q46" s="16"/>
      <c r="R46" s="16"/>
      <c r="S46" s="11">
        <v>21.986353300000001</v>
      </c>
      <c r="T46" s="17"/>
      <c r="U46" s="17"/>
      <c r="V46" s="16"/>
      <c r="W46" s="16"/>
      <c r="X46" s="16"/>
      <c r="Y46" s="17"/>
      <c r="Z46" s="17"/>
      <c r="AA46" s="17"/>
      <c r="AB46" s="17"/>
      <c r="AC46" s="17"/>
      <c r="AD46" s="17"/>
      <c r="AE46" s="16"/>
      <c r="AF46" s="16"/>
      <c r="AG46" s="16"/>
      <c r="AH46" s="16"/>
      <c r="AJ46" s="1">
        <f t="shared" si="25"/>
        <v>0</v>
      </c>
      <c r="AK46" s="1" t="str">
        <f t="shared" si="26"/>
        <v>CO2Captured</v>
      </c>
      <c r="AL46" s="12" t="e">
        <f t="shared" si="27"/>
        <v>#DIV/0!</v>
      </c>
      <c r="AM46" s="12" t="e">
        <f t="shared" si="28"/>
        <v>#DIV/0!</v>
      </c>
      <c r="AN46" s="5" t="e">
        <f t="shared" si="29"/>
        <v>#DIV/0!</v>
      </c>
      <c r="AO46" s="12" t="e">
        <f t="shared" si="30"/>
        <v>#DIV/0!</v>
      </c>
      <c r="AP46" s="12" t="e">
        <f t="shared" si="31"/>
        <v>#DIV/0!</v>
      </c>
      <c r="AQ46" s="5" t="e">
        <f t="shared" si="32"/>
        <v>#DIV/0!</v>
      </c>
      <c r="AR46" s="5" t="e">
        <f t="shared" si="33"/>
        <v>#DIV/0!</v>
      </c>
      <c r="AS46" s="1" t="e">
        <f t="shared" si="34"/>
        <v>#DIV/0!</v>
      </c>
      <c r="AT46" s="1" t="e">
        <f t="shared" si="35"/>
        <v>#DIV/0!</v>
      </c>
      <c r="AU46" s="1" t="e">
        <f t="shared" si="36"/>
        <v>#DIV/0!</v>
      </c>
      <c r="AV46" s="1" t="e">
        <f t="shared" si="37"/>
        <v>#DIV/0!</v>
      </c>
      <c r="AW46" s="1" t="e">
        <f t="shared" si="38"/>
        <v>#DIV/0!</v>
      </c>
      <c r="AX46" s="1" t="e">
        <f t="shared" si="39"/>
        <v>#DIV/0!</v>
      </c>
      <c r="AY46" s="1">
        <f t="shared" si="40"/>
        <v>0</v>
      </c>
      <c r="AZ46" s="1" t="e">
        <f>(N46+O46)*-1*#REF!/F46</f>
        <v>#REF!</v>
      </c>
      <c r="BA46" s="1">
        <f t="shared" si="41"/>
        <v>0</v>
      </c>
      <c r="BB46" s="1">
        <f t="shared" si="42"/>
        <v>0</v>
      </c>
      <c r="BC46" s="1" t="e">
        <f>O46*#REF!*-1/F46</f>
        <v>#REF!</v>
      </c>
      <c r="BD46" s="1">
        <f t="shared" si="43"/>
        <v>0</v>
      </c>
      <c r="BE46" s="1">
        <f t="shared" si="44"/>
        <v>0</v>
      </c>
      <c r="BF46" s="1" t="e">
        <f>(N46+O46)*-1*#REF!/F46</f>
        <v>#REF!</v>
      </c>
      <c r="BG46" s="1">
        <f t="shared" si="45"/>
        <v>0</v>
      </c>
      <c r="BH46" s="1">
        <f t="shared" si="46"/>
        <v>0</v>
      </c>
      <c r="BI46" s="1" t="e">
        <f>#REF!/F46*O46*-1</f>
        <v>#REF!</v>
      </c>
      <c r="BJ46" s="1">
        <f t="shared" si="47"/>
        <v>0</v>
      </c>
      <c r="BL46" s="9"/>
      <c r="BM46" s="10"/>
      <c r="BN46" s="9"/>
      <c r="BP46" s="10"/>
      <c r="BQ46" s="10"/>
      <c r="BR46" s="10"/>
      <c r="BT46" s="10"/>
      <c r="BU46" s="10"/>
      <c r="BV46" s="10"/>
      <c r="BW46" s="10"/>
      <c r="BX46" s="10"/>
      <c r="BY46" s="10"/>
    </row>
    <row r="47" spans="2:77" x14ac:dyDescent="0.2">
      <c r="B47" s="14"/>
      <c r="C47" s="13" t="s">
        <v>72</v>
      </c>
      <c r="D47" s="13"/>
      <c r="E47" s="13"/>
      <c r="F47" s="13"/>
      <c r="G47" s="13"/>
      <c r="H47" s="13"/>
      <c r="I47" s="13"/>
      <c r="J47" s="13"/>
      <c r="K47" s="13"/>
      <c r="L47" s="11">
        <f t="shared" si="24"/>
        <v>0</v>
      </c>
      <c r="N47" s="16"/>
      <c r="O47" s="16"/>
      <c r="P47" s="16"/>
      <c r="Q47" s="16"/>
      <c r="R47" s="16"/>
      <c r="S47" s="11">
        <v>21.986353300000001</v>
      </c>
      <c r="T47" s="17"/>
      <c r="U47" s="17"/>
      <c r="V47" s="16"/>
      <c r="W47" s="16"/>
      <c r="X47" s="16"/>
      <c r="Y47" s="17"/>
      <c r="Z47" s="17"/>
      <c r="AA47" s="17"/>
      <c r="AB47" s="17"/>
      <c r="AC47" s="17"/>
      <c r="AD47" s="17"/>
      <c r="AE47" s="16"/>
      <c r="AF47" s="16"/>
      <c r="AG47" s="16"/>
      <c r="AH47" s="16"/>
      <c r="AJ47" s="1">
        <f t="shared" si="25"/>
        <v>0</v>
      </c>
      <c r="AK47" s="1" t="str">
        <f t="shared" si="26"/>
        <v>CO2Captured</v>
      </c>
      <c r="AL47" s="12" t="e">
        <f t="shared" si="27"/>
        <v>#DIV/0!</v>
      </c>
      <c r="AM47" s="12" t="e">
        <f t="shared" si="28"/>
        <v>#DIV/0!</v>
      </c>
      <c r="AN47" s="5" t="e">
        <f t="shared" si="29"/>
        <v>#DIV/0!</v>
      </c>
      <c r="AO47" s="12" t="e">
        <f t="shared" si="30"/>
        <v>#DIV/0!</v>
      </c>
      <c r="AP47" s="12" t="e">
        <f t="shared" si="31"/>
        <v>#DIV/0!</v>
      </c>
      <c r="AQ47" s="5" t="e">
        <f t="shared" si="32"/>
        <v>#DIV/0!</v>
      </c>
      <c r="AR47" s="5" t="e">
        <f t="shared" si="33"/>
        <v>#DIV/0!</v>
      </c>
      <c r="AS47" s="1" t="e">
        <f t="shared" si="34"/>
        <v>#DIV/0!</v>
      </c>
      <c r="AT47" s="1" t="e">
        <f t="shared" si="35"/>
        <v>#DIV/0!</v>
      </c>
      <c r="AU47" s="1" t="e">
        <f t="shared" si="36"/>
        <v>#DIV/0!</v>
      </c>
      <c r="AV47" s="1" t="e">
        <f t="shared" si="37"/>
        <v>#DIV/0!</v>
      </c>
      <c r="AW47" s="1" t="e">
        <f t="shared" si="38"/>
        <v>#DIV/0!</v>
      </c>
      <c r="AX47" s="1" t="e">
        <f t="shared" si="39"/>
        <v>#DIV/0!</v>
      </c>
      <c r="AY47" s="1">
        <f t="shared" si="40"/>
        <v>0</v>
      </c>
      <c r="AZ47" s="1" t="e">
        <f>(N47+O47)*-1*#REF!/F47</f>
        <v>#REF!</v>
      </c>
      <c r="BA47" s="1">
        <f t="shared" si="41"/>
        <v>0</v>
      </c>
      <c r="BB47" s="1">
        <f t="shared" si="42"/>
        <v>0</v>
      </c>
      <c r="BC47" s="1" t="e">
        <f>O47*#REF!*-1/F47</f>
        <v>#REF!</v>
      </c>
      <c r="BD47" s="1">
        <f t="shared" si="43"/>
        <v>0</v>
      </c>
      <c r="BE47" s="1">
        <f t="shared" si="44"/>
        <v>0</v>
      </c>
      <c r="BF47" s="1" t="e">
        <f>(N47+O47)*-1*#REF!/F47</f>
        <v>#REF!</v>
      </c>
      <c r="BG47" s="1">
        <f t="shared" si="45"/>
        <v>0</v>
      </c>
      <c r="BH47" s="1">
        <f t="shared" si="46"/>
        <v>0</v>
      </c>
      <c r="BI47" s="1" t="e">
        <f>#REF!/F47*O47*-1</f>
        <v>#REF!</v>
      </c>
      <c r="BJ47" s="1">
        <f t="shared" si="47"/>
        <v>0</v>
      </c>
      <c r="BL47" s="9"/>
      <c r="BM47" s="10"/>
      <c r="BN47" s="9"/>
      <c r="BP47" s="10"/>
      <c r="BQ47" s="10"/>
      <c r="BR47" s="10"/>
      <c r="BT47" s="10"/>
      <c r="BU47" s="10"/>
      <c r="BV47" s="10"/>
      <c r="BW47" s="10"/>
      <c r="BX47" s="10"/>
      <c r="BY47" s="10"/>
    </row>
    <row r="48" spans="2:77" x14ac:dyDescent="0.2">
      <c r="B48" s="14"/>
      <c r="C48" s="13" t="s">
        <v>72</v>
      </c>
      <c r="D48" s="13"/>
      <c r="E48" s="13"/>
      <c r="F48" s="13"/>
      <c r="G48" s="13"/>
      <c r="H48" s="13"/>
      <c r="I48" s="13"/>
      <c r="J48" s="13"/>
      <c r="K48" s="13"/>
      <c r="L48" s="11">
        <f t="shared" si="24"/>
        <v>0</v>
      </c>
      <c r="N48" s="16"/>
      <c r="O48" s="16"/>
      <c r="P48" s="16"/>
      <c r="Q48" s="16"/>
      <c r="R48" s="16"/>
      <c r="S48" s="11">
        <v>21.986353300000001</v>
      </c>
      <c r="T48" s="17"/>
      <c r="U48" s="17"/>
      <c r="V48" s="16"/>
      <c r="W48" s="16"/>
      <c r="X48" s="16"/>
      <c r="Y48" s="17"/>
      <c r="Z48" s="17"/>
      <c r="AA48" s="17"/>
      <c r="AB48" s="17"/>
      <c r="AC48" s="17"/>
      <c r="AD48" s="17"/>
      <c r="AE48" s="16"/>
      <c r="AF48" s="16"/>
      <c r="AG48" s="16"/>
      <c r="AH48" s="16"/>
      <c r="AJ48" s="1">
        <f t="shared" si="25"/>
        <v>0</v>
      </c>
      <c r="AK48" s="1" t="str">
        <f t="shared" si="26"/>
        <v>CO2Captured</v>
      </c>
      <c r="AL48" s="12" t="e">
        <f t="shared" si="27"/>
        <v>#DIV/0!</v>
      </c>
      <c r="AM48" s="12" t="e">
        <f t="shared" si="28"/>
        <v>#DIV/0!</v>
      </c>
      <c r="AN48" s="5" t="e">
        <f t="shared" si="29"/>
        <v>#DIV/0!</v>
      </c>
      <c r="AO48" s="12" t="e">
        <f t="shared" si="30"/>
        <v>#DIV/0!</v>
      </c>
      <c r="AP48" s="12" t="e">
        <f t="shared" si="31"/>
        <v>#DIV/0!</v>
      </c>
      <c r="AQ48" s="5" t="e">
        <f t="shared" si="32"/>
        <v>#DIV/0!</v>
      </c>
      <c r="AR48" s="5" t="e">
        <f t="shared" si="33"/>
        <v>#DIV/0!</v>
      </c>
      <c r="AS48" s="1" t="e">
        <f t="shared" si="34"/>
        <v>#DIV/0!</v>
      </c>
      <c r="AT48" s="1" t="e">
        <f t="shared" si="35"/>
        <v>#DIV/0!</v>
      </c>
      <c r="AU48" s="1" t="e">
        <f t="shared" si="36"/>
        <v>#DIV/0!</v>
      </c>
      <c r="AV48" s="1" t="e">
        <f t="shared" si="37"/>
        <v>#DIV/0!</v>
      </c>
      <c r="AW48" s="1" t="e">
        <f t="shared" si="38"/>
        <v>#DIV/0!</v>
      </c>
      <c r="AX48" s="1" t="e">
        <f t="shared" si="39"/>
        <v>#DIV/0!</v>
      </c>
      <c r="AY48" s="1">
        <f t="shared" si="40"/>
        <v>0</v>
      </c>
      <c r="AZ48" s="1" t="e">
        <f>(N48+O48)*-1*#REF!/F48</f>
        <v>#REF!</v>
      </c>
      <c r="BA48" s="1">
        <f t="shared" si="41"/>
        <v>0</v>
      </c>
      <c r="BB48" s="1">
        <f t="shared" si="42"/>
        <v>0</v>
      </c>
      <c r="BC48" s="1" t="e">
        <f>O48*#REF!*-1/F48</f>
        <v>#REF!</v>
      </c>
      <c r="BD48" s="1">
        <f t="shared" si="43"/>
        <v>0</v>
      </c>
      <c r="BE48" s="1">
        <f t="shared" si="44"/>
        <v>0</v>
      </c>
      <c r="BF48" s="1" t="e">
        <f>(N48+O48)*-1*#REF!/F48</f>
        <v>#REF!</v>
      </c>
      <c r="BG48" s="1">
        <f t="shared" si="45"/>
        <v>0</v>
      </c>
      <c r="BH48" s="1">
        <f t="shared" si="46"/>
        <v>0</v>
      </c>
      <c r="BI48" s="1" t="e">
        <f>#REF!/F48*O48*-1</f>
        <v>#REF!</v>
      </c>
      <c r="BJ48" s="1">
        <f t="shared" si="47"/>
        <v>0</v>
      </c>
      <c r="BL48" s="9"/>
      <c r="BM48" s="10"/>
      <c r="BN48" s="9"/>
      <c r="BP48" s="10"/>
      <c r="BQ48" s="10"/>
      <c r="BR48" s="10"/>
      <c r="BT48" s="10"/>
      <c r="BU48" s="10"/>
      <c r="BV48" s="10"/>
      <c r="BW48" s="10"/>
      <c r="BX48" s="10"/>
      <c r="BY48" s="10"/>
    </row>
    <row r="49" spans="2:77" x14ac:dyDescent="0.2">
      <c r="B49" s="14"/>
      <c r="C49" s="13" t="s">
        <v>72</v>
      </c>
      <c r="D49" s="13"/>
      <c r="E49" s="13"/>
      <c r="F49" s="13"/>
      <c r="G49" s="13"/>
      <c r="H49" s="13"/>
      <c r="I49" s="13"/>
      <c r="J49" s="13"/>
      <c r="K49" s="13"/>
      <c r="L49" s="11">
        <f t="shared" si="24"/>
        <v>0</v>
      </c>
      <c r="N49" s="16"/>
      <c r="O49" s="16"/>
      <c r="P49" s="16"/>
      <c r="Q49" s="16"/>
      <c r="R49" s="16"/>
      <c r="S49" s="11">
        <v>21.986353300000001</v>
      </c>
      <c r="T49" s="17"/>
      <c r="U49" s="17"/>
      <c r="V49" s="16"/>
      <c r="W49" s="16"/>
      <c r="X49" s="16"/>
      <c r="Y49" s="17"/>
      <c r="Z49" s="17"/>
      <c r="AA49" s="17"/>
      <c r="AB49" s="17"/>
      <c r="AC49" s="17"/>
      <c r="AD49" s="17"/>
      <c r="AE49" s="16"/>
      <c r="AF49" s="16"/>
      <c r="AG49" s="16"/>
      <c r="AH49" s="16"/>
      <c r="AJ49" s="1">
        <f t="shared" si="25"/>
        <v>0</v>
      </c>
      <c r="AK49" s="1" t="str">
        <f t="shared" si="26"/>
        <v>CO2Captured</v>
      </c>
      <c r="AL49" s="12" t="e">
        <f t="shared" si="27"/>
        <v>#DIV/0!</v>
      </c>
      <c r="AM49" s="12" t="e">
        <f t="shared" si="28"/>
        <v>#DIV/0!</v>
      </c>
      <c r="AN49" s="5" t="e">
        <f t="shared" si="29"/>
        <v>#DIV/0!</v>
      </c>
      <c r="AO49" s="12" t="e">
        <f t="shared" si="30"/>
        <v>#DIV/0!</v>
      </c>
      <c r="AP49" s="12" t="e">
        <f t="shared" si="31"/>
        <v>#DIV/0!</v>
      </c>
      <c r="AQ49" s="5" t="e">
        <f t="shared" si="32"/>
        <v>#DIV/0!</v>
      </c>
      <c r="AR49" s="5" t="e">
        <f t="shared" si="33"/>
        <v>#DIV/0!</v>
      </c>
      <c r="AS49" s="1" t="e">
        <f t="shared" si="34"/>
        <v>#DIV/0!</v>
      </c>
      <c r="AT49" s="1" t="e">
        <f t="shared" si="35"/>
        <v>#DIV/0!</v>
      </c>
      <c r="AU49" s="1" t="e">
        <f t="shared" si="36"/>
        <v>#DIV/0!</v>
      </c>
      <c r="AV49" s="1" t="e">
        <f t="shared" si="37"/>
        <v>#DIV/0!</v>
      </c>
      <c r="AW49" s="1" t="e">
        <f t="shared" si="38"/>
        <v>#DIV/0!</v>
      </c>
      <c r="AX49" s="1" t="e">
        <f t="shared" si="39"/>
        <v>#DIV/0!</v>
      </c>
      <c r="AY49" s="1">
        <f t="shared" si="40"/>
        <v>0</v>
      </c>
      <c r="AZ49" s="1" t="e">
        <f>(N49+O49)*-1*#REF!/F49</f>
        <v>#REF!</v>
      </c>
      <c r="BA49" s="1">
        <f t="shared" si="41"/>
        <v>0</v>
      </c>
      <c r="BB49" s="1">
        <f t="shared" si="42"/>
        <v>0</v>
      </c>
      <c r="BC49" s="1" t="e">
        <f>O49*#REF!*-1/F49</f>
        <v>#REF!</v>
      </c>
      <c r="BD49" s="1">
        <f t="shared" si="43"/>
        <v>0</v>
      </c>
      <c r="BE49" s="1">
        <f t="shared" si="44"/>
        <v>0</v>
      </c>
      <c r="BF49" s="1" t="e">
        <f>(N49+O49)*-1*#REF!/F49</f>
        <v>#REF!</v>
      </c>
      <c r="BG49" s="1">
        <f t="shared" si="45"/>
        <v>0</v>
      </c>
      <c r="BH49" s="1">
        <f t="shared" si="46"/>
        <v>0</v>
      </c>
      <c r="BI49" s="1" t="e">
        <f>#REF!/F49*O49*-1</f>
        <v>#REF!</v>
      </c>
      <c r="BJ49" s="1">
        <f t="shared" si="47"/>
        <v>0</v>
      </c>
      <c r="BL49" s="9"/>
      <c r="BM49" s="10"/>
      <c r="BN49" s="9"/>
      <c r="BP49" s="10"/>
      <c r="BQ49" s="10"/>
      <c r="BR49" s="10"/>
      <c r="BT49" s="10"/>
      <c r="BU49" s="10"/>
      <c r="BV49" s="10"/>
      <c r="BW49" s="10"/>
      <c r="BX49" s="10"/>
      <c r="BY49" s="10"/>
    </row>
    <row r="50" spans="2:77" x14ac:dyDescent="0.2">
      <c r="B50" s="14"/>
      <c r="C50" s="13" t="s">
        <v>72</v>
      </c>
      <c r="D50" s="13"/>
      <c r="E50" s="13"/>
      <c r="F50" s="13"/>
      <c r="G50" s="13"/>
      <c r="H50" s="13"/>
      <c r="I50" s="13"/>
      <c r="J50" s="13"/>
      <c r="K50" s="13"/>
      <c r="L50" s="11">
        <f t="shared" si="24"/>
        <v>0</v>
      </c>
      <c r="N50" s="16"/>
      <c r="O50" s="16"/>
      <c r="P50" s="16"/>
      <c r="Q50" s="16"/>
      <c r="R50" s="16"/>
      <c r="S50" s="11">
        <v>21.986353300000001</v>
      </c>
      <c r="T50" s="17"/>
      <c r="U50" s="17"/>
      <c r="V50" s="16"/>
      <c r="W50" s="16"/>
      <c r="X50" s="16"/>
      <c r="Y50" s="17"/>
      <c r="Z50" s="17"/>
      <c r="AA50" s="17"/>
      <c r="AB50" s="17"/>
      <c r="AC50" s="17"/>
      <c r="AD50" s="17"/>
      <c r="AE50" s="16"/>
      <c r="AF50" s="16"/>
      <c r="AG50" s="16"/>
      <c r="AH50" s="16"/>
      <c r="AJ50" s="1">
        <f t="shared" si="25"/>
        <v>0</v>
      </c>
      <c r="AK50" s="1" t="str">
        <f t="shared" si="26"/>
        <v>CO2Captured</v>
      </c>
      <c r="AL50" s="12" t="e">
        <f t="shared" si="27"/>
        <v>#DIV/0!</v>
      </c>
      <c r="AM50" s="12" t="e">
        <f t="shared" si="28"/>
        <v>#DIV/0!</v>
      </c>
      <c r="AN50" s="5" t="e">
        <f t="shared" si="29"/>
        <v>#DIV/0!</v>
      </c>
      <c r="AO50" s="12" t="e">
        <f t="shared" si="30"/>
        <v>#DIV/0!</v>
      </c>
      <c r="AP50" s="12" t="e">
        <f t="shared" si="31"/>
        <v>#DIV/0!</v>
      </c>
      <c r="AQ50" s="5" t="e">
        <f t="shared" si="32"/>
        <v>#DIV/0!</v>
      </c>
      <c r="AR50" s="5" t="e">
        <f t="shared" si="33"/>
        <v>#DIV/0!</v>
      </c>
      <c r="AS50" s="1" t="e">
        <f t="shared" si="34"/>
        <v>#DIV/0!</v>
      </c>
      <c r="AT50" s="1" t="e">
        <f t="shared" si="35"/>
        <v>#DIV/0!</v>
      </c>
      <c r="AU50" s="1" t="e">
        <f t="shared" si="36"/>
        <v>#DIV/0!</v>
      </c>
      <c r="AV50" s="1" t="e">
        <f t="shared" si="37"/>
        <v>#DIV/0!</v>
      </c>
      <c r="AW50" s="1" t="e">
        <f t="shared" si="38"/>
        <v>#DIV/0!</v>
      </c>
      <c r="AX50" s="1" t="e">
        <f t="shared" si="39"/>
        <v>#DIV/0!</v>
      </c>
      <c r="AY50" s="1">
        <f t="shared" si="40"/>
        <v>0</v>
      </c>
      <c r="AZ50" s="1" t="e">
        <f>(N50+O50)*-1*#REF!/F50</f>
        <v>#REF!</v>
      </c>
      <c r="BA50" s="1">
        <f t="shared" si="41"/>
        <v>0</v>
      </c>
      <c r="BB50" s="1">
        <f t="shared" si="42"/>
        <v>0</v>
      </c>
      <c r="BC50" s="1" t="e">
        <f>O50*#REF!*-1/F50</f>
        <v>#REF!</v>
      </c>
      <c r="BD50" s="1">
        <f t="shared" si="43"/>
        <v>0</v>
      </c>
      <c r="BE50" s="1">
        <f t="shared" si="44"/>
        <v>0</v>
      </c>
      <c r="BF50" s="1" t="e">
        <f>(N50+O50)*-1*#REF!/F50</f>
        <v>#REF!</v>
      </c>
      <c r="BG50" s="1">
        <f t="shared" si="45"/>
        <v>0</v>
      </c>
      <c r="BH50" s="1">
        <f t="shared" si="46"/>
        <v>0</v>
      </c>
      <c r="BI50" s="1" t="e">
        <f>#REF!/F50*O50*-1</f>
        <v>#REF!</v>
      </c>
      <c r="BJ50" s="1">
        <f t="shared" si="47"/>
        <v>0</v>
      </c>
      <c r="BL50" s="9"/>
      <c r="BM50" s="10"/>
      <c r="BN50" s="9"/>
      <c r="BP50" s="10"/>
      <c r="BQ50" s="10"/>
      <c r="BR50" s="10"/>
      <c r="BT50" s="10"/>
      <c r="BU50" s="10"/>
      <c r="BV50" s="10"/>
      <c r="BW50" s="10"/>
      <c r="BX50" s="10"/>
      <c r="BY50" s="10"/>
    </row>
    <row r="51" spans="2:77" x14ac:dyDescent="0.2">
      <c r="B51" s="14"/>
      <c r="C51" s="13" t="s">
        <v>72</v>
      </c>
      <c r="D51" s="13"/>
      <c r="E51" s="13"/>
      <c r="F51" s="13"/>
      <c r="G51" s="13"/>
      <c r="H51" s="13"/>
      <c r="I51" s="13"/>
      <c r="J51" s="13"/>
      <c r="K51" s="13"/>
      <c r="L51" s="11">
        <f t="shared" si="24"/>
        <v>0</v>
      </c>
      <c r="N51" s="16"/>
      <c r="O51" s="16"/>
      <c r="P51" s="16"/>
      <c r="Q51" s="16"/>
      <c r="R51" s="16"/>
      <c r="S51" s="11">
        <v>21.986353300000001</v>
      </c>
      <c r="T51" s="17"/>
      <c r="U51" s="17"/>
      <c r="V51" s="16"/>
      <c r="W51" s="16"/>
      <c r="X51" s="16"/>
      <c r="Y51" s="17"/>
      <c r="Z51" s="17"/>
      <c r="AA51" s="17"/>
      <c r="AB51" s="17"/>
      <c r="AC51" s="17"/>
      <c r="AD51" s="17"/>
      <c r="AE51" s="16"/>
      <c r="AF51" s="16"/>
      <c r="AG51" s="16"/>
      <c r="AH51" s="16"/>
      <c r="AJ51" s="1">
        <f t="shared" si="25"/>
        <v>0</v>
      </c>
      <c r="AK51" s="1" t="str">
        <f t="shared" si="26"/>
        <v>CO2Captured</v>
      </c>
      <c r="AL51" s="12" t="e">
        <f t="shared" si="27"/>
        <v>#DIV/0!</v>
      </c>
      <c r="AM51" s="12" t="e">
        <f t="shared" si="28"/>
        <v>#DIV/0!</v>
      </c>
      <c r="AN51" s="5" t="e">
        <f t="shared" si="29"/>
        <v>#DIV/0!</v>
      </c>
      <c r="AO51" s="12" t="e">
        <f t="shared" si="30"/>
        <v>#DIV/0!</v>
      </c>
      <c r="AP51" s="12" t="e">
        <f t="shared" si="31"/>
        <v>#DIV/0!</v>
      </c>
      <c r="AQ51" s="5" t="e">
        <f t="shared" si="32"/>
        <v>#DIV/0!</v>
      </c>
      <c r="AR51" s="5" t="e">
        <f t="shared" si="33"/>
        <v>#DIV/0!</v>
      </c>
      <c r="AS51" s="1" t="e">
        <f t="shared" si="34"/>
        <v>#DIV/0!</v>
      </c>
      <c r="AT51" s="1" t="e">
        <f t="shared" si="35"/>
        <v>#DIV/0!</v>
      </c>
      <c r="AU51" s="1" t="e">
        <f t="shared" si="36"/>
        <v>#DIV/0!</v>
      </c>
      <c r="AV51" s="1" t="e">
        <f t="shared" si="37"/>
        <v>#DIV/0!</v>
      </c>
      <c r="AW51" s="1" t="e">
        <f t="shared" si="38"/>
        <v>#DIV/0!</v>
      </c>
      <c r="AX51" s="1" t="e">
        <f t="shared" si="39"/>
        <v>#DIV/0!</v>
      </c>
      <c r="AY51" s="1">
        <f t="shared" si="40"/>
        <v>0</v>
      </c>
      <c r="AZ51" s="1" t="e">
        <f>(N51+O51)*-1*#REF!/F51</f>
        <v>#REF!</v>
      </c>
      <c r="BA51" s="1">
        <f t="shared" si="41"/>
        <v>0</v>
      </c>
      <c r="BB51" s="1">
        <f t="shared" si="42"/>
        <v>0</v>
      </c>
      <c r="BC51" s="1" t="e">
        <f>O51*#REF!*-1/F51</f>
        <v>#REF!</v>
      </c>
      <c r="BD51" s="1">
        <f t="shared" si="43"/>
        <v>0</v>
      </c>
      <c r="BE51" s="1">
        <f t="shared" si="44"/>
        <v>0</v>
      </c>
      <c r="BF51" s="1" t="e">
        <f>(N51+O51)*-1*#REF!/F51</f>
        <v>#REF!</v>
      </c>
      <c r="BG51" s="1">
        <f t="shared" si="45"/>
        <v>0</v>
      </c>
      <c r="BH51" s="1">
        <f t="shared" si="46"/>
        <v>0</v>
      </c>
      <c r="BI51" s="1" t="e">
        <f>#REF!/F51*O51*-1</f>
        <v>#REF!</v>
      </c>
      <c r="BJ51" s="1">
        <f t="shared" si="47"/>
        <v>0</v>
      </c>
      <c r="BL51" s="9"/>
      <c r="BM51" s="10"/>
      <c r="BN51" s="9"/>
      <c r="BP51" s="10"/>
      <c r="BQ51" s="10"/>
      <c r="BR51" s="10"/>
      <c r="BT51" s="10"/>
      <c r="BU51" s="10"/>
      <c r="BV51" s="10"/>
      <c r="BW51" s="10"/>
      <c r="BX51" s="10"/>
      <c r="BY51" s="10"/>
    </row>
    <row r="52" spans="2:77" x14ac:dyDescent="0.2">
      <c r="B52" s="14"/>
      <c r="C52" s="13" t="s">
        <v>72</v>
      </c>
      <c r="D52" s="13"/>
      <c r="E52" s="13"/>
      <c r="F52" s="13"/>
      <c r="G52" s="13"/>
      <c r="H52" s="13"/>
      <c r="I52" s="13"/>
      <c r="J52" s="13"/>
      <c r="K52" s="13"/>
      <c r="L52" s="11">
        <f t="shared" si="24"/>
        <v>0</v>
      </c>
      <c r="N52" s="16"/>
      <c r="O52" s="16"/>
      <c r="P52" s="16"/>
      <c r="Q52" s="16"/>
      <c r="R52" s="16"/>
      <c r="S52" s="11">
        <v>21.986353300000001</v>
      </c>
      <c r="T52" s="17"/>
      <c r="U52" s="17"/>
      <c r="V52" s="16"/>
      <c r="W52" s="16"/>
      <c r="X52" s="16"/>
      <c r="Y52" s="17"/>
      <c r="Z52" s="17"/>
      <c r="AA52" s="17"/>
      <c r="AB52" s="17"/>
      <c r="AC52" s="17"/>
      <c r="AD52" s="17"/>
      <c r="AE52" s="16"/>
      <c r="AF52" s="16"/>
      <c r="AG52" s="16"/>
      <c r="AH52" s="16"/>
      <c r="AJ52" s="1">
        <f t="shared" si="25"/>
        <v>0</v>
      </c>
      <c r="AK52" s="1" t="str">
        <f t="shared" si="26"/>
        <v>CO2Captured</v>
      </c>
      <c r="AL52" s="12" t="e">
        <f t="shared" si="27"/>
        <v>#DIV/0!</v>
      </c>
      <c r="AM52" s="12" t="e">
        <f t="shared" si="28"/>
        <v>#DIV/0!</v>
      </c>
      <c r="AN52" s="5" t="e">
        <f t="shared" si="29"/>
        <v>#DIV/0!</v>
      </c>
      <c r="AO52" s="12" t="e">
        <f t="shared" si="30"/>
        <v>#DIV/0!</v>
      </c>
      <c r="AP52" s="12" t="e">
        <f t="shared" si="31"/>
        <v>#DIV/0!</v>
      </c>
      <c r="AQ52" s="5" t="e">
        <f t="shared" si="32"/>
        <v>#DIV/0!</v>
      </c>
      <c r="AR52" s="5" t="e">
        <f t="shared" si="33"/>
        <v>#DIV/0!</v>
      </c>
      <c r="AS52" s="1" t="e">
        <f t="shared" si="34"/>
        <v>#DIV/0!</v>
      </c>
      <c r="AT52" s="1" t="e">
        <f t="shared" si="35"/>
        <v>#DIV/0!</v>
      </c>
      <c r="AU52" s="1" t="e">
        <f t="shared" si="36"/>
        <v>#DIV/0!</v>
      </c>
      <c r="AV52" s="1" t="e">
        <f t="shared" si="37"/>
        <v>#DIV/0!</v>
      </c>
      <c r="AW52" s="1" t="e">
        <f t="shared" si="38"/>
        <v>#DIV/0!</v>
      </c>
      <c r="AX52" s="1" t="e">
        <f t="shared" si="39"/>
        <v>#DIV/0!</v>
      </c>
      <c r="AY52" s="1">
        <f t="shared" si="40"/>
        <v>0</v>
      </c>
      <c r="AZ52" s="1" t="e">
        <f>(N52+O52)*-1*#REF!/F52</f>
        <v>#REF!</v>
      </c>
      <c r="BA52" s="1">
        <f t="shared" si="41"/>
        <v>0</v>
      </c>
      <c r="BB52" s="1">
        <f t="shared" si="42"/>
        <v>0</v>
      </c>
      <c r="BC52" s="1" t="e">
        <f>O52*#REF!*-1/F52</f>
        <v>#REF!</v>
      </c>
      <c r="BD52" s="1">
        <f t="shared" si="43"/>
        <v>0</v>
      </c>
      <c r="BE52" s="1">
        <f t="shared" si="44"/>
        <v>0</v>
      </c>
      <c r="BF52" s="1" t="e">
        <f>(N52+O52)*-1*#REF!/F52</f>
        <v>#REF!</v>
      </c>
      <c r="BG52" s="1">
        <f t="shared" si="45"/>
        <v>0</v>
      </c>
      <c r="BH52" s="1">
        <f t="shared" si="46"/>
        <v>0</v>
      </c>
      <c r="BI52" s="1" t="e">
        <f>#REF!/F52*O52*-1</f>
        <v>#REF!</v>
      </c>
      <c r="BJ52" s="1">
        <f t="shared" si="47"/>
        <v>0</v>
      </c>
      <c r="BL52" s="9"/>
      <c r="BM52" s="10"/>
      <c r="BN52" s="9"/>
      <c r="BP52" s="10"/>
      <c r="BQ52" s="10"/>
      <c r="BR52" s="10"/>
      <c r="BT52" s="10"/>
      <c r="BU52" s="10"/>
      <c r="BV52" s="10"/>
      <c r="BW52" s="10"/>
      <c r="BX52" s="10"/>
      <c r="BY52" s="10"/>
    </row>
    <row r="53" spans="2:77" x14ac:dyDescent="0.2">
      <c r="B53" s="14"/>
      <c r="C53" s="13" t="s">
        <v>72</v>
      </c>
      <c r="D53" s="13"/>
      <c r="E53" s="13"/>
      <c r="F53" s="13"/>
      <c r="G53" s="13"/>
      <c r="H53" s="13"/>
      <c r="I53" s="13"/>
      <c r="J53" s="13"/>
      <c r="K53" s="13"/>
      <c r="L53" s="11">
        <f t="shared" si="24"/>
        <v>0</v>
      </c>
      <c r="N53" s="16"/>
      <c r="O53" s="16"/>
      <c r="P53" s="16"/>
      <c r="Q53" s="16"/>
      <c r="R53" s="16"/>
      <c r="S53" s="11">
        <v>21.986353300000001</v>
      </c>
      <c r="T53" s="17"/>
      <c r="U53" s="17"/>
      <c r="V53" s="16"/>
      <c r="W53" s="16"/>
      <c r="X53" s="16"/>
      <c r="Y53" s="17"/>
      <c r="Z53" s="17"/>
      <c r="AA53" s="17"/>
      <c r="AB53" s="17"/>
      <c r="AC53" s="17"/>
      <c r="AD53" s="17"/>
      <c r="AE53" s="16"/>
      <c r="AF53" s="16"/>
      <c r="AG53" s="16"/>
      <c r="AH53" s="16"/>
      <c r="AJ53" s="1">
        <f t="shared" si="25"/>
        <v>0</v>
      </c>
      <c r="AK53" s="1" t="str">
        <f t="shared" si="26"/>
        <v>CO2Captured</v>
      </c>
      <c r="AL53" s="12" t="e">
        <f t="shared" si="27"/>
        <v>#DIV/0!</v>
      </c>
      <c r="AM53" s="12" t="e">
        <f t="shared" si="28"/>
        <v>#DIV/0!</v>
      </c>
      <c r="AN53" s="5" t="e">
        <f t="shared" si="29"/>
        <v>#DIV/0!</v>
      </c>
      <c r="AO53" s="12" t="e">
        <f t="shared" si="30"/>
        <v>#DIV/0!</v>
      </c>
      <c r="AP53" s="12" t="e">
        <f t="shared" si="31"/>
        <v>#DIV/0!</v>
      </c>
      <c r="AQ53" s="5" t="e">
        <f t="shared" si="32"/>
        <v>#DIV/0!</v>
      </c>
      <c r="AR53" s="5" t="e">
        <f t="shared" si="33"/>
        <v>#DIV/0!</v>
      </c>
      <c r="AS53" s="1" t="e">
        <f t="shared" si="34"/>
        <v>#DIV/0!</v>
      </c>
      <c r="AT53" s="1" t="e">
        <f t="shared" si="35"/>
        <v>#DIV/0!</v>
      </c>
      <c r="AU53" s="1" t="e">
        <f t="shared" si="36"/>
        <v>#DIV/0!</v>
      </c>
      <c r="AV53" s="1" t="e">
        <f t="shared" si="37"/>
        <v>#DIV/0!</v>
      </c>
      <c r="AW53" s="1" t="e">
        <f t="shared" si="38"/>
        <v>#DIV/0!</v>
      </c>
      <c r="AX53" s="1" t="e">
        <f t="shared" si="39"/>
        <v>#DIV/0!</v>
      </c>
      <c r="AY53" s="1">
        <f t="shared" si="40"/>
        <v>0</v>
      </c>
      <c r="AZ53" s="1" t="e">
        <f>(N53+O53)*-1*#REF!/F53</f>
        <v>#REF!</v>
      </c>
      <c r="BA53" s="1">
        <f t="shared" si="41"/>
        <v>0</v>
      </c>
      <c r="BB53" s="1">
        <f t="shared" si="42"/>
        <v>0</v>
      </c>
      <c r="BC53" s="1" t="e">
        <f>O53*#REF!*-1/F53</f>
        <v>#REF!</v>
      </c>
      <c r="BD53" s="1">
        <f t="shared" si="43"/>
        <v>0</v>
      </c>
      <c r="BE53" s="1">
        <f t="shared" si="44"/>
        <v>0</v>
      </c>
      <c r="BF53" s="1" t="e">
        <f>(N53+O53)*-1*#REF!/F53</f>
        <v>#REF!</v>
      </c>
      <c r="BG53" s="1">
        <f t="shared" si="45"/>
        <v>0</v>
      </c>
      <c r="BH53" s="1">
        <f t="shared" si="46"/>
        <v>0</v>
      </c>
      <c r="BI53" s="1" t="e">
        <f>#REF!/F53*O53*-1</f>
        <v>#REF!</v>
      </c>
      <c r="BJ53" s="1">
        <f t="shared" si="47"/>
        <v>0</v>
      </c>
      <c r="BL53" s="9"/>
      <c r="BM53" s="10"/>
      <c r="BN53" s="9"/>
      <c r="BP53" s="10"/>
      <c r="BQ53" s="10"/>
      <c r="BR53" s="10"/>
      <c r="BT53" s="10"/>
      <c r="BU53" s="10"/>
      <c r="BV53" s="10"/>
      <c r="BW53" s="10"/>
      <c r="BX53" s="10"/>
      <c r="BY53" s="10"/>
    </row>
    <row r="54" spans="2:77" x14ac:dyDescent="0.2">
      <c r="B54" s="14"/>
      <c r="C54" s="13" t="s">
        <v>72</v>
      </c>
      <c r="D54" s="13"/>
      <c r="E54" s="13"/>
      <c r="F54" s="13"/>
      <c r="G54" s="13"/>
      <c r="H54" s="13"/>
      <c r="I54" s="13"/>
      <c r="J54" s="13"/>
      <c r="K54" s="13"/>
      <c r="L54" s="11">
        <f t="shared" si="24"/>
        <v>0</v>
      </c>
      <c r="N54" s="16"/>
      <c r="O54" s="16"/>
      <c r="P54" s="16"/>
      <c r="Q54" s="16"/>
      <c r="R54" s="16"/>
      <c r="S54" s="11">
        <v>21.986353300000001</v>
      </c>
      <c r="T54" s="17"/>
      <c r="U54" s="17"/>
      <c r="V54" s="16"/>
      <c r="W54" s="16"/>
      <c r="X54" s="16"/>
      <c r="Y54" s="17"/>
      <c r="Z54" s="17"/>
      <c r="AA54" s="17"/>
      <c r="AB54" s="17"/>
      <c r="AC54" s="17"/>
      <c r="AD54" s="17"/>
      <c r="AE54" s="16"/>
      <c r="AF54" s="16"/>
      <c r="AG54" s="16"/>
      <c r="AH54" s="16"/>
      <c r="AJ54" s="1">
        <f t="shared" si="25"/>
        <v>0</v>
      </c>
      <c r="AK54" s="1" t="str">
        <f t="shared" si="26"/>
        <v>CO2Captured</v>
      </c>
      <c r="AL54" s="12" t="e">
        <f t="shared" si="27"/>
        <v>#DIV/0!</v>
      </c>
      <c r="AM54" s="12" t="e">
        <f t="shared" si="28"/>
        <v>#DIV/0!</v>
      </c>
      <c r="AN54" s="5" t="e">
        <f t="shared" si="29"/>
        <v>#DIV/0!</v>
      </c>
      <c r="AO54" s="12" t="e">
        <f t="shared" si="30"/>
        <v>#DIV/0!</v>
      </c>
      <c r="AP54" s="12" t="e">
        <f t="shared" si="31"/>
        <v>#DIV/0!</v>
      </c>
      <c r="AQ54" s="5" t="e">
        <f t="shared" si="32"/>
        <v>#DIV/0!</v>
      </c>
      <c r="AR54" s="5" t="e">
        <f t="shared" si="33"/>
        <v>#DIV/0!</v>
      </c>
      <c r="AS54" s="1" t="e">
        <f t="shared" si="34"/>
        <v>#DIV/0!</v>
      </c>
      <c r="AT54" s="1" t="e">
        <f t="shared" si="35"/>
        <v>#DIV/0!</v>
      </c>
      <c r="AU54" s="1" t="e">
        <f t="shared" si="36"/>
        <v>#DIV/0!</v>
      </c>
      <c r="AV54" s="1" t="e">
        <f t="shared" si="37"/>
        <v>#DIV/0!</v>
      </c>
      <c r="AW54" s="1" t="e">
        <f t="shared" si="38"/>
        <v>#DIV/0!</v>
      </c>
      <c r="AX54" s="1" t="e">
        <f t="shared" si="39"/>
        <v>#DIV/0!</v>
      </c>
      <c r="AY54" s="1">
        <f t="shared" si="40"/>
        <v>0</v>
      </c>
      <c r="AZ54" s="1" t="e">
        <f>(N54+O54)*-1*#REF!/F54</f>
        <v>#REF!</v>
      </c>
      <c r="BA54" s="1">
        <f t="shared" si="41"/>
        <v>0</v>
      </c>
      <c r="BB54" s="1">
        <f t="shared" si="42"/>
        <v>0</v>
      </c>
      <c r="BC54" s="1" t="e">
        <f>O54*#REF!*-1/F54</f>
        <v>#REF!</v>
      </c>
      <c r="BD54" s="1">
        <f t="shared" si="43"/>
        <v>0</v>
      </c>
      <c r="BE54" s="1">
        <f t="shared" si="44"/>
        <v>0</v>
      </c>
      <c r="BF54" s="1" t="e">
        <f>(N54+O54)*-1*#REF!/F54</f>
        <v>#REF!</v>
      </c>
      <c r="BG54" s="1">
        <f t="shared" si="45"/>
        <v>0</v>
      </c>
      <c r="BH54" s="1">
        <f t="shared" si="46"/>
        <v>0</v>
      </c>
      <c r="BI54" s="1" t="e">
        <f>#REF!/F54*O54*-1</f>
        <v>#REF!</v>
      </c>
      <c r="BJ54" s="1">
        <f t="shared" si="47"/>
        <v>0</v>
      </c>
      <c r="BL54" s="9"/>
      <c r="BM54" s="10"/>
      <c r="BN54" s="9"/>
      <c r="BP54" s="10"/>
      <c r="BQ54" s="10"/>
      <c r="BR54" s="10"/>
      <c r="BT54" s="10"/>
      <c r="BU54" s="10"/>
      <c r="BV54" s="10"/>
      <c r="BW54" s="10"/>
      <c r="BX54" s="10"/>
      <c r="BY54" s="10"/>
    </row>
    <row r="55" spans="2:77" x14ac:dyDescent="0.2">
      <c r="B55" s="14"/>
      <c r="C55" s="13" t="s">
        <v>72</v>
      </c>
      <c r="D55" s="13"/>
      <c r="E55" s="13"/>
      <c r="F55" s="13"/>
      <c r="G55" s="13"/>
      <c r="H55" s="13"/>
      <c r="I55" s="13"/>
      <c r="J55" s="13"/>
      <c r="K55" s="13"/>
      <c r="L55" s="11">
        <f t="shared" si="24"/>
        <v>0</v>
      </c>
      <c r="N55" s="16"/>
      <c r="O55" s="16"/>
      <c r="P55" s="16"/>
      <c r="Q55" s="16"/>
      <c r="R55" s="16"/>
      <c r="S55" s="11">
        <v>21.986353300000001</v>
      </c>
      <c r="T55" s="17"/>
      <c r="U55" s="17"/>
      <c r="V55" s="16"/>
      <c r="W55" s="16"/>
      <c r="X55" s="16"/>
      <c r="Y55" s="17"/>
      <c r="Z55" s="17"/>
      <c r="AA55" s="17"/>
      <c r="AB55" s="17"/>
      <c r="AC55" s="17"/>
      <c r="AD55" s="17"/>
      <c r="AE55" s="16"/>
      <c r="AF55" s="16"/>
      <c r="AG55" s="16"/>
      <c r="AH55" s="16"/>
      <c r="AJ55" s="1">
        <f t="shared" si="25"/>
        <v>0</v>
      </c>
      <c r="AK55" s="1" t="str">
        <f t="shared" si="26"/>
        <v>CO2Captured</v>
      </c>
      <c r="AL55" s="12" t="e">
        <f t="shared" si="27"/>
        <v>#DIV/0!</v>
      </c>
      <c r="AM55" s="12" t="e">
        <f t="shared" si="28"/>
        <v>#DIV/0!</v>
      </c>
      <c r="AN55" s="5" t="e">
        <f t="shared" si="29"/>
        <v>#DIV/0!</v>
      </c>
      <c r="AO55" s="12" t="e">
        <f t="shared" si="30"/>
        <v>#DIV/0!</v>
      </c>
      <c r="AP55" s="12" t="e">
        <f t="shared" si="31"/>
        <v>#DIV/0!</v>
      </c>
      <c r="AQ55" s="5" t="e">
        <f t="shared" si="32"/>
        <v>#DIV/0!</v>
      </c>
      <c r="AR55" s="5" t="e">
        <f t="shared" si="33"/>
        <v>#DIV/0!</v>
      </c>
      <c r="AS55" s="1" t="e">
        <f t="shared" si="34"/>
        <v>#DIV/0!</v>
      </c>
      <c r="AT55" s="1" t="e">
        <f t="shared" si="35"/>
        <v>#DIV/0!</v>
      </c>
      <c r="AU55" s="1" t="e">
        <f t="shared" si="36"/>
        <v>#DIV/0!</v>
      </c>
      <c r="AV55" s="1" t="e">
        <f t="shared" si="37"/>
        <v>#DIV/0!</v>
      </c>
      <c r="AW55" s="1" t="e">
        <f t="shared" si="38"/>
        <v>#DIV/0!</v>
      </c>
      <c r="AX55" s="1" t="e">
        <f t="shared" si="39"/>
        <v>#DIV/0!</v>
      </c>
      <c r="AY55" s="1">
        <f t="shared" si="40"/>
        <v>0</v>
      </c>
      <c r="AZ55" s="1" t="e">
        <f>(N55+O55)*-1*#REF!/F55</f>
        <v>#REF!</v>
      </c>
      <c r="BA55" s="1">
        <f t="shared" si="41"/>
        <v>0</v>
      </c>
      <c r="BB55" s="1">
        <f t="shared" si="42"/>
        <v>0</v>
      </c>
      <c r="BC55" s="1" t="e">
        <f>O55*#REF!*-1/F55</f>
        <v>#REF!</v>
      </c>
      <c r="BD55" s="1">
        <f t="shared" si="43"/>
        <v>0</v>
      </c>
      <c r="BE55" s="1">
        <f t="shared" si="44"/>
        <v>0</v>
      </c>
      <c r="BF55" s="1" t="e">
        <f>(N55+O55)*-1*#REF!/F55</f>
        <v>#REF!</v>
      </c>
      <c r="BG55" s="1">
        <f t="shared" si="45"/>
        <v>0</v>
      </c>
      <c r="BH55" s="1">
        <f t="shared" si="46"/>
        <v>0</v>
      </c>
      <c r="BI55" s="1" t="e">
        <f>#REF!/F55*O55*-1</f>
        <v>#REF!</v>
      </c>
      <c r="BJ55" s="1">
        <f t="shared" si="47"/>
        <v>0</v>
      </c>
      <c r="BL55" s="9"/>
      <c r="BM55" s="10"/>
      <c r="BN55" s="9"/>
      <c r="BP55" s="10"/>
      <c r="BQ55" s="10"/>
      <c r="BR55" s="10"/>
      <c r="BT55" s="10"/>
      <c r="BU55" s="10"/>
      <c r="BV55" s="10"/>
      <c r="BW55" s="10"/>
      <c r="BX55" s="10"/>
      <c r="BY55" s="10"/>
    </row>
    <row r="56" spans="2:77" x14ac:dyDescent="0.2">
      <c r="B56" s="14"/>
      <c r="C56" s="13" t="s">
        <v>72</v>
      </c>
      <c r="D56" s="13"/>
      <c r="E56" s="13"/>
      <c r="F56" s="13"/>
      <c r="G56" s="13"/>
      <c r="H56" s="13"/>
      <c r="I56" s="13"/>
      <c r="J56" s="13"/>
      <c r="K56" s="13"/>
      <c r="L56" s="11">
        <f t="shared" si="24"/>
        <v>0</v>
      </c>
      <c r="N56" s="16"/>
      <c r="O56" s="16"/>
      <c r="P56" s="16"/>
      <c r="Q56" s="16"/>
      <c r="R56" s="16"/>
      <c r="S56" s="11">
        <v>21.986353300000001</v>
      </c>
      <c r="T56" s="17"/>
      <c r="U56" s="17"/>
      <c r="V56" s="16"/>
      <c r="W56" s="16"/>
      <c r="X56" s="16"/>
      <c r="Y56" s="17"/>
      <c r="Z56" s="17"/>
      <c r="AA56" s="17"/>
      <c r="AB56" s="17"/>
      <c r="AC56" s="17"/>
      <c r="AD56" s="17"/>
      <c r="AE56" s="16"/>
      <c r="AF56" s="16"/>
      <c r="AG56" s="16"/>
      <c r="AH56" s="16"/>
      <c r="AJ56" s="1">
        <f t="shared" si="25"/>
        <v>0</v>
      </c>
      <c r="AK56" s="1" t="str">
        <f t="shared" si="26"/>
        <v>CO2Captured</v>
      </c>
      <c r="AL56" s="12" t="e">
        <f t="shared" si="27"/>
        <v>#DIV/0!</v>
      </c>
      <c r="AM56" s="12" t="e">
        <f t="shared" si="28"/>
        <v>#DIV/0!</v>
      </c>
      <c r="AN56" s="5" t="e">
        <f t="shared" si="29"/>
        <v>#DIV/0!</v>
      </c>
      <c r="AO56" s="12" t="e">
        <f t="shared" si="30"/>
        <v>#DIV/0!</v>
      </c>
      <c r="AP56" s="12" t="e">
        <f t="shared" si="31"/>
        <v>#DIV/0!</v>
      </c>
      <c r="AQ56" s="5" t="e">
        <f t="shared" si="32"/>
        <v>#DIV/0!</v>
      </c>
      <c r="AR56" s="5" t="e">
        <f t="shared" si="33"/>
        <v>#DIV/0!</v>
      </c>
      <c r="AS56" s="1" t="e">
        <f t="shared" si="34"/>
        <v>#DIV/0!</v>
      </c>
      <c r="AT56" s="1" t="e">
        <f t="shared" si="35"/>
        <v>#DIV/0!</v>
      </c>
      <c r="AU56" s="1" t="e">
        <f t="shared" si="36"/>
        <v>#DIV/0!</v>
      </c>
      <c r="AV56" s="1" t="e">
        <f t="shared" si="37"/>
        <v>#DIV/0!</v>
      </c>
      <c r="AW56" s="1" t="e">
        <f t="shared" si="38"/>
        <v>#DIV/0!</v>
      </c>
      <c r="AX56" s="1" t="e">
        <f t="shared" si="39"/>
        <v>#DIV/0!</v>
      </c>
      <c r="AY56" s="1">
        <f t="shared" si="40"/>
        <v>0</v>
      </c>
      <c r="AZ56" s="1" t="e">
        <f>(N56+O56)*-1*#REF!/F56</f>
        <v>#REF!</v>
      </c>
      <c r="BA56" s="1">
        <f t="shared" si="41"/>
        <v>0</v>
      </c>
      <c r="BB56" s="1">
        <f t="shared" si="42"/>
        <v>0</v>
      </c>
      <c r="BC56" s="1" t="e">
        <f>O56*#REF!*-1/F56</f>
        <v>#REF!</v>
      </c>
      <c r="BD56" s="1">
        <f t="shared" si="43"/>
        <v>0</v>
      </c>
      <c r="BE56" s="1">
        <f t="shared" si="44"/>
        <v>0</v>
      </c>
      <c r="BF56" s="1" t="e">
        <f>(N56+O56)*-1*#REF!/F56</f>
        <v>#REF!</v>
      </c>
      <c r="BG56" s="1">
        <f t="shared" si="45"/>
        <v>0</v>
      </c>
      <c r="BH56" s="1">
        <f t="shared" si="46"/>
        <v>0</v>
      </c>
      <c r="BI56" s="1" t="e">
        <f>#REF!/F56*O56*-1</f>
        <v>#REF!</v>
      </c>
      <c r="BJ56" s="1">
        <f t="shared" si="47"/>
        <v>0</v>
      </c>
      <c r="BL56" s="9"/>
      <c r="BM56" s="10"/>
      <c r="BN56" s="9"/>
      <c r="BP56" s="10"/>
      <c r="BQ56" s="10"/>
      <c r="BR56" s="10"/>
      <c r="BT56" s="10"/>
      <c r="BU56" s="10"/>
      <c r="BV56" s="10"/>
      <c r="BW56" s="10"/>
      <c r="BX56" s="10"/>
      <c r="BY56" s="10"/>
    </row>
    <row r="57" spans="2:77" x14ac:dyDescent="0.2">
      <c r="B57" s="14"/>
      <c r="C57" s="13" t="s">
        <v>72</v>
      </c>
      <c r="D57" s="13"/>
      <c r="E57" s="13"/>
      <c r="F57" s="13"/>
      <c r="G57" s="13"/>
      <c r="H57" s="13"/>
      <c r="I57" s="13"/>
      <c r="J57" s="13"/>
      <c r="K57" s="13"/>
      <c r="L57" s="11">
        <f t="shared" si="24"/>
        <v>0</v>
      </c>
      <c r="N57" s="16"/>
      <c r="O57" s="16"/>
      <c r="P57" s="16"/>
      <c r="Q57" s="16"/>
      <c r="R57" s="16"/>
      <c r="S57" s="11">
        <v>21.986353300000001</v>
      </c>
      <c r="T57" s="17"/>
      <c r="U57" s="17"/>
      <c r="V57" s="16"/>
      <c r="W57" s="16"/>
      <c r="X57" s="16"/>
      <c r="Y57" s="17"/>
      <c r="Z57" s="17"/>
      <c r="AA57" s="17"/>
      <c r="AB57" s="17"/>
      <c r="AC57" s="17"/>
      <c r="AD57" s="17"/>
      <c r="AE57" s="16"/>
      <c r="AF57" s="16"/>
      <c r="AG57" s="16"/>
      <c r="AH57" s="16"/>
      <c r="AJ57" s="1">
        <f t="shared" si="25"/>
        <v>0</v>
      </c>
      <c r="AK57" s="1" t="str">
        <f t="shared" si="26"/>
        <v>CO2Captured</v>
      </c>
      <c r="AL57" s="12" t="e">
        <f t="shared" si="27"/>
        <v>#DIV/0!</v>
      </c>
      <c r="AM57" s="12" t="e">
        <f t="shared" si="28"/>
        <v>#DIV/0!</v>
      </c>
      <c r="AN57" s="5" t="e">
        <f t="shared" si="29"/>
        <v>#DIV/0!</v>
      </c>
      <c r="AO57" s="12" t="e">
        <f t="shared" si="30"/>
        <v>#DIV/0!</v>
      </c>
      <c r="AP57" s="12" t="e">
        <f t="shared" si="31"/>
        <v>#DIV/0!</v>
      </c>
      <c r="AQ57" s="5" t="e">
        <f t="shared" si="32"/>
        <v>#DIV/0!</v>
      </c>
      <c r="AR57" s="5" t="e">
        <f t="shared" si="33"/>
        <v>#DIV/0!</v>
      </c>
      <c r="AS57" s="1" t="e">
        <f t="shared" si="34"/>
        <v>#DIV/0!</v>
      </c>
      <c r="AT57" s="1" t="e">
        <f t="shared" si="35"/>
        <v>#DIV/0!</v>
      </c>
      <c r="AU57" s="1" t="e">
        <f t="shared" si="36"/>
        <v>#DIV/0!</v>
      </c>
      <c r="AV57" s="1" t="e">
        <f t="shared" si="37"/>
        <v>#DIV/0!</v>
      </c>
      <c r="AW57" s="1" t="e">
        <f t="shared" si="38"/>
        <v>#DIV/0!</v>
      </c>
      <c r="AX57" s="1" t="e">
        <f t="shared" si="39"/>
        <v>#DIV/0!</v>
      </c>
      <c r="AY57" s="1">
        <f t="shared" si="40"/>
        <v>0</v>
      </c>
      <c r="AZ57" s="1" t="e">
        <f>(N57+O57)*-1*#REF!/F57</f>
        <v>#REF!</v>
      </c>
      <c r="BA57" s="1">
        <f t="shared" si="41"/>
        <v>0</v>
      </c>
      <c r="BB57" s="1">
        <f t="shared" si="42"/>
        <v>0</v>
      </c>
      <c r="BC57" s="1" t="e">
        <f>O57*#REF!*-1/F57</f>
        <v>#REF!</v>
      </c>
      <c r="BD57" s="1">
        <f t="shared" si="43"/>
        <v>0</v>
      </c>
      <c r="BE57" s="1">
        <f t="shared" si="44"/>
        <v>0</v>
      </c>
      <c r="BF57" s="1" t="e">
        <f>(N57+O57)*-1*#REF!/F57</f>
        <v>#REF!</v>
      </c>
      <c r="BG57" s="1">
        <f t="shared" si="45"/>
        <v>0</v>
      </c>
      <c r="BH57" s="1">
        <f t="shared" si="46"/>
        <v>0</v>
      </c>
      <c r="BI57" s="1" t="e">
        <f>#REF!/F57*O57*-1</f>
        <v>#REF!</v>
      </c>
      <c r="BJ57" s="1">
        <f t="shared" si="47"/>
        <v>0</v>
      </c>
      <c r="BL57" s="9"/>
      <c r="BM57" s="10"/>
      <c r="BN57" s="9"/>
      <c r="BP57" s="10"/>
      <c r="BQ57" s="10"/>
      <c r="BR57" s="10"/>
      <c r="BT57" s="10"/>
      <c r="BU57" s="10"/>
      <c r="BV57" s="10"/>
      <c r="BW57" s="10"/>
      <c r="BX57" s="10"/>
      <c r="BY57" s="10"/>
    </row>
    <row r="58" spans="2:77" x14ac:dyDescent="0.2">
      <c r="B58" s="14"/>
      <c r="C58" s="13" t="s">
        <v>72</v>
      </c>
      <c r="D58" s="13"/>
      <c r="E58" s="13"/>
      <c r="F58" s="13"/>
      <c r="G58" s="13"/>
      <c r="H58" s="13"/>
      <c r="I58" s="13"/>
      <c r="J58" s="13"/>
      <c r="K58" s="13"/>
      <c r="L58" s="11">
        <f t="shared" si="24"/>
        <v>0</v>
      </c>
      <c r="N58" s="17"/>
      <c r="O58" s="17"/>
      <c r="P58" s="16"/>
      <c r="Q58" s="16"/>
      <c r="R58" s="16"/>
      <c r="S58" s="11">
        <v>21.986353300000001</v>
      </c>
      <c r="T58" s="17"/>
      <c r="U58" s="17"/>
      <c r="V58" s="16"/>
      <c r="W58" s="16"/>
      <c r="X58" s="17"/>
      <c r="Y58" s="17"/>
      <c r="Z58" s="17"/>
      <c r="AA58" s="17"/>
      <c r="AB58" s="17"/>
      <c r="AC58" s="17"/>
      <c r="AD58" s="17"/>
      <c r="AE58" s="16"/>
      <c r="AF58" s="16"/>
      <c r="AG58" s="16"/>
      <c r="AH58" s="16"/>
      <c r="AJ58" s="1">
        <f t="shared" si="25"/>
        <v>0</v>
      </c>
      <c r="AK58" s="1" t="str">
        <f t="shared" si="26"/>
        <v>CO2Captured</v>
      </c>
      <c r="AL58" s="12" t="e">
        <f t="shared" si="27"/>
        <v>#DIV/0!</v>
      </c>
      <c r="AM58" s="12" t="e">
        <f t="shared" si="28"/>
        <v>#DIV/0!</v>
      </c>
      <c r="AN58" s="5" t="e">
        <f t="shared" si="29"/>
        <v>#DIV/0!</v>
      </c>
      <c r="AO58" s="12" t="e">
        <f t="shared" si="30"/>
        <v>#DIV/0!</v>
      </c>
      <c r="AP58" s="12" t="e">
        <f t="shared" si="31"/>
        <v>#DIV/0!</v>
      </c>
      <c r="AQ58" s="5" t="e">
        <f t="shared" si="32"/>
        <v>#DIV/0!</v>
      </c>
      <c r="AR58" s="5" t="e">
        <f t="shared" si="33"/>
        <v>#DIV/0!</v>
      </c>
      <c r="AS58" s="1" t="e">
        <f t="shared" si="34"/>
        <v>#DIV/0!</v>
      </c>
      <c r="AT58" s="1" t="e">
        <f t="shared" si="35"/>
        <v>#DIV/0!</v>
      </c>
      <c r="AU58" s="1" t="e">
        <f t="shared" si="36"/>
        <v>#DIV/0!</v>
      </c>
      <c r="AV58" s="1" t="e">
        <f t="shared" si="37"/>
        <v>#DIV/0!</v>
      </c>
      <c r="AW58" s="1" t="e">
        <f t="shared" si="38"/>
        <v>#DIV/0!</v>
      </c>
      <c r="AX58" s="1" t="e">
        <f t="shared" si="39"/>
        <v>#DIV/0!</v>
      </c>
      <c r="AY58" s="1">
        <f t="shared" si="40"/>
        <v>0</v>
      </c>
      <c r="AZ58" s="1" t="e">
        <f>(N58+O58)*-1*#REF!/F58</f>
        <v>#REF!</v>
      </c>
      <c r="BA58" s="1">
        <f t="shared" si="41"/>
        <v>0</v>
      </c>
      <c r="BB58" s="1">
        <f t="shared" si="42"/>
        <v>0</v>
      </c>
      <c r="BC58" s="1" t="e">
        <f>O58*#REF!*-1/F58</f>
        <v>#REF!</v>
      </c>
      <c r="BD58" s="1">
        <f t="shared" si="43"/>
        <v>0</v>
      </c>
      <c r="BE58" s="1">
        <f t="shared" si="44"/>
        <v>0</v>
      </c>
      <c r="BF58" s="1" t="e">
        <f>(N58+O58)*-1*#REF!/F58</f>
        <v>#REF!</v>
      </c>
      <c r="BG58" s="1">
        <f t="shared" si="45"/>
        <v>0</v>
      </c>
      <c r="BH58" s="1">
        <f t="shared" si="46"/>
        <v>0</v>
      </c>
      <c r="BI58" s="1" t="e">
        <f>#REF!/F58*O58*-1</f>
        <v>#REF!</v>
      </c>
      <c r="BJ58" s="1">
        <f t="shared" si="47"/>
        <v>0</v>
      </c>
      <c r="BL58" s="9"/>
      <c r="BM58" s="10"/>
      <c r="BN58" s="9"/>
      <c r="BP58" s="10"/>
      <c r="BQ58" s="10"/>
      <c r="BR58" s="10"/>
      <c r="BT58" s="10"/>
      <c r="BU58" s="10"/>
      <c r="BV58" s="10"/>
      <c r="BW58" s="10"/>
      <c r="BX58" s="10"/>
      <c r="BY58" s="10"/>
    </row>
    <row r="59" spans="2:77" x14ac:dyDescent="0.2">
      <c r="B59" s="14"/>
      <c r="C59" s="13" t="s">
        <v>72</v>
      </c>
      <c r="D59" s="13"/>
      <c r="E59" s="13"/>
      <c r="F59" s="13"/>
      <c r="G59" s="13"/>
      <c r="H59" s="13"/>
      <c r="I59" s="13"/>
      <c r="J59" s="13"/>
      <c r="K59" s="13"/>
      <c r="L59" s="11">
        <f t="shared" si="24"/>
        <v>0</v>
      </c>
      <c r="N59" s="17"/>
      <c r="O59" s="17"/>
      <c r="P59" s="16"/>
      <c r="Q59" s="16"/>
      <c r="R59" s="16"/>
      <c r="S59" s="11">
        <v>21.986353300000001</v>
      </c>
      <c r="T59" s="17"/>
      <c r="U59" s="17"/>
      <c r="V59" s="16"/>
      <c r="W59" s="16"/>
      <c r="X59" s="17"/>
      <c r="Y59" s="17"/>
      <c r="Z59" s="17"/>
      <c r="AA59" s="17"/>
      <c r="AB59" s="17"/>
      <c r="AC59" s="17"/>
      <c r="AD59" s="17"/>
      <c r="AE59" s="16"/>
      <c r="AF59" s="16"/>
      <c r="AG59" s="16"/>
      <c r="AH59" s="16"/>
      <c r="AJ59" s="1">
        <f t="shared" si="25"/>
        <v>0</v>
      </c>
      <c r="AK59" s="1" t="str">
        <f t="shared" si="26"/>
        <v>CO2Captured</v>
      </c>
      <c r="AL59" s="12" t="e">
        <f t="shared" si="27"/>
        <v>#DIV/0!</v>
      </c>
      <c r="AM59" s="12" t="e">
        <f t="shared" si="28"/>
        <v>#DIV/0!</v>
      </c>
      <c r="AN59" s="5" t="e">
        <f t="shared" si="29"/>
        <v>#DIV/0!</v>
      </c>
      <c r="AO59" s="12" t="e">
        <f t="shared" si="30"/>
        <v>#DIV/0!</v>
      </c>
      <c r="AP59" s="12" t="e">
        <f t="shared" si="31"/>
        <v>#DIV/0!</v>
      </c>
      <c r="AQ59" s="5" t="e">
        <f t="shared" si="32"/>
        <v>#DIV/0!</v>
      </c>
      <c r="AR59" s="5" t="e">
        <f t="shared" si="33"/>
        <v>#DIV/0!</v>
      </c>
      <c r="AS59" s="1" t="e">
        <f t="shared" si="34"/>
        <v>#DIV/0!</v>
      </c>
      <c r="AT59" s="1" t="e">
        <f t="shared" si="35"/>
        <v>#DIV/0!</v>
      </c>
      <c r="AU59" s="1" t="e">
        <f t="shared" si="36"/>
        <v>#DIV/0!</v>
      </c>
      <c r="AV59" s="1" t="e">
        <f t="shared" si="37"/>
        <v>#DIV/0!</v>
      </c>
      <c r="AW59" s="1" t="e">
        <f t="shared" si="38"/>
        <v>#DIV/0!</v>
      </c>
      <c r="AX59" s="1" t="e">
        <f t="shared" si="39"/>
        <v>#DIV/0!</v>
      </c>
      <c r="AY59" s="1">
        <f t="shared" si="40"/>
        <v>0</v>
      </c>
      <c r="AZ59" s="1" t="e">
        <f>(N59+O59)*-1*#REF!/F59</f>
        <v>#REF!</v>
      </c>
      <c r="BA59" s="1">
        <f t="shared" si="41"/>
        <v>0</v>
      </c>
      <c r="BB59" s="1">
        <f t="shared" si="42"/>
        <v>0</v>
      </c>
      <c r="BC59" s="1" t="e">
        <f>O59*#REF!*-1/F59</f>
        <v>#REF!</v>
      </c>
      <c r="BD59" s="1">
        <f t="shared" si="43"/>
        <v>0</v>
      </c>
      <c r="BE59" s="1">
        <f t="shared" si="44"/>
        <v>0</v>
      </c>
      <c r="BF59" s="1" t="e">
        <f>(N59+O59)*-1*#REF!/F59</f>
        <v>#REF!</v>
      </c>
      <c r="BG59" s="1">
        <f t="shared" si="45"/>
        <v>0</v>
      </c>
      <c r="BH59" s="1">
        <f t="shared" si="46"/>
        <v>0</v>
      </c>
      <c r="BI59" s="1" t="e">
        <f>#REF!/F59*O59*-1</f>
        <v>#REF!</v>
      </c>
      <c r="BJ59" s="1">
        <f t="shared" si="47"/>
        <v>0</v>
      </c>
      <c r="BL59" s="9"/>
      <c r="BM59" s="10"/>
      <c r="BN59" s="9"/>
      <c r="BP59" s="10"/>
      <c r="BQ59" s="10"/>
      <c r="BR59" s="10"/>
      <c r="BT59" s="10"/>
      <c r="BU59" s="10"/>
      <c r="BV59" s="10"/>
      <c r="BW59" s="10"/>
      <c r="BX59" s="10"/>
      <c r="BY59" s="10"/>
    </row>
    <row r="60" spans="2:77" x14ac:dyDescent="0.2">
      <c r="B60" s="14"/>
      <c r="C60" s="13" t="s">
        <v>72</v>
      </c>
      <c r="D60" s="13"/>
      <c r="E60" s="13"/>
      <c r="F60" s="13"/>
      <c r="G60" s="13"/>
      <c r="H60" s="13"/>
      <c r="I60" s="13"/>
      <c r="J60" s="13"/>
      <c r="K60" s="13"/>
      <c r="L60" s="11">
        <f t="shared" si="24"/>
        <v>0</v>
      </c>
      <c r="N60" s="17"/>
      <c r="O60" s="17"/>
      <c r="P60" s="16"/>
      <c r="Q60" s="16"/>
      <c r="R60" s="16"/>
      <c r="S60" s="11">
        <v>21.986353300000001</v>
      </c>
      <c r="T60" s="17"/>
      <c r="U60" s="17"/>
      <c r="V60" s="16"/>
      <c r="W60" s="16"/>
      <c r="X60" s="17"/>
      <c r="Y60" s="17"/>
      <c r="Z60" s="17"/>
      <c r="AA60" s="17"/>
      <c r="AB60" s="17"/>
      <c r="AC60" s="17"/>
      <c r="AD60" s="17"/>
      <c r="AE60" s="16"/>
      <c r="AF60" s="16"/>
      <c r="AG60" s="16"/>
      <c r="AH60" s="16"/>
      <c r="AJ60" s="1">
        <f t="shared" si="25"/>
        <v>0</v>
      </c>
      <c r="AK60" s="1" t="str">
        <f t="shared" si="26"/>
        <v>CO2Captured</v>
      </c>
      <c r="AL60" s="12" t="e">
        <f t="shared" si="27"/>
        <v>#DIV/0!</v>
      </c>
      <c r="AM60" s="12" t="e">
        <f t="shared" si="28"/>
        <v>#DIV/0!</v>
      </c>
      <c r="AN60" s="5" t="e">
        <f t="shared" si="29"/>
        <v>#DIV/0!</v>
      </c>
      <c r="AO60" s="12" t="e">
        <f t="shared" si="30"/>
        <v>#DIV/0!</v>
      </c>
      <c r="AP60" s="12" t="e">
        <f t="shared" si="31"/>
        <v>#DIV/0!</v>
      </c>
      <c r="AQ60" s="5" t="e">
        <f t="shared" si="32"/>
        <v>#DIV/0!</v>
      </c>
      <c r="AR60" s="5" t="e">
        <f t="shared" si="33"/>
        <v>#DIV/0!</v>
      </c>
      <c r="AS60" s="1" t="e">
        <f t="shared" si="34"/>
        <v>#DIV/0!</v>
      </c>
      <c r="AT60" s="1" t="e">
        <f t="shared" si="35"/>
        <v>#DIV/0!</v>
      </c>
      <c r="AU60" s="1" t="e">
        <f t="shared" si="36"/>
        <v>#DIV/0!</v>
      </c>
      <c r="AV60" s="1" t="e">
        <f t="shared" si="37"/>
        <v>#DIV/0!</v>
      </c>
      <c r="AW60" s="1" t="e">
        <f t="shared" si="38"/>
        <v>#DIV/0!</v>
      </c>
      <c r="AX60" s="1" t="e">
        <f t="shared" si="39"/>
        <v>#DIV/0!</v>
      </c>
      <c r="AY60" s="1">
        <f t="shared" si="40"/>
        <v>0</v>
      </c>
      <c r="AZ60" s="1" t="e">
        <f>(N60+O60)*-1*#REF!/F60</f>
        <v>#REF!</v>
      </c>
      <c r="BA60" s="1">
        <f t="shared" si="41"/>
        <v>0</v>
      </c>
      <c r="BB60" s="1">
        <f t="shared" si="42"/>
        <v>0</v>
      </c>
      <c r="BC60" s="1" t="e">
        <f>O60*#REF!*-1/F60</f>
        <v>#REF!</v>
      </c>
      <c r="BD60" s="1">
        <f t="shared" si="43"/>
        <v>0</v>
      </c>
      <c r="BE60" s="1">
        <f t="shared" si="44"/>
        <v>0</v>
      </c>
      <c r="BF60" s="1" t="e">
        <f>(N60+O60)*-1*#REF!/F60</f>
        <v>#REF!</v>
      </c>
      <c r="BG60" s="1">
        <f t="shared" si="45"/>
        <v>0</v>
      </c>
      <c r="BH60" s="1">
        <f t="shared" si="46"/>
        <v>0</v>
      </c>
      <c r="BI60" s="1" t="e">
        <f>#REF!/F60*O60*-1</f>
        <v>#REF!</v>
      </c>
      <c r="BJ60" s="1">
        <f t="shared" si="47"/>
        <v>0</v>
      </c>
      <c r="BL60" s="9"/>
      <c r="BM60" s="10"/>
      <c r="BN60" s="9"/>
      <c r="BP60" s="10"/>
      <c r="BQ60" s="10"/>
      <c r="BR60" s="10"/>
      <c r="BT60" s="10"/>
      <c r="BU60" s="10"/>
      <c r="BV60" s="10"/>
      <c r="BW60" s="10"/>
      <c r="BX60" s="10"/>
      <c r="BY60" s="10"/>
    </row>
    <row r="61" spans="2:77" x14ac:dyDescent="0.2">
      <c r="B61" s="14"/>
      <c r="C61" s="13" t="s">
        <v>72</v>
      </c>
      <c r="D61" s="13"/>
      <c r="E61" s="13"/>
      <c r="F61" s="13"/>
      <c r="G61" s="13"/>
      <c r="H61" s="13"/>
      <c r="I61" s="13"/>
      <c r="J61" s="13"/>
      <c r="K61" s="13"/>
      <c r="L61" s="11">
        <f t="shared" si="24"/>
        <v>0</v>
      </c>
      <c r="N61" s="17"/>
      <c r="O61" s="17"/>
      <c r="P61" s="16"/>
      <c r="Q61" s="16"/>
      <c r="R61" s="16"/>
      <c r="S61" s="11">
        <v>21.986353300000001</v>
      </c>
      <c r="T61" s="17"/>
      <c r="U61" s="17"/>
      <c r="V61" s="16"/>
      <c r="W61" s="16"/>
      <c r="X61" s="17"/>
      <c r="Y61" s="17"/>
      <c r="Z61" s="17"/>
      <c r="AA61" s="17"/>
      <c r="AB61" s="17"/>
      <c r="AC61" s="17"/>
      <c r="AD61" s="17"/>
      <c r="AE61" s="16"/>
      <c r="AF61" s="16"/>
      <c r="AG61" s="16"/>
      <c r="AH61" s="16"/>
      <c r="AJ61" s="1">
        <f t="shared" si="25"/>
        <v>0</v>
      </c>
      <c r="AK61" s="1" t="str">
        <f t="shared" si="26"/>
        <v>CO2Captured</v>
      </c>
      <c r="AL61" s="12" t="e">
        <f t="shared" si="27"/>
        <v>#DIV/0!</v>
      </c>
      <c r="AM61" s="12" t="e">
        <f t="shared" si="28"/>
        <v>#DIV/0!</v>
      </c>
      <c r="AN61" s="5" t="e">
        <f t="shared" si="29"/>
        <v>#DIV/0!</v>
      </c>
      <c r="AO61" s="12" t="e">
        <f t="shared" si="30"/>
        <v>#DIV/0!</v>
      </c>
      <c r="AP61" s="12" t="e">
        <f t="shared" si="31"/>
        <v>#DIV/0!</v>
      </c>
      <c r="AQ61" s="5" t="e">
        <f t="shared" si="32"/>
        <v>#DIV/0!</v>
      </c>
      <c r="AR61" s="5" t="e">
        <f t="shared" si="33"/>
        <v>#DIV/0!</v>
      </c>
      <c r="AS61" s="1" t="e">
        <f t="shared" si="34"/>
        <v>#DIV/0!</v>
      </c>
      <c r="AT61" s="1" t="e">
        <f t="shared" si="35"/>
        <v>#DIV/0!</v>
      </c>
      <c r="AU61" s="1" t="e">
        <f t="shared" si="36"/>
        <v>#DIV/0!</v>
      </c>
      <c r="AV61" s="1" t="e">
        <f t="shared" si="37"/>
        <v>#DIV/0!</v>
      </c>
      <c r="AW61" s="1" t="e">
        <f t="shared" si="38"/>
        <v>#DIV/0!</v>
      </c>
      <c r="AX61" s="1" t="e">
        <f t="shared" si="39"/>
        <v>#DIV/0!</v>
      </c>
      <c r="AY61" s="1">
        <f t="shared" si="40"/>
        <v>0</v>
      </c>
      <c r="AZ61" s="1" t="e">
        <f>(N61+O61)*-1*#REF!/F61</f>
        <v>#REF!</v>
      </c>
      <c r="BA61" s="1">
        <f t="shared" si="41"/>
        <v>0</v>
      </c>
      <c r="BB61" s="1">
        <f t="shared" si="42"/>
        <v>0</v>
      </c>
      <c r="BC61" s="1" t="e">
        <f>O61*#REF!*-1/F61</f>
        <v>#REF!</v>
      </c>
      <c r="BD61" s="1">
        <f t="shared" si="43"/>
        <v>0</v>
      </c>
      <c r="BE61" s="1">
        <f t="shared" si="44"/>
        <v>0</v>
      </c>
      <c r="BF61" s="1" t="e">
        <f>(N61+O61)*-1*#REF!/F61</f>
        <v>#REF!</v>
      </c>
      <c r="BG61" s="1">
        <f t="shared" si="45"/>
        <v>0</v>
      </c>
      <c r="BH61" s="1">
        <f t="shared" si="46"/>
        <v>0</v>
      </c>
      <c r="BI61" s="1" t="e">
        <f>#REF!/F61*O61*-1</f>
        <v>#REF!</v>
      </c>
      <c r="BJ61" s="1">
        <f t="shared" si="47"/>
        <v>0</v>
      </c>
      <c r="BL61" s="9"/>
      <c r="BM61" s="10"/>
      <c r="BN61" s="9"/>
      <c r="BP61" s="10"/>
      <c r="BQ61" s="10"/>
      <c r="BR61" s="10"/>
      <c r="BT61" s="10"/>
      <c r="BU61" s="10"/>
      <c r="BV61" s="10"/>
      <c r="BW61" s="10"/>
      <c r="BX61" s="10"/>
      <c r="BY61" s="10"/>
    </row>
    <row r="62" spans="2:77" x14ac:dyDescent="0.2">
      <c r="B62" s="14"/>
      <c r="C62" s="13" t="s">
        <v>72</v>
      </c>
      <c r="D62" s="13"/>
      <c r="E62" s="13"/>
      <c r="F62" s="13"/>
      <c r="G62" s="13"/>
      <c r="H62" s="13"/>
      <c r="I62" s="13"/>
      <c r="J62" s="13"/>
      <c r="K62" s="13"/>
      <c r="L62" s="11">
        <f t="shared" si="24"/>
        <v>0</v>
      </c>
      <c r="N62" s="17"/>
      <c r="O62" s="17"/>
      <c r="P62" s="16"/>
      <c r="Q62" s="16"/>
      <c r="R62" s="16"/>
      <c r="S62" s="11">
        <v>21.986353300000001</v>
      </c>
      <c r="T62" s="17"/>
      <c r="U62" s="17"/>
      <c r="V62" s="16"/>
      <c r="W62" s="16"/>
      <c r="X62" s="17"/>
      <c r="Y62" s="17"/>
      <c r="Z62" s="17"/>
      <c r="AA62" s="17"/>
      <c r="AB62" s="17"/>
      <c r="AC62" s="17"/>
      <c r="AD62" s="17"/>
      <c r="AE62" s="16"/>
      <c r="AF62" s="16"/>
      <c r="AG62" s="16"/>
      <c r="AH62" s="16"/>
      <c r="AJ62" s="1">
        <f t="shared" si="25"/>
        <v>0</v>
      </c>
      <c r="AK62" s="1" t="str">
        <f t="shared" si="26"/>
        <v>CO2Captured</v>
      </c>
      <c r="AL62" s="12" t="e">
        <f t="shared" si="27"/>
        <v>#DIV/0!</v>
      </c>
      <c r="AM62" s="12" t="e">
        <f t="shared" si="28"/>
        <v>#DIV/0!</v>
      </c>
      <c r="AN62" s="5" t="e">
        <f t="shared" si="29"/>
        <v>#DIV/0!</v>
      </c>
      <c r="AO62" s="12" t="e">
        <f t="shared" si="30"/>
        <v>#DIV/0!</v>
      </c>
      <c r="AP62" s="12" t="e">
        <f t="shared" si="31"/>
        <v>#DIV/0!</v>
      </c>
      <c r="AQ62" s="5" t="e">
        <f t="shared" si="32"/>
        <v>#DIV/0!</v>
      </c>
      <c r="AR62" s="5" t="e">
        <f t="shared" si="33"/>
        <v>#DIV/0!</v>
      </c>
      <c r="AS62" s="1" t="e">
        <f t="shared" si="34"/>
        <v>#DIV/0!</v>
      </c>
      <c r="AT62" s="1" t="e">
        <f t="shared" si="35"/>
        <v>#DIV/0!</v>
      </c>
      <c r="AU62" s="1" t="e">
        <f t="shared" si="36"/>
        <v>#DIV/0!</v>
      </c>
      <c r="AV62" s="1" t="e">
        <f t="shared" si="37"/>
        <v>#DIV/0!</v>
      </c>
      <c r="AW62" s="1" t="e">
        <f t="shared" si="38"/>
        <v>#DIV/0!</v>
      </c>
      <c r="AX62" s="1" t="e">
        <f t="shared" si="39"/>
        <v>#DIV/0!</v>
      </c>
      <c r="AY62" s="1">
        <f t="shared" si="40"/>
        <v>0</v>
      </c>
      <c r="AZ62" s="1" t="e">
        <f>(N62+O62)*-1*#REF!/F62</f>
        <v>#REF!</v>
      </c>
      <c r="BA62" s="1">
        <f t="shared" si="41"/>
        <v>0</v>
      </c>
      <c r="BB62" s="1">
        <f t="shared" si="42"/>
        <v>0</v>
      </c>
      <c r="BC62" s="1" t="e">
        <f>O62*#REF!*-1/F62</f>
        <v>#REF!</v>
      </c>
      <c r="BD62" s="1">
        <f t="shared" si="43"/>
        <v>0</v>
      </c>
      <c r="BE62" s="1">
        <f t="shared" si="44"/>
        <v>0</v>
      </c>
      <c r="BF62" s="1" t="e">
        <f>(N62+O62)*-1*#REF!/F62</f>
        <v>#REF!</v>
      </c>
      <c r="BG62" s="1">
        <f t="shared" si="45"/>
        <v>0</v>
      </c>
      <c r="BH62" s="1">
        <f t="shared" si="46"/>
        <v>0</v>
      </c>
      <c r="BI62" s="1" t="e">
        <f>#REF!/F62*O62*-1</f>
        <v>#REF!</v>
      </c>
      <c r="BJ62" s="1">
        <f t="shared" si="47"/>
        <v>0</v>
      </c>
      <c r="BL62" s="9"/>
      <c r="BM62" s="10"/>
      <c r="BN62" s="9"/>
      <c r="BP62" s="10"/>
      <c r="BQ62" s="10"/>
      <c r="BR62" s="10"/>
      <c r="BT62" s="10"/>
      <c r="BU62" s="10"/>
      <c r="BV62" s="10"/>
      <c r="BW62" s="10"/>
      <c r="BX62" s="10"/>
      <c r="BY62" s="10"/>
    </row>
    <row r="63" spans="2:77" x14ac:dyDescent="0.2">
      <c r="B63" s="14"/>
      <c r="C63" s="13" t="s">
        <v>72</v>
      </c>
      <c r="D63" s="13"/>
      <c r="E63" s="13"/>
      <c r="F63" s="13"/>
      <c r="G63" s="13"/>
      <c r="H63" s="13"/>
      <c r="I63" s="13"/>
      <c r="J63" s="13"/>
      <c r="K63" s="13"/>
      <c r="L63" s="11">
        <f t="shared" si="24"/>
        <v>0</v>
      </c>
      <c r="N63" s="17"/>
      <c r="O63" s="17"/>
      <c r="P63" s="16"/>
      <c r="Q63" s="16"/>
      <c r="R63" s="16"/>
      <c r="S63" s="11">
        <v>21.986353300000001</v>
      </c>
      <c r="T63" s="17"/>
      <c r="U63" s="17"/>
      <c r="V63" s="16"/>
      <c r="W63" s="16"/>
      <c r="X63" s="17"/>
      <c r="Y63" s="17"/>
      <c r="Z63" s="17"/>
      <c r="AA63" s="17"/>
      <c r="AB63" s="17"/>
      <c r="AC63" s="17"/>
      <c r="AD63" s="17"/>
      <c r="AE63" s="16"/>
      <c r="AF63" s="16"/>
      <c r="AG63" s="16"/>
      <c r="AH63" s="16"/>
      <c r="AJ63" s="1">
        <f t="shared" si="25"/>
        <v>0</v>
      </c>
      <c r="AK63" s="1" t="str">
        <f t="shared" si="26"/>
        <v>CO2Captured</v>
      </c>
      <c r="AL63" s="12" t="e">
        <f t="shared" si="27"/>
        <v>#DIV/0!</v>
      </c>
      <c r="AM63" s="12" t="e">
        <f t="shared" si="28"/>
        <v>#DIV/0!</v>
      </c>
      <c r="AN63" s="5" t="e">
        <f t="shared" si="29"/>
        <v>#DIV/0!</v>
      </c>
      <c r="AO63" s="12" t="e">
        <f t="shared" si="30"/>
        <v>#DIV/0!</v>
      </c>
      <c r="AP63" s="12" t="e">
        <f t="shared" si="31"/>
        <v>#DIV/0!</v>
      </c>
      <c r="AQ63" s="5" t="e">
        <f t="shared" si="32"/>
        <v>#DIV/0!</v>
      </c>
      <c r="AR63" s="5" t="e">
        <f t="shared" si="33"/>
        <v>#DIV/0!</v>
      </c>
      <c r="AS63" s="1" t="e">
        <f t="shared" si="34"/>
        <v>#DIV/0!</v>
      </c>
      <c r="AT63" s="1" t="e">
        <f t="shared" si="35"/>
        <v>#DIV/0!</v>
      </c>
      <c r="AU63" s="1" t="e">
        <f t="shared" si="36"/>
        <v>#DIV/0!</v>
      </c>
      <c r="AV63" s="1" t="e">
        <f t="shared" si="37"/>
        <v>#DIV/0!</v>
      </c>
      <c r="AW63" s="1" t="e">
        <f t="shared" si="38"/>
        <v>#DIV/0!</v>
      </c>
      <c r="AX63" s="1" t="e">
        <f t="shared" si="39"/>
        <v>#DIV/0!</v>
      </c>
      <c r="AY63" s="1">
        <f t="shared" si="40"/>
        <v>0</v>
      </c>
      <c r="AZ63" s="1" t="e">
        <f>(N63+O63)*-1*#REF!/F63</f>
        <v>#REF!</v>
      </c>
      <c r="BA63" s="1">
        <f t="shared" si="41"/>
        <v>0</v>
      </c>
      <c r="BB63" s="1">
        <f t="shared" si="42"/>
        <v>0</v>
      </c>
      <c r="BC63" s="1" t="e">
        <f>O63*#REF!*-1/F63</f>
        <v>#REF!</v>
      </c>
      <c r="BD63" s="1">
        <f t="shared" si="43"/>
        <v>0</v>
      </c>
      <c r="BE63" s="1">
        <f t="shared" si="44"/>
        <v>0</v>
      </c>
      <c r="BF63" s="1" t="e">
        <f>(N63+O63)*-1*#REF!/F63</f>
        <v>#REF!</v>
      </c>
      <c r="BG63" s="1">
        <f t="shared" si="45"/>
        <v>0</v>
      </c>
      <c r="BH63" s="1">
        <f t="shared" si="46"/>
        <v>0</v>
      </c>
      <c r="BI63" s="1" t="e">
        <f>#REF!/F63*O63*-1</f>
        <v>#REF!</v>
      </c>
      <c r="BJ63" s="1">
        <f t="shared" si="47"/>
        <v>0</v>
      </c>
      <c r="BL63" s="9"/>
      <c r="BM63" s="10"/>
      <c r="BN63" s="9"/>
      <c r="BP63" s="10"/>
      <c r="BQ63" s="10"/>
      <c r="BR63" s="10"/>
      <c r="BT63" s="10"/>
      <c r="BU63" s="10"/>
      <c r="BV63" s="10"/>
      <c r="BW63" s="10"/>
      <c r="BX63" s="10"/>
      <c r="BY63" s="10"/>
    </row>
    <row r="64" spans="2:77" x14ac:dyDescent="0.2">
      <c r="B64" s="14"/>
      <c r="C64" s="13" t="s">
        <v>72</v>
      </c>
      <c r="D64" s="13"/>
      <c r="E64" s="13"/>
      <c r="F64" s="13"/>
      <c r="G64" s="13"/>
      <c r="H64" s="13"/>
      <c r="I64" s="13"/>
      <c r="J64" s="13"/>
      <c r="K64" s="13"/>
      <c r="L64" s="11">
        <f t="shared" si="24"/>
        <v>0</v>
      </c>
      <c r="N64" s="17"/>
      <c r="O64" s="17"/>
      <c r="P64" s="16"/>
      <c r="Q64" s="16"/>
      <c r="R64" s="16"/>
      <c r="S64" s="11">
        <v>21.986353300000001</v>
      </c>
      <c r="T64" s="17"/>
      <c r="U64" s="17"/>
      <c r="V64" s="16"/>
      <c r="W64" s="16"/>
      <c r="X64" s="17"/>
      <c r="Y64" s="17"/>
      <c r="Z64" s="17"/>
      <c r="AA64" s="17"/>
      <c r="AB64" s="17"/>
      <c r="AC64" s="17"/>
      <c r="AD64" s="17"/>
      <c r="AE64" s="16"/>
      <c r="AF64" s="16"/>
      <c r="AG64" s="16"/>
      <c r="AH64" s="16"/>
      <c r="AJ64" s="1">
        <f t="shared" si="25"/>
        <v>0</v>
      </c>
      <c r="AK64" s="1" t="str">
        <f t="shared" si="26"/>
        <v>CO2Captured</v>
      </c>
      <c r="AL64" s="12" t="e">
        <f t="shared" si="27"/>
        <v>#DIV/0!</v>
      </c>
      <c r="AM64" s="12" t="e">
        <f t="shared" si="28"/>
        <v>#DIV/0!</v>
      </c>
      <c r="AN64" s="5" t="e">
        <f t="shared" si="29"/>
        <v>#DIV/0!</v>
      </c>
      <c r="AO64" s="12" t="e">
        <f t="shared" si="30"/>
        <v>#DIV/0!</v>
      </c>
      <c r="AP64" s="12" t="e">
        <f t="shared" si="31"/>
        <v>#DIV/0!</v>
      </c>
      <c r="AQ64" s="5" t="e">
        <f t="shared" si="32"/>
        <v>#DIV/0!</v>
      </c>
      <c r="AR64" s="5" t="e">
        <f t="shared" si="33"/>
        <v>#DIV/0!</v>
      </c>
      <c r="AS64" s="1" t="e">
        <f t="shared" si="34"/>
        <v>#DIV/0!</v>
      </c>
      <c r="AT64" s="1" t="e">
        <f t="shared" si="35"/>
        <v>#DIV/0!</v>
      </c>
      <c r="AU64" s="1" t="e">
        <f t="shared" si="36"/>
        <v>#DIV/0!</v>
      </c>
      <c r="AV64" s="1" t="e">
        <f t="shared" si="37"/>
        <v>#DIV/0!</v>
      </c>
      <c r="AW64" s="1" t="e">
        <f t="shared" si="38"/>
        <v>#DIV/0!</v>
      </c>
      <c r="AX64" s="1" t="e">
        <f t="shared" si="39"/>
        <v>#DIV/0!</v>
      </c>
      <c r="AY64" s="1">
        <f t="shared" si="40"/>
        <v>0</v>
      </c>
      <c r="AZ64" s="1" t="e">
        <f>(N64+O64)*-1*#REF!/F64</f>
        <v>#REF!</v>
      </c>
      <c r="BA64" s="1">
        <f t="shared" si="41"/>
        <v>0</v>
      </c>
      <c r="BB64" s="1">
        <f t="shared" si="42"/>
        <v>0</v>
      </c>
      <c r="BC64" s="1" t="e">
        <f>O64*#REF!*-1/F64</f>
        <v>#REF!</v>
      </c>
      <c r="BD64" s="1">
        <f t="shared" si="43"/>
        <v>0</v>
      </c>
      <c r="BE64" s="1">
        <f t="shared" si="44"/>
        <v>0</v>
      </c>
      <c r="BF64" s="1" t="e">
        <f>(N64+O64)*-1*#REF!/F64</f>
        <v>#REF!</v>
      </c>
      <c r="BG64" s="1">
        <f t="shared" si="45"/>
        <v>0</v>
      </c>
      <c r="BH64" s="1">
        <f t="shared" si="46"/>
        <v>0</v>
      </c>
      <c r="BI64" s="1" t="e">
        <f>#REF!/F64*O64*-1</f>
        <v>#REF!</v>
      </c>
      <c r="BJ64" s="1">
        <f t="shared" si="47"/>
        <v>0</v>
      </c>
      <c r="BL64" s="9"/>
      <c r="BM64" s="10"/>
      <c r="BN64" s="9"/>
      <c r="BP64" s="10"/>
      <c r="BQ64" s="10"/>
      <c r="BR64" s="10"/>
      <c r="BT64" s="10"/>
      <c r="BU64" s="10"/>
      <c r="BV64" s="10"/>
      <c r="BW64" s="10"/>
      <c r="BX64" s="10"/>
      <c r="BY64" s="10"/>
    </row>
    <row r="65" spans="2:77" x14ac:dyDescent="0.2">
      <c r="B65" s="14"/>
      <c r="C65" s="13" t="s">
        <v>72</v>
      </c>
      <c r="D65" s="13"/>
      <c r="E65" s="13"/>
      <c r="F65" s="13"/>
      <c r="G65" s="13"/>
      <c r="H65" s="13"/>
      <c r="I65" s="13"/>
      <c r="J65" s="13"/>
      <c r="K65" s="13"/>
      <c r="L65" s="11">
        <f t="shared" si="24"/>
        <v>0</v>
      </c>
      <c r="N65" s="17"/>
      <c r="O65" s="17"/>
      <c r="P65" s="16"/>
      <c r="Q65" s="16"/>
      <c r="R65" s="16"/>
      <c r="S65" s="11">
        <v>21.986353300000001</v>
      </c>
      <c r="T65" s="17"/>
      <c r="U65" s="17"/>
      <c r="V65" s="16"/>
      <c r="W65" s="16"/>
      <c r="X65" s="17"/>
      <c r="Y65" s="17"/>
      <c r="Z65" s="17"/>
      <c r="AA65" s="17"/>
      <c r="AB65" s="17"/>
      <c r="AC65" s="17"/>
      <c r="AD65" s="17"/>
      <c r="AE65" s="16"/>
      <c r="AF65" s="16"/>
      <c r="AG65" s="16"/>
      <c r="AH65" s="16"/>
      <c r="AJ65" s="1">
        <f t="shared" si="25"/>
        <v>0</v>
      </c>
      <c r="AK65" s="1" t="str">
        <f t="shared" si="26"/>
        <v>CO2Captured</v>
      </c>
      <c r="AL65" s="12" t="e">
        <f t="shared" si="27"/>
        <v>#DIV/0!</v>
      </c>
      <c r="AM65" s="12" t="e">
        <f t="shared" si="28"/>
        <v>#DIV/0!</v>
      </c>
      <c r="AN65" s="5" t="e">
        <f t="shared" si="29"/>
        <v>#DIV/0!</v>
      </c>
      <c r="AO65" s="12" t="e">
        <f t="shared" si="30"/>
        <v>#DIV/0!</v>
      </c>
      <c r="AP65" s="12" t="e">
        <f t="shared" si="31"/>
        <v>#DIV/0!</v>
      </c>
      <c r="AQ65" s="5" t="e">
        <f t="shared" si="32"/>
        <v>#DIV/0!</v>
      </c>
      <c r="AR65" s="5" t="e">
        <f t="shared" si="33"/>
        <v>#DIV/0!</v>
      </c>
      <c r="AS65" s="1" t="e">
        <f t="shared" si="34"/>
        <v>#DIV/0!</v>
      </c>
      <c r="AT65" s="1" t="e">
        <f t="shared" si="35"/>
        <v>#DIV/0!</v>
      </c>
      <c r="AU65" s="1" t="e">
        <f t="shared" si="36"/>
        <v>#DIV/0!</v>
      </c>
      <c r="AV65" s="1" t="e">
        <f t="shared" si="37"/>
        <v>#DIV/0!</v>
      </c>
      <c r="AW65" s="1" t="e">
        <f t="shared" si="38"/>
        <v>#DIV/0!</v>
      </c>
      <c r="AX65" s="1" t="e">
        <f t="shared" si="39"/>
        <v>#DIV/0!</v>
      </c>
      <c r="AY65" s="1">
        <f t="shared" si="40"/>
        <v>0</v>
      </c>
      <c r="AZ65" s="1" t="e">
        <f>(N65+O65)*-1*#REF!/F65</f>
        <v>#REF!</v>
      </c>
      <c r="BA65" s="1">
        <f t="shared" si="41"/>
        <v>0</v>
      </c>
      <c r="BB65" s="1">
        <f t="shared" si="42"/>
        <v>0</v>
      </c>
      <c r="BC65" s="1" t="e">
        <f>O65*#REF!*-1/F65</f>
        <v>#REF!</v>
      </c>
      <c r="BD65" s="1">
        <f t="shared" si="43"/>
        <v>0</v>
      </c>
      <c r="BE65" s="1">
        <f t="shared" si="44"/>
        <v>0</v>
      </c>
      <c r="BF65" s="1" t="e">
        <f>(N65+O65)*-1*#REF!/F65</f>
        <v>#REF!</v>
      </c>
      <c r="BG65" s="1">
        <f t="shared" si="45"/>
        <v>0</v>
      </c>
      <c r="BH65" s="1">
        <f t="shared" si="46"/>
        <v>0</v>
      </c>
      <c r="BI65" s="1" t="e">
        <f>#REF!/F65*O65*-1</f>
        <v>#REF!</v>
      </c>
      <c r="BJ65" s="1">
        <f t="shared" si="47"/>
        <v>0</v>
      </c>
      <c r="BL65" s="9"/>
      <c r="BM65" s="10"/>
      <c r="BN65" s="9"/>
      <c r="BP65" s="10"/>
      <c r="BQ65" s="10"/>
      <c r="BR65" s="10"/>
      <c r="BT65" s="10"/>
      <c r="BU65" s="10"/>
      <c r="BV65" s="10"/>
      <c r="BW65" s="10"/>
      <c r="BX65" s="10"/>
      <c r="BY65" s="10"/>
    </row>
    <row r="66" spans="2:77" x14ac:dyDescent="0.2">
      <c r="B66" s="14"/>
      <c r="C66" s="13" t="s">
        <v>72</v>
      </c>
      <c r="D66" s="13"/>
      <c r="E66" s="13"/>
      <c r="F66" s="13"/>
      <c r="G66" s="13"/>
      <c r="H66" s="13"/>
      <c r="I66" s="13"/>
      <c r="J66" s="13"/>
      <c r="K66" s="13"/>
      <c r="L66" s="11">
        <f t="shared" si="24"/>
        <v>0</v>
      </c>
      <c r="N66" s="17"/>
      <c r="O66" s="17"/>
      <c r="P66" s="16"/>
      <c r="Q66" s="16"/>
      <c r="R66" s="16"/>
      <c r="S66" s="11">
        <v>21.986353300000001</v>
      </c>
      <c r="T66" s="17"/>
      <c r="U66" s="17"/>
      <c r="V66" s="16"/>
      <c r="W66" s="16"/>
      <c r="X66" s="17"/>
      <c r="Y66" s="17"/>
      <c r="Z66" s="17"/>
      <c r="AA66" s="17"/>
      <c r="AB66" s="17"/>
      <c r="AC66" s="17"/>
      <c r="AD66" s="17"/>
      <c r="AE66" s="16"/>
      <c r="AF66" s="16"/>
      <c r="AG66" s="16"/>
      <c r="AH66" s="16"/>
      <c r="AJ66" s="1">
        <f t="shared" si="25"/>
        <v>0</v>
      </c>
      <c r="AK66" s="1" t="str">
        <f t="shared" si="26"/>
        <v>CO2Captured</v>
      </c>
      <c r="AL66" s="12" t="e">
        <f t="shared" si="27"/>
        <v>#DIV/0!</v>
      </c>
      <c r="AM66" s="12" t="e">
        <f t="shared" si="28"/>
        <v>#DIV/0!</v>
      </c>
      <c r="AN66" s="5" t="e">
        <f t="shared" si="29"/>
        <v>#DIV/0!</v>
      </c>
      <c r="AO66" s="12" t="e">
        <f t="shared" si="30"/>
        <v>#DIV/0!</v>
      </c>
      <c r="AP66" s="12" t="e">
        <f t="shared" si="31"/>
        <v>#DIV/0!</v>
      </c>
      <c r="AQ66" s="5" t="e">
        <f t="shared" si="32"/>
        <v>#DIV/0!</v>
      </c>
      <c r="AR66" s="5" t="e">
        <f t="shared" si="33"/>
        <v>#DIV/0!</v>
      </c>
      <c r="AS66" s="1" t="e">
        <f t="shared" si="34"/>
        <v>#DIV/0!</v>
      </c>
      <c r="AT66" s="1" t="e">
        <f t="shared" si="35"/>
        <v>#DIV/0!</v>
      </c>
      <c r="AU66" s="1" t="e">
        <f t="shared" si="36"/>
        <v>#DIV/0!</v>
      </c>
      <c r="AV66" s="1" t="e">
        <f t="shared" si="37"/>
        <v>#DIV/0!</v>
      </c>
      <c r="AW66" s="1" t="e">
        <f t="shared" si="38"/>
        <v>#DIV/0!</v>
      </c>
      <c r="AX66" s="1" t="e">
        <f t="shared" si="39"/>
        <v>#DIV/0!</v>
      </c>
      <c r="AY66" s="1">
        <f t="shared" si="40"/>
        <v>0</v>
      </c>
      <c r="AZ66" s="1" t="e">
        <f>(N66+O66)*-1*#REF!/F66</f>
        <v>#REF!</v>
      </c>
      <c r="BA66" s="1">
        <f t="shared" si="41"/>
        <v>0</v>
      </c>
      <c r="BB66" s="1">
        <f t="shared" si="42"/>
        <v>0</v>
      </c>
      <c r="BC66" s="1" t="e">
        <f>O66*#REF!*-1/F66</f>
        <v>#REF!</v>
      </c>
      <c r="BD66" s="1">
        <f t="shared" si="43"/>
        <v>0</v>
      </c>
      <c r="BE66" s="1">
        <f t="shared" si="44"/>
        <v>0</v>
      </c>
      <c r="BF66" s="1" t="e">
        <f>(N66+O66)*-1*#REF!/F66</f>
        <v>#REF!</v>
      </c>
      <c r="BG66" s="1">
        <f t="shared" si="45"/>
        <v>0</v>
      </c>
      <c r="BH66" s="1">
        <f t="shared" si="46"/>
        <v>0</v>
      </c>
      <c r="BI66" s="1" t="e">
        <f>#REF!/F66*O66*-1</f>
        <v>#REF!</v>
      </c>
      <c r="BJ66" s="1">
        <f t="shared" si="47"/>
        <v>0</v>
      </c>
      <c r="BL66" s="9"/>
      <c r="BM66" s="10"/>
      <c r="BN66" s="9"/>
      <c r="BP66" s="10"/>
      <c r="BQ66" s="10"/>
      <c r="BR66" s="10"/>
      <c r="BT66" s="10"/>
      <c r="BU66" s="10"/>
      <c r="BV66" s="10"/>
      <c r="BW66" s="10"/>
      <c r="BX66" s="10"/>
      <c r="BY66" s="10"/>
    </row>
    <row r="67" spans="2:77" x14ac:dyDescent="0.2">
      <c r="AL67" s="5"/>
      <c r="AM67" s="5"/>
      <c r="AN67" s="5"/>
      <c r="AO67" s="5"/>
      <c r="AP67" s="5"/>
      <c r="AQ67" s="5"/>
      <c r="AR67" s="5"/>
      <c r="BL67" s="8"/>
      <c r="BN67" s="8"/>
    </row>
    <row r="68" spans="2:77" x14ac:dyDescent="0.2">
      <c r="AL68" s="5"/>
      <c r="AM68" s="5"/>
      <c r="AN68" s="5"/>
      <c r="AO68" s="5"/>
      <c r="AP68" s="5"/>
      <c r="AQ68" s="5"/>
      <c r="AR68" s="5"/>
      <c r="BL68" s="8"/>
      <c r="BN68" s="8"/>
    </row>
    <row r="69" spans="2:77" x14ac:dyDescent="0.2">
      <c r="AL69" s="5"/>
      <c r="AM69" s="5"/>
      <c r="AN69" s="5"/>
      <c r="AO69" s="5"/>
      <c r="AP69" s="5"/>
      <c r="AQ69" s="5"/>
      <c r="AR69" s="5"/>
      <c r="BL69" s="8"/>
      <c r="BN69" s="8"/>
    </row>
    <row r="70" spans="2:77" x14ac:dyDescent="0.2">
      <c r="AL70" s="5"/>
      <c r="AM70" s="5"/>
      <c r="AN70" s="5"/>
      <c r="AO70" s="5"/>
      <c r="AP70" s="5"/>
      <c r="AQ70" s="5"/>
      <c r="AR70" s="5"/>
      <c r="BL70" s="8"/>
      <c r="BN70" s="8"/>
    </row>
    <row r="71" spans="2:77" x14ac:dyDescent="0.2">
      <c r="AL71" s="5"/>
      <c r="AM71" s="5"/>
      <c r="AN71" s="5"/>
      <c r="AO71" s="5"/>
      <c r="AP71" s="5"/>
      <c r="AQ71" s="5"/>
      <c r="AR71" s="5"/>
      <c r="BL71" s="8"/>
      <c r="BN71" s="8"/>
    </row>
    <row r="72" spans="2:77" x14ac:dyDescent="0.2">
      <c r="AL72" s="5"/>
      <c r="AM72" s="5"/>
      <c r="AN72" s="5"/>
      <c r="AO72" s="5"/>
      <c r="AP72" s="5"/>
      <c r="AQ72" s="5"/>
      <c r="AR72" s="5"/>
      <c r="BL72" s="8"/>
      <c r="BN72" s="8"/>
    </row>
    <row r="73" spans="2:77" x14ac:dyDescent="0.2">
      <c r="AL73" s="5"/>
      <c r="AM73" s="5"/>
      <c r="AN73" s="5"/>
      <c r="AO73" s="5"/>
      <c r="AP73" s="5"/>
      <c r="AQ73" s="5"/>
      <c r="AR73" s="5"/>
      <c r="BL73" s="8"/>
      <c r="BN73" s="8"/>
    </row>
    <row r="74" spans="2:77" x14ac:dyDescent="0.2">
      <c r="AL74" s="5"/>
      <c r="AM74" s="5"/>
      <c r="AN74" s="5"/>
      <c r="AO74" s="5"/>
      <c r="AP74" s="5"/>
      <c r="AQ74" s="5"/>
      <c r="AR74" s="5"/>
      <c r="BL74" s="8"/>
      <c r="BN74" s="8"/>
    </row>
    <row r="75" spans="2:77" x14ac:dyDescent="0.2">
      <c r="AL75" s="5"/>
      <c r="AM75" s="5"/>
      <c r="AN75" s="5"/>
      <c r="AO75" s="5"/>
      <c r="AP75" s="5"/>
      <c r="AQ75" s="5"/>
      <c r="AR75" s="5"/>
      <c r="BL75" s="8"/>
      <c r="BN75" s="8"/>
    </row>
    <row r="76" spans="2:77" x14ac:dyDescent="0.2">
      <c r="AL76" s="5"/>
      <c r="AM76" s="5"/>
      <c r="AN76" s="5"/>
      <c r="AO76" s="5"/>
      <c r="AP76" s="5"/>
      <c r="AQ76" s="5"/>
      <c r="AR76" s="5"/>
      <c r="BL76" s="8"/>
      <c r="BN76" s="8"/>
    </row>
    <row r="77" spans="2:77" x14ac:dyDescent="0.2">
      <c r="AL77" s="5"/>
      <c r="AM77" s="5"/>
      <c r="AN77" s="5"/>
      <c r="AO77" s="5"/>
      <c r="AP77" s="5"/>
      <c r="AQ77" s="5"/>
      <c r="AR77" s="5"/>
      <c r="BL77" s="8"/>
      <c r="BN77" s="8"/>
    </row>
    <row r="78" spans="2:77" x14ac:dyDescent="0.2">
      <c r="AL78" s="5"/>
      <c r="AM78" s="5"/>
      <c r="AN78" s="5"/>
      <c r="AO78" s="5"/>
      <c r="AP78" s="5"/>
      <c r="AQ78" s="5"/>
      <c r="AR78" s="5"/>
      <c r="BL78" s="8"/>
      <c r="BN78" s="8"/>
    </row>
    <row r="79" spans="2:77" x14ac:dyDescent="0.2">
      <c r="AL79" s="5"/>
      <c r="AM79" s="5"/>
      <c r="AN79" s="5"/>
      <c r="AO79" s="5"/>
      <c r="AP79" s="5"/>
      <c r="AQ79" s="5"/>
      <c r="AR79" s="5"/>
      <c r="BL79" s="8"/>
      <c r="BN79" s="8"/>
    </row>
    <row r="80" spans="2:77" x14ac:dyDescent="0.2">
      <c r="AL80" s="5"/>
      <c r="AM80" s="5"/>
      <c r="AN80" s="5"/>
      <c r="AO80" s="5"/>
      <c r="AP80" s="5"/>
      <c r="AQ80" s="5"/>
      <c r="AR80" s="5"/>
      <c r="BL80" s="8"/>
      <c r="BN80" s="8"/>
    </row>
    <row r="81" spans="38:66" x14ac:dyDescent="0.2">
      <c r="AL81" s="5"/>
      <c r="AM81" s="5"/>
      <c r="AN81" s="5"/>
      <c r="AO81" s="5"/>
      <c r="AP81" s="5"/>
      <c r="AQ81" s="5"/>
      <c r="AR81" s="5"/>
      <c r="BL81" s="8"/>
      <c r="BN81" s="8"/>
    </row>
    <row r="82" spans="38:66" x14ac:dyDescent="0.2">
      <c r="AL82" s="5"/>
      <c r="AM82" s="5"/>
      <c r="AN82" s="5"/>
      <c r="AO82" s="5"/>
      <c r="AP82" s="5"/>
      <c r="AQ82" s="5"/>
      <c r="AR82" s="5"/>
      <c r="BL82" s="8"/>
      <c r="BN82" s="8"/>
    </row>
    <row r="83" spans="38:66" x14ac:dyDescent="0.2">
      <c r="AL83" s="5"/>
      <c r="AM83" s="5"/>
      <c r="AN83" s="5"/>
      <c r="AO83" s="5"/>
      <c r="AP83" s="5"/>
      <c r="AQ83" s="5"/>
      <c r="AR83" s="5"/>
      <c r="BL83" s="8"/>
      <c r="BN83" s="8"/>
    </row>
    <row r="84" spans="38:66" x14ac:dyDescent="0.2">
      <c r="AL84" s="5"/>
      <c r="AM84" s="5"/>
      <c r="AN84" s="5"/>
      <c r="AO84" s="5"/>
      <c r="AP84" s="5"/>
      <c r="AQ84" s="5"/>
      <c r="AR84" s="5"/>
      <c r="BL84" s="8"/>
      <c r="BN84" s="8"/>
    </row>
    <row r="85" spans="38:66" x14ac:dyDescent="0.2">
      <c r="AL85" s="5"/>
      <c r="AM85" s="5"/>
      <c r="AN85" s="5"/>
      <c r="AO85" s="5"/>
      <c r="AP85" s="5"/>
      <c r="AQ85" s="5"/>
      <c r="AR85" s="5"/>
      <c r="BL85" s="8"/>
      <c r="BN85" s="8"/>
    </row>
    <row r="86" spans="38:66" x14ac:dyDescent="0.2">
      <c r="AL86" s="5"/>
      <c r="AM86" s="5"/>
      <c r="AN86" s="5"/>
      <c r="AO86" s="5"/>
      <c r="AP86" s="5"/>
      <c r="AQ86" s="5"/>
      <c r="AR86" s="5"/>
      <c r="BL86" s="8"/>
      <c r="BN86" s="8"/>
    </row>
    <row r="87" spans="38:66" x14ac:dyDescent="0.2">
      <c r="AL87" s="5"/>
      <c r="AM87" s="5"/>
      <c r="AN87" s="5"/>
      <c r="AO87" s="5"/>
      <c r="AP87" s="5"/>
      <c r="AQ87" s="5"/>
      <c r="AR87" s="5"/>
      <c r="BL87" s="8"/>
      <c r="BN87" s="8"/>
    </row>
    <row r="88" spans="38:66" x14ac:dyDescent="0.2">
      <c r="AL88" s="5"/>
      <c r="AM88" s="5"/>
      <c r="AN88" s="5"/>
      <c r="AO88" s="5"/>
      <c r="AP88" s="5"/>
      <c r="AQ88" s="5"/>
      <c r="AR88" s="5"/>
      <c r="BL88" s="8"/>
      <c r="BN88" s="8"/>
    </row>
    <row r="89" spans="38:66" x14ac:dyDescent="0.2">
      <c r="AL89" s="5"/>
      <c r="AM89" s="5"/>
      <c r="AN89" s="5"/>
      <c r="AO89" s="5"/>
      <c r="AP89" s="5"/>
      <c r="AQ89" s="5"/>
      <c r="AR89" s="5"/>
      <c r="BL89" s="8"/>
      <c r="BN89" s="8"/>
    </row>
    <row r="90" spans="38:66" x14ac:dyDescent="0.2">
      <c r="AL90" s="5"/>
      <c r="AM90" s="5"/>
      <c r="AN90" s="5"/>
      <c r="AO90" s="5"/>
      <c r="AP90" s="5"/>
      <c r="AQ90" s="5"/>
      <c r="AR90" s="5"/>
      <c r="BL90" s="8"/>
      <c r="BN90" s="8"/>
    </row>
    <row r="91" spans="38:66" x14ac:dyDescent="0.2">
      <c r="AL91" s="5"/>
      <c r="AM91" s="5"/>
      <c r="AN91" s="5"/>
      <c r="AO91" s="5"/>
      <c r="AP91" s="5"/>
      <c r="AQ91" s="5"/>
      <c r="AR91" s="5"/>
      <c r="BL91" s="8"/>
      <c r="BN91" s="8"/>
    </row>
    <row r="92" spans="38:66" x14ac:dyDescent="0.2">
      <c r="AL92" s="5"/>
      <c r="AM92" s="5"/>
      <c r="AN92" s="5"/>
      <c r="AO92" s="5"/>
      <c r="AP92" s="5"/>
      <c r="AQ92" s="5"/>
      <c r="AR92" s="5"/>
      <c r="BL92" s="8"/>
      <c r="BN92" s="8"/>
    </row>
    <row r="93" spans="38:66" x14ac:dyDescent="0.2">
      <c r="AL93" s="5"/>
      <c r="AM93" s="5"/>
      <c r="AN93" s="5"/>
      <c r="AO93" s="5"/>
      <c r="AP93" s="5"/>
      <c r="AQ93" s="5"/>
      <c r="AR93" s="5"/>
      <c r="BL93" s="8"/>
      <c r="BN93" s="8"/>
    </row>
    <row r="94" spans="38:66" x14ac:dyDescent="0.2">
      <c r="AL94" s="5"/>
      <c r="AM94" s="5"/>
      <c r="AN94" s="5"/>
      <c r="AO94" s="5"/>
      <c r="AP94" s="5"/>
      <c r="AQ94" s="5"/>
      <c r="AR94" s="5"/>
      <c r="BL94" s="8"/>
      <c r="BN94" s="8"/>
    </row>
    <row r="95" spans="38:66" x14ac:dyDescent="0.2">
      <c r="AL95" s="5"/>
      <c r="AM95" s="5"/>
      <c r="AN95" s="5"/>
      <c r="AO95" s="5"/>
      <c r="AP95" s="5"/>
      <c r="AQ95" s="5"/>
      <c r="AR95" s="5"/>
      <c r="BL95" s="8"/>
      <c r="BN95" s="8"/>
    </row>
    <row r="96" spans="38:66" x14ac:dyDescent="0.2">
      <c r="AL96" s="5"/>
      <c r="AM96" s="5"/>
      <c r="AN96" s="5"/>
      <c r="AO96" s="5"/>
      <c r="AP96" s="5"/>
      <c r="AQ96" s="5"/>
      <c r="AR96" s="5"/>
      <c r="BL96" s="8"/>
      <c r="BN96" s="8"/>
    </row>
    <row r="97" spans="38:66" x14ac:dyDescent="0.2">
      <c r="AL97" s="5"/>
      <c r="AM97" s="5"/>
      <c r="AN97" s="5"/>
      <c r="AO97" s="5"/>
      <c r="AP97" s="5"/>
      <c r="AQ97" s="5"/>
      <c r="AR97" s="5"/>
      <c r="BL97" s="8"/>
      <c r="BN97" s="8"/>
    </row>
    <row r="98" spans="38:66" x14ac:dyDescent="0.2">
      <c r="AL98" s="5"/>
      <c r="AM98" s="5"/>
      <c r="AN98" s="5"/>
      <c r="AO98" s="5"/>
      <c r="AP98" s="5"/>
      <c r="AQ98" s="5"/>
      <c r="AR98" s="5"/>
      <c r="BL98" s="8"/>
      <c r="BN98" s="8"/>
    </row>
    <row r="99" spans="38:66" x14ac:dyDescent="0.2">
      <c r="AL99" s="5"/>
      <c r="AM99" s="5"/>
      <c r="AN99" s="5"/>
      <c r="AO99" s="5"/>
      <c r="AP99" s="5"/>
      <c r="AQ99" s="5"/>
      <c r="AR99" s="5"/>
      <c r="BL99" s="8"/>
      <c r="BN99" s="8"/>
    </row>
    <row r="100" spans="38:66" x14ac:dyDescent="0.2">
      <c r="AL100" s="5"/>
      <c r="AM100" s="5"/>
      <c r="AN100" s="5"/>
      <c r="AO100" s="5"/>
      <c r="AP100" s="5"/>
      <c r="AQ100" s="5"/>
      <c r="AR100" s="5"/>
      <c r="BL100" s="8"/>
      <c r="BN100" s="8"/>
    </row>
    <row r="101" spans="38:66" x14ac:dyDescent="0.2">
      <c r="AL101" s="5"/>
      <c r="AM101" s="5"/>
      <c r="AN101" s="5"/>
      <c r="AO101" s="5"/>
      <c r="AP101" s="5"/>
      <c r="AQ101" s="5"/>
      <c r="AR101" s="5"/>
      <c r="BL101" s="8"/>
      <c r="BN101" s="8"/>
    </row>
    <row r="102" spans="38:66" x14ac:dyDescent="0.2">
      <c r="AL102" s="5"/>
      <c r="AM102" s="5"/>
      <c r="AN102" s="5"/>
      <c r="AO102" s="5"/>
      <c r="AP102" s="5"/>
      <c r="AQ102" s="5"/>
      <c r="AR102" s="5"/>
      <c r="BL102" s="8"/>
      <c r="BN102" s="8"/>
    </row>
    <row r="103" spans="38:66" x14ac:dyDescent="0.2">
      <c r="AL103" s="5"/>
      <c r="AM103" s="5"/>
      <c r="AN103" s="5"/>
      <c r="AO103" s="5"/>
      <c r="AP103" s="5"/>
      <c r="AQ103" s="5"/>
      <c r="AR103" s="5"/>
      <c r="BL103" s="8"/>
      <c r="BN103" s="8"/>
    </row>
    <row r="104" spans="38:66" x14ac:dyDescent="0.2">
      <c r="AL104" s="5"/>
      <c r="AM104" s="5"/>
      <c r="AN104" s="5"/>
      <c r="AO104" s="5"/>
      <c r="AP104" s="5"/>
      <c r="AQ104" s="5"/>
      <c r="AR104" s="5"/>
      <c r="BL104" s="8"/>
      <c r="BN104" s="8"/>
    </row>
    <row r="105" spans="38:66" x14ac:dyDescent="0.2">
      <c r="AL105" s="5"/>
      <c r="AM105" s="5"/>
      <c r="AN105" s="5"/>
      <c r="AO105" s="5"/>
      <c r="AP105" s="5"/>
      <c r="AQ105" s="5"/>
      <c r="AR105" s="5"/>
    </row>
    <row r="106" spans="38:66" x14ac:dyDescent="0.2">
      <c r="AL106" s="5"/>
      <c r="AM106" s="5"/>
      <c r="AN106" s="5"/>
      <c r="AO106" s="5"/>
      <c r="AP106" s="5"/>
      <c r="AQ106" s="5"/>
      <c r="AR106" s="5"/>
    </row>
    <row r="107" spans="38:66" x14ac:dyDescent="0.2">
      <c r="AL107" s="5"/>
      <c r="AM107" s="5"/>
      <c r="AN107" s="5"/>
      <c r="AO107" s="5"/>
      <c r="AP107" s="5"/>
      <c r="AQ107" s="5"/>
      <c r="AR107" s="5"/>
    </row>
    <row r="108" spans="38:66" x14ac:dyDescent="0.2">
      <c r="AR10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2026-04-06T20:22:20Z</dcterms:modified>
</cp:coreProperties>
</file>