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bbie/MacroEnergy-Abbie.jl/MacroEnergyExamples/lcoe_plots/synthetic_ethylene_lcoe/"/>
    </mc:Choice>
  </mc:AlternateContent>
  <xr:revisionPtr revIDLastSave="0" documentId="13_ncr:1_{045CEA40-E0D5-584E-A98B-E6AAD97B4EC0}" xr6:coauthVersionLast="47" xr6:coauthVersionMax="47" xr10:uidLastSave="{00000000-0000-0000-0000-000000000000}"/>
  <bookViews>
    <workbookView xWindow="0" yWindow="740" windowWidth="29400" windowHeight="17740" xr2:uid="{00000000-000D-0000-FFFF-FFFF00000000}"/>
  </bookViews>
  <sheets>
    <sheet name="lc_detailed" sheetId="1" r:id="rId1"/>
    <sheet name="lc_summary_noseq" sheetId="2" r:id="rId2"/>
    <sheet name="lc_summary_seq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3" l="1"/>
  <c r="K3" i="3"/>
  <c r="K4" i="2"/>
  <c r="J4" i="2"/>
  <c r="K3" i="2"/>
  <c r="G3" i="2"/>
  <c r="CE5" i="1"/>
  <c r="BQ3" i="1" s="1"/>
  <c r="BP4" i="1"/>
  <c r="BW4" i="1" s="1"/>
  <c r="BO4" i="1"/>
  <c r="BZ4" i="1" s="1"/>
  <c r="BN4" i="1"/>
  <c r="BV4" i="1" s="1"/>
  <c r="BY4" i="1" s="1"/>
  <c r="BT4" i="1" s="1"/>
  <c r="AZ4" i="1"/>
  <c r="J4" i="3" s="1"/>
  <c r="AY4" i="1"/>
  <c r="I4" i="2" s="1"/>
  <c r="AX4" i="1"/>
  <c r="H4" i="3" s="1"/>
  <c r="AW4" i="1"/>
  <c r="G4" i="3" s="1"/>
  <c r="AV4" i="1"/>
  <c r="F4" i="2" s="1"/>
  <c r="AU4" i="1"/>
  <c r="E4" i="3" s="1"/>
  <c r="AT4" i="1"/>
  <c r="D4" i="3" s="1"/>
  <c r="AS4" i="1"/>
  <c r="C4" i="3" s="1"/>
  <c r="AL4" i="1"/>
  <c r="AK4" i="1"/>
  <c r="B4" i="3" s="1"/>
  <c r="BP3" i="1"/>
  <c r="BW3" i="1" s="1"/>
  <c r="BO3" i="1"/>
  <c r="BZ3" i="1" s="1"/>
  <c r="BN3" i="1"/>
  <c r="BV3" i="1" s="1"/>
  <c r="AZ3" i="1"/>
  <c r="J3" i="2" s="1"/>
  <c r="AY3" i="1"/>
  <c r="I3" i="2" s="1"/>
  <c r="AX3" i="1"/>
  <c r="H3" i="2" s="1"/>
  <c r="AW3" i="1"/>
  <c r="G3" i="3" s="1"/>
  <c r="AV3" i="1"/>
  <c r="F3" i="3" s="1"/>
  <c r="AU3" i="1"/>
  <c r="E3" i="2" s="1"/>
  <c r="AT3" i="1"/>
  <c r="D3" i="2" s="1"/>
  <c r="AS3" i="1"/>
  <c r="C3" i="2" s="1"/>
  <c r="AL3" i="1"/>
  <c r="AK3" i="1"/>
  <c r="B3" i="2" s="1"/>
  <c r="F3" i="2" l="1"/>
  <c r="B4" i="2"/>
  <c r="C4" i="2"/>
  <c r="BQ4" i="1"/>
  <c r="G4" i="2"/>
  <c r="I4" i="3"/>
  <c r="H4" i="2"/>
  <c r="BA4" i="1"/>
  <c r="BC4" i="1" s="1"/>
  <c r="I3" i="3"/>
  <c r="B3" i="3"/>
  <c r="J3" i="3"/>
  <c r="H3" i="3"/>
  <c r="BY3" i="1"/>
  <c r="BT3" i="1" s="1"/>
  <c r="D4" i="2"/>
  <c r="E3" i="3"/>
  <c r="F4" i="3"/>
  <c r="BX3" i="1"/>
  <c r="BA3" i="1" s="1"/>
  <c r="BC3" i="1" s="1"/>
  <c r="C3" i="3"/>
  <c r="D3" i="3"/>
  <c r="BD3" i="1"/>
  <c r="BX4" i="1"/>
  <c r="BD4" i="1" s="1"/>
  <c r="E4" i="2"/>
  <c r="BG3" i="1" l="1"/>
  <c r="CB3" i="1"/>
  <c r="BJ4" i="1"/>
  <c r="BL4" i="1" s="1"/>
  <c r="AQ4" i="1" s="1"/>
  <c r="CA4" i="1"/>
  <c r="CB4" i="1"/>
  <c r="CA3" i="1"/>
  <c r="BJ3" i="1"/>
  <c r="BL3" i="1" s="1"/>
  <c r="AQ3" i="1" s="1"/>
  <c r="BG4" i="1"/>
  <c r="M4" i="2" s="1"/>
  <c r="AM3" i="1"/>
  <c r="L3" i="3"/>
  <c r="M4" i="3"/>
  <c r="BF4" i="1"/>
  <c r="AN4" i="1" s="1"/>
  <c r="BF3" i="1"/>
  <c r="AN3" i="1" s="1"/>
  <c r="M3" i="3"/>
  <c r="L4" i="3"/>
  <c r="P4" i="3" s="1"/>
  <c r="AM4" i="1"/>
  <c r="M3" i="2"/>
  <c r="BI3" i="1"/>
  <c r="P3" i="3"/>
  <c r="BI4" i="1"/>
  <c r="L3" i="2" l="1"/>
  <c r="P3" i="2" s="1"/>
  <c r="AP3" i="1"/>
  <c r="AO4" i="1"/>
  <c r="N4" i="3"/>
  <c r="O4" i="3" s="1"/>
  <c r="AP4" i="1"/>
  <c r="L4" i="2"/>
  <c r="P4" i="2" s="1"/>
  <c r="AO3" i="1"/>
  <c r="N3" i="3"/>
  <c r="O3" i="3" s="1"/>
  <c r="N3" i="2" l="1"/>
  <c r="O3" i="2" s="1"/>
  <c r="AR3" i="1"/>
  <c r="N4" i="2"/>
  <c r="O4" i="2" s="1"/>
  <c r="AR4" i="1"/>
</calcChain>
</file>

<file path=xl/sharedStrings.xml><?xml version="1.0" encoding="utf-8"?>
<sst xmlns="http://schemas.openxmlformats.org/spreadsheetml/2006/main" count="141" uniqueCount="95">
  <si>
    <t>Asset Parameters (normalized by commodity feedstock)</t>
  </si>
  <si>
    <t>Duals</t>
  </si>
  <si>
    <t>LCOE for assets with ethane capacity ($/t-ethylene)</t>
  </si>
  <si>
    <t>SEQ - CI</t>
  </si>
  <si>
    <t>SEQ - CREDIT</t>
  </si>
  <si>
    <t>NO SEQ - CI</t>
  </si>
  <si>
    <t>NO SEQ - CREDIT</t>
  </si>
  <si>
    <t>CHEM SEQUESTRATION - CARBON INTENSITY</t>
  </si>
  <si>
    <t>CHEM SEQUESTRATION - CREDIT</t>
  </si>
  <si>
    <t>NO CHEM SEQUESTRATION - CARBON INTENSITY</t>
  </si>
  <si>
    <t>NO CHEM SEQUESTRATION - CREDIT</t>
  </si>
  <si>
    <t>Carbon Content</t>
  </si>
  <si>
    <t>Carbon Inputs</t>
  </si>
  <si>
    <t>Carbon Outputs</t>
  </si>
  <si>
    <t>Assumptions</t>
  </si>
  <si>
    <t>id</t>
  </si>
  <si>
    <t>commodity</t>
  </si>
  <si>
    <t>CCS</t>
  </si>
  <si>
    <t>h2_consumption (MWh/t-CO2Captured)</t>
  </si>
  <si>
    <t>elec_consumption (MWh/t-CO2Captured)</t>
  </si>
  <si>
    <t>ethylene_production (t-ethylene/t-CO2Captured)</t>
  </si>
  <si>
    <t>natgas_production (MWh/t-CO2Captured)</t>
  </si>
  <si>
    <t>gasoline_production (MWh/t-CO2Captured)</t>
  </si>
  <si>
    <t>emission_rate (t-CO2/t-CO2Captured)</t>
  </si>
  <si>
    <t>investment_cost ($/yr per t-CO2Captured/hr)</t>
  </si>
  <si>
    <t>fixed_om_cost ($/yr per t-CO2Captured/hr)</t>
  </si>
  <si>
    <t>variable_om_cost ($/t-CO2Captured)</t>
  </si>
  <si>
    <t>co2_sink ($/t)</t>
  </si>
  <si>
    <t>co2_captured ($/t)</t>
  </si>
  <si>
    <t>bioherb_supply ($/t)</t>
  </si>
  <si>
    <t>biowood_supply ($/t)</t>
  </si>
  <si>
    <t>bioagri_supply ($/t)</t>
  </si>
  <si>
    <t>ethane_supply ($/MWh)</t>
  </si>
  <si>
    <t>ethanol_balance ($/MWh)</t>
  </si>
  <si>
    <t>ethanol_demand ($/MWh)</t>
  </si>
  <si>
    <t>elec_demand ($/MWh)</t>
  </si>
  <si>
    <t>h2_balance ($/MWh)</t>
  </si>
  <si>
    <t>h2_demand ($/MWh)</t>
  </si>
  <si>
    <t>gasoline_balance ($/MWh)</t>
  </si>
  <si>
    <t>gasoline_demand ($/MWh)</t>
  </si>
  <si>
    <t>diesel_balance ($/MWh)</t>
  </si>
  <si>
    <t>diesel_demand ($/MWh)</t>
  </si>
  <si>
    <t>jetfuel_balance ($/MWh)</t>
  </si>
  <si>
    <t>jetfuel_demand ($/MWh)</t>
  </si>
  <si>
    <t>ng_balance ($/MWh)</t>
  </si>
  <si>
    <t>ng_demand ($/MWh)</t>
  </si>
  <si>
    <t>ethylene_balance ($/t)</t>
  </si>
  <si>
    <t>ethylene_demand ($/t)</t>
  </si>
  <si>
    <t>id_LC</t>
  </si>
  <si>
    <t>commodity_LC</t>
  </si>
  <si>
    <t>LCOE ($/t-ethylene)</t>
  </si>
  <si>
    <t>Diff. Between Methods</t>
  </si>
  <si>
    <t>h2_consumption</t>
  </si>
  <si>
    <t>elec_consumption</t>
  </si>
  <si>
    <t>co2captured_consumption</t>
  </si>
  <si>
    <t>natgas_production</t>
  </si>
  <si>
    <t>gasoline_production</t>
  </si>
  <si>
    <t>investment_cost</t>
  </si>
  <si>
    <t>fixed_om_cost</t>
  </si>
  <si>
    <t>variable_om_cost</t>
  </si>
  <si>
    <t>CI</t>
  </si>
  <si>
    <t>modified capture cost</t>
  </si>
  <si>
    <t>modified emissions cost</t>
  </si>
  <si>
    <t>Ethylene (t-CO2/t-ethylene)</t>
  </si>
  <si>
    <t>Gasoline (t-CO2/MWh-gasoline)</t>
  </si>
  <si>
    <t>NG (t-CO2/MWh-NG)</t>
  </si>
  <si>
    <t>LPG (t-CO2/t-LPG)</t>
  </si>
  <si>
    <t>CO2Captured (t-CO2/t-CO2Captured)</t>
  </si>
  <si>
    <t>CO2Captured - RECYCLE ADJUSTED  (t-CO2/t-CO2Captured)</t>
  </si>
  <si>
    <t>Ethylene (t-CO2/t-CO2Captured)</t>
  </si>
  <si>
    <t>NG (t-CO2/t-CO2Captured)</t>
  </si>
  <si>
    <t>Emissions (t-CO2/t-CO2Captured)</t>
  </si>
  <si>
    <t>Captured (t-CO2/t-CO2Captured)</t>
  </si>
  <si>
    <t>Gasoline (t-CO2/t-CO2Captured)</t>
  </si>
  <si>
    <t>RECYCLED Output (t-CO2/t-CO2Captured)</t>
  </si>
  <si>
    <t>STORED Output (t-CO2/t-CO2Captured)</t>
  </si>
  <si>
    <t>Ethylene Carbon Content</t>
  </si>
  <si>
    <t>t-CO2/t-ethylene</t>
  </si>
  <si>
    <t>Synthetic_Ethylene_Non_CCS</t>
  </si>
  <si>
    <t>CO2Captured</t>
  </si>
  <si>
    <t>Gasoline Carbon Content</t>
  </si>
  <si>
    <t>t-CO2/MWh-gasoline</t>
  </si>
  <si>
    <t>Synthetic_Ethylene_CCS_90</t>
  </si>
  <si>
    <t>Natural Gas Carbon Content</t>
  </si>
  <si>
    <t>t-CO2/MWh-natgas</t>
  </si>
  <si>
    <t>LPG Carbon Content</t>
  </si>
  <si>
    <t>t-CO2/t-LPG</t>
  </si>
  <si>
    <t>Capacity Factor</t>
  </si>
  <si>
    <t>%</t>
  </si>
  <si>
    <t>Levelized cost for Synthetic Ethylene Production - $/GJ-ethylene - no chemicals CO2 sequestration</t>
  </si>
  <si>
    <t>LCOE ($/GJ-ethylene)</t>
  </si>
  <si>
    <t>CHECK LCOE ($/GJ-ethylene)</t>
  </si>
  <si>
    <t>Ethylene LHV</t>
  </si>
  <si>
    <t>GJ/t-ethylene</t>
  </si>
  <si>
    <t>Levelized cost for Synthetic Ethylene Production - $/GJ-ethylene - chemicals CO2 sequestration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</si>
</sst>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7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7E8FF"/>
        <bgColor indexed="64"/>
      </patternFill>
    </fill>
    <fill>
      <patternFill patternType="solid">
        <fgColor rgb="FFF7E8FF"/>
        <bgColor rgb="FFADD8E6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DD8E6"/>
        <bgColor rgb="FFADD8E6"/>
      </patternFill>
    </fill>
    <fill>
      <patternFill patternType="solid">
        <fgColor theme="4" tint="-0.249977111117893"/>
        <bgColor rgb="FFADD8E6"/>
      </patternFill>
    </fill>
    <fill>
      <patternFill patternType="solid">
        <fgColor rgb="FF9E1E14"/>
        <bgColor indexed="64"/>
      </patternFill>
    </fill>
    <fill>
      <patternFill patternType="solid">
        <fgColor rgb="FFF5D3D5"/>
        <bgColor rgb="FFADD8E6"/>
      </patternFill>
    </fill>
    <fill>
      <patternFill patternType="solid">
        <fgColor rgb="FFF5D3D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3" borderId="0" xfId="0" applyFont="1" applyFill="1"/>
    <xf numFmtId="0" fontId="2" fillId="4" borderId="0" xfId="0" applyFont="1" applyFill="1"/>
    <xf numFmtId="164" fontId="1" fillId="0" borderId="0" xfId="0" applyNumberFormat="1" applyFont="1"/>
    <xf numFmtId="0" fontId="2" fillId="5" borderId="0" xfId="0" applyFont="1" applyFill="1"/>
    <xf numFmtId="0" fontId="2" fillId="6" borderId="0" xfId="0" applyFont="1" applyFill="1"/>
    <xf numFmtId="0" fontId="3" fillId="0" borderId="0" xfId="0" applyFont="1"/>
    <xf numFmtId="0" fontId="3" fillId="7" borderId="0" xfId="0" applyFont="1" applyFill="1"/>
    <xf numFmtId="0" fontId="1" fillId="7" borderId="0" xfId="0" applyFont="1" applyFill="1"/>
    <xf numFmtId="0" fontId="0" fillId="8" borderId="0" xfId="0" applyFill="1"/>
    <xf numFmtId="164" fontId="1" fillId="9" borderId="0" xfId="0" applyNumberFormat="1" applyFont="1" applyFill="1"/>
    <xf numFmtId="0" fontId="0" fillId="10" borderId="0" xfId="0" applyFill="1"/>
    <xf numFmtId="0" fontId="4" fillId="11" borderId="0" xfId="0" applyFont="1" applyFill="1"/>
    <xf numFmtId="0" fontId="2" fillId="12" borderId="0" xfId="0" applyFont="1" applyFill="1"/>
    <xf numFmtId="0" fontId="0" fillId="13" borderId="0" xfId="0" applyFill="1"/>
    <xf numFmtId="0" fontId="1" fillId="14" borderId="0" xfId="0" applyFont="1" applyFill="1"/>
    <xf numFmtId="0" fontId="5" fillId="0" borderId="0" xfId="0" applyFont="1"/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2" fillId="3" borderId="0" xfId="0" applyFont="1" applyFill="1" applyAlignment="1">
      <alignment horizontal="left" wrapText="1"/>
    </xf>
    <xf numFmtId="0" fontId="2" fillId="5" borderId="0" xfId="0" applyFont="1" applyFill="1" applyAlignment="1">
      <alignment horizontal="left" wrapText="1"/>
    </xf>
    <xf numFmtId="0" fontId="6" fillId="0" borderId="0" xfId="0" applyFon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F107"/>
  <sheetViews>
    <sheetView tabSelected="1" topLeftCell="AA1" zoomScale="85" zoomScaleNormal="157" workbookViewId="0">
      <selection activeCell="AE16" sqref="AE16"/>
    </sheetView>
  </sheetViews>
  <sheetFormatPr baseColWidth="10" defaultRowHeight="16" x14ac:dyDescent="0.2"/>
  <cols>
    <col min="1" max="1" width="2.6640625" style="1" customWidth="1"/>
    <col min="2" max="2" width="28.6640625" style="1" customWidth="1"/>
    <col min="3" max="3" width="12.6640625" style="1" bestFit="1" customWidth="1"/>
    <col min="4" max="4" width="12.6640625" style="1" customWidth="1"/>
    <col min="5" max="5" width="32.33203125" style="1" bestFit="1" customWidth="1"/>
    <col min="6" max="6" width="33.33203125" style="1" bestFit="1" customWidth="1"/>
    <col min="7" max="7" width="39" style="1" bestFit="1" customWidth="1"/>
    <col min="8" max="8" width="33.6640625" style="1" bestFit="1" customWidth="1"/>
    <col min="9" max="9" width="35" style="1" bestFit="1" customWidth="1"/>
    <col min="10" max="10" width="29.83203125" style="1" bestFit="1" customWidth="1"/>
    <col min="11" max="11" width="35.6640625" style="1" bestFit="1" customWidth="1"/>
    <col min="12" max="12" width="34.1640625" style="1" bestFit="1" customWidth="1"/>
    <col min="13" max="13" width="29.33203125" style="1" bestFit="1" customWidth="1"/>
    <col min="14" max="14" width="3" style="1" customWidth="1"/>
    <col min="15" max="15" width="12.83203125" style="1" bestFit="1" customWidth="1"/>
    <col min="16" max="16" width="11" style="1" customWidth="1"/>
    <col min="17" max="17" width="12.83203125" style="1" customWidth="1"/>
    <col min="18" max="18" width="13.83203125" style="1" customWidth="1"/>
    <col min="19" max="19" width="12" style="1" customWidth="1"/>
    <col min="20" max="20" width="11.83203125" style="1" customWidth="1"/>
    <col min="21" max="21" width="13.5" style="1" customWidth="1"/>
    <col min="22" max="22" width="14.33203125" style="1" customWidth="1"/>
    <col min="23" max="23" width="11" style="1" customWidth="1"/>
    <col min="24" max="24" width="9.33203125" style="1" customWidth="1"/>
    <col min="25" max="25" width="10.83203125" style="1" customWidth="1"/>
    <col min="26" max="26" width="15" style="1" customWidth="1"/>
    <col min="27" max="27" width="14.5" style="1" customWidth="1"/>
    <col min="28" max="29" width="12.5" style="1" customWidth="1"/>
    <col min="30" max="30" width="12.1640625" style="1" customWidth="1"/>
    <col min="31" max="31" width="13.1640625" style="1" customWidth="1"/>
    <col min="32" max="32" width="9.6640625" style="1" customWidth="1"/>
    <col min="33" max="33" width="9.83203125" style="1" customWidth="1"/>
    <col min="34" max="34" width="14.5" style="1" customWidth="1"/>
    <col min="35" max="35" width="15.33203125" style="1" customWidth="1"/>
    <col min="36" max="36" width="3.33203125" customWidth="1"/>
    <col min="37" max="37" width="18.83203125" style="1" customWidth="1"/>
    <col min="38" max="38" width="19.83203125" style="1" customWidth="1"/>
    <col min="39" max="39" width="15.6640625" style="1" bestFit="1" customWidth="1"/>
    <col min="40" max="40" width="15.6640625" style="1" customWidth="1"/>
    <col min="41" max="41" width="18.33203125" style="1" bestFit="1" customWidth="1"/>
    <col min="42" max="43" width="15.6640625" style="1" customWidth="1"/>
    <col min="44" max="44" width="18.33203125" style="1" bestFit="1" customWidth="1"/>
    <col min="45" max="45" width="14.1640625" style="1" bestFit="1" customWidth="1"/>
    <col min="46" max="46" width="15.1640625" style="1" bestFit="1" customWidth="1"/>
    <col min="47" max="47" width="17.33203125" style="1" bestFit="1" customWidth="1"/>
    <col min="48" max="48" width="15.5" style="1" customWidth="1"/>
    <col min="49" max="49" width="17" style="1" bestFit="1" customWidth="1"/>
    <col min="50" max="50" width="13.6640625" style="1" bestFit="1" customWidth="1"/>
    <col min="51" max="51" width="12.1640625" style="1" bestFit="1" customWidth="1"/>
    <col min="52" max="52" width="14.5" style="1" bestFit="1" customWidth="1"/>
    <col min="53" max="53" width="10.5" style="1" customWidth="1"/>
    <col min="54" max="54" width="17.83203125" style="1" bestFit="1" customWidth="1"/>
    <col min="55" max="55" width="19.6640625" style="1" bestFit="1" customWidth="1"/>
    <col min="56" max="56" width="12.1640625" style="1" customWidth="1"/>
    <col min="57" max="57" width="17.83203125" style="1" bestFit="1" customWidth="1"/>
    <col min="58" max="58" width="19.33203125" style="1" bestFit="1" customWidth="1"/>
    <col min="59" max="59" width="18" style="1" customWidth="1"/>
    <col min="60" max="60" width="17.83203125" style="1" bestFit="1" customWidth="1"/>
    <col min="61" max="61" width="19.33203125" style="1" bestFit="1" customWidth="1"/>
    <col min="62" max="62" width="9.6640625" style="1" customWidth="1"/>
    <col min="63" max="63" width="17.83203125" style="1" bestFit="1" customWidth="1"/>
    <col min="64" max="64" width="19.33203125" style="1" bestFit="1" customWidth="1"/>
    <col min="65" max="65" width="3.33203125" style="1" customWidth="1"/>
    <col min="66" max="66" width="22" style="1" bestFit="1" customWidth="1"/>
    <col min="67" max="67" width="25.1640625" style="1" bestFit="1" customWidth="1"/>
    <col min="68" max="68" width="17.33203125" style="1" bestFit="1" customWidth="1"/>
    <col min="69" max="69" width="17.33203125" style="1" customWidth="1"/>
    <col min="70" max="70" width="3.6640625" style="1" customWidth="1"/>
    <col min="71" max="71" width="29.5" style="1" bestFit="1" customWidth="1"/>
    <col min="72" max="72" width="45.83203125" style="1" bestFit="1" customWidth="1"/>
    <col min="73" max="73" width="3.33203125" style="1" customWidth="1"/>
    <col min="74" max="74" width="23" style="1" bestFit="1" customWidth="1"/>
    <col min="75" max="75" width="17.83203125" style="1" bestFit="1" customWidth="1"/>
    <col min="76" max="76" width="23.6640625" style="1" bestFit="1" customWidth="1"/>
    <col min="77" max="77" width="23.1640625" style="1" bestFit="1" customWidth="1"/>
    <col min="78" max="78" width="26" style="1" bestFit="1" customWidth="1"/>
    <col min="79" max="79" width="29.33203125" style="1" bestFit="1" customWidth="1"/>
    <col min="80" max="80" width="31.5" style="1" bestFit="1" customWidth="1"/>
    <col min="81" max="81" width="10.83203125" style="1" customWidth="1"/>
    <col min="82" max="82" width="22.5" style="1" bestFit="1" customWidth="1"/>
    <col min="83" max="83" width="10.83203125" style="1" customWidth="1"/>
    <col min="84" max="84" width="17.1640625" style="1" bestFit="1" customWidth="1"/>
    <col min="85" max="96" width="10.83203125" style="1" customWidth="1"/>
    <col min="97" max="16384" width="10.83203125" style="1"/>
  </cols>
  <sheetData>
    <row r="1" spans="2:84" x14ac:dyDescent="0.2">
      <c r="B1" s="1" t="s">
        <v>0</v>
      </c>
      <c r="O1" s="1" t="s">
        <v>1</v>
      </c>
      <c r="AK1" s="1" t="s">
        <v>2</v>
      </c>
      <c r="AM1" s="1" t="s">
        <v>3</v>
      </c>
      <c r="AN1" s="1" t="s">
        <v>4</v>
      </c>
      <c r="AP1" s="1" t="s">
        <v>5</v>
      </c>
      <c r="AQ1" s="1" t="s">
        <v>6</v>
      </c>
      <c r="BA1" s="1" t="s">
        <v>7</v>
      </c>
      <c r="BD1" s="1" t="s">
        <v>8</v>
      </c>
      <c r="BG1" s="1" t="s">
        <v>9</v>
      </c>
      <c r="BJ1" s="1" t="s">
        <v>10</v>
      </c>
      <c r="BN1" s="1" t="s">
        <v>11</v>
      </c>
      <c r="BS1" s="1" t="s">
        <v>12</v>
      </c>
      <c r="BV1" s="1" t="s">
        <v>13</v>
      </c>
      <c r="CD1" s="18" t="s">
        <v>14</v>
      </c>
    </row>
    <row r="2" spans="2:84" x14ac:dyDescent="0.2"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  <c r="K2" s="2" t="s">
        <v>24</v>
      </c>
      <c r="L2" s="2" t="s">
        <v>25</v>
      </c>
      <c r="M2" s="2" t="s">
        <v>26</v>
      </c>
      <c r="O2" s="15" t="s">
        <v>27</v>
      </c>
      <c r="P2" s="15" t="s">
        <v>28</v>
      </c>
      <c r="Q2" s="15" t="s">
        <v>29</v>
      </c>
      <c r="R2" s="15" t="s">
        <v>30</v>
      </c>
      <c r="S2" s="15" t="s">
        <v>31</v>
      </c>
      <c r="T2" s="7" t="s">
        <v>32</v>
      </c>
      <c r="U2" s="15" t="s">
        <v>33</v>
      </c>
      <c r="V2" s="15" t="s">
        <v>34</v>
      </c>
      <c r="W2" s="15" t="s">
        <v>35</v>
      </c>
      <c r="X2" s="15" t="s">
        <v>36</v>
      </c>
      <c r="Y2" s="15" t="s">
        <v>37</v>
      </c>
      <c r="Z2" s="15" t="s">
        <v>38</v>
      </c>
      <c r="AA2" s="15" t="s">
        <v>39</v>
      </c>
      <c r="AB2" s="15" t="s">
        <v>40</v>
      </c>
      <c r="AC2" s="15" t="s">
        <v>41</v>
      </c>
      <c r="AD2" s="15" t="s">
        <v>42</v>
      </c>
      <c r="AE2" s="15" t="s">
        <v>43</v>
      </c>
      <c r="AF2" s="15" t="s">
        <v>44</v>
      </c>
      <c r="AG2" s="15" t="s">
        <v>45</v>
      </c>
      <c r="AH2" s="15" t="s">
        <v>46</v>
      </c>
      <c r="AI2" s="15" t="s">
        <v>47</v>
      </c>
      <c r="AK2" s="4" t="s">
        <v>48</v>
      </c>
      <c r="AL2" s="4" t="s">
        <v>49</v>
      </c>
      <c r="AM2" s="3" t="s">
        <v>50</v>
      </c>
      <c r="AN2" s="6" t="s">
        <v>50</v>
      </c>
      <c r="AO2" s="7" t="s">
        <v>51</v>
      </c>
      <c r="AP2" s="3" t="s">
        <v>50</v>
      </c>
      <c r="AQ2" s="6" t="s">
        <v>50</v>
      </c>
      <c r="AR2" s="7" t="s">
        <v>51</v>
      </c>
      <c r="AS2" s="4" t="s">
        <v>52</v>
      </c>
      <c r="AT2" s="4" t="s">
        <v>53</v>
      </c>
      <c r="AU2" s="4" t="s">
        <v>54</v>
      </c>
      <c r="AV2" s="4" t="s">
        <v>55</v>
      </c>
      <c r="AW2" s="4" t="s">
        <v>56</v>
      </c>
      <c r="AX2" s="4" t="s">
        <v>57</v>
      </c>
      <c r="AY2" s="4" t="s">
        <v>58</v>
      </c>
      <c r="AZ2" s="4" t="s">
        <v>59</v>
      </c>
      <c r="BA2" s="3" t="s">
        <v>60</v>
      </c>
      <c r="BB2" s="3" t="s">
        <v>61</v>
      </c>
      <c r="BC2" s="3" t="s">
        <v>62</v>
      </c>
      <c r="BD2" s="6" t="s">
        <v>60</v>
      </c>
      <c r="BE2" s="6" t="s">
        <v>61</v>
      </c>
      <c r="BF2" s="6" t="s">
        <v>62</v>
      </c>
      <c r="BG2" s="3" t="s">
        <v>60</v>
      </c>
      <c r="BH2" s="3" t="s">
        <v>61</v>
      </c>
      <c r="BI2" s="3" t="s">
        <v>62</v>
      </c>
      <c r="BJ2" s="6" t="s">
        <v>60</v>
      </c>
      <c r="BK2" s="6" t="s">
        <v>61</v>
      </c>
      <c r="BL2" s="6" t="s">
        <v>62</v>
      </c>
      <c r="BN2" s="7" t="s">
        <v>63</v>
      </c>
      <c r="BO2" s="7" t="s">
        <v>64</v>
      </c>
      <c r="BP2" s="7" t="s">
        <v>65</v>
      </c>
      <c r="BQ2" s="7" t="s">
        <v>66</v>
      </c>
      <c r="BS2" s="7" t="s">
        <v>67</v>
      </c>
      <c r="BT2" s="7" t="s">
        <v>68</v>
      </c>
      <c r="BV2" s="7" t="s">
        <v>69</v>
      </c>
      <c r="BW2" s="7" t="s">
        <v>70</v>
      </c>
      <c r="BX2" s="7" t="s">
        <v>71</v>
      </c>
      <c r="BY2" s="7" t="s">
        <v>72</v>
      </c>
      <c r="BZ2" s="7" t="s">
        <v>73</v>
      </c>
      <c r="CA2" s="7" t="s">
        <v>74</v>
      </c>
      <c r="CB2" s="7" t="s">
        <v>75</v>
      </c>
      <c r="CD2" s="20" t="s">
        <v>76</v>
      </c>
      <c r="CE2" s="19">
        <v>3.14</v>
      </c>
      <c r="CF2" s="19" t="s">
        <v>77</v>
      </c>
    </row>
    <row r="3" spans="2:84" x14ac:dyDescent="0.2">
      <c r="B3" s="14" t="s">
        <v>78</v>
      </c>
      <c r="C3" s="13" t="s">
        <v>79</v>
      </c>
      <c r="D3" s="13">
        <v>0</v>
      </c>
      <c r="E3" s="13">
        <v>5.4424706709999997</v>
      </c>
      <c r="F3" s="13">
        <v>0.17633674630000001</v>
      </c>
      <c r="G3" s="13">
        <v>0.1137656428</v>
      </c>
      <c r="H3" s="13">
        <v>0.15787734950000001</v>
      </c>
      <c r="I3" s="13">
        <v>0.76475307729999997</v>
      </c>
      <c r="J3" s="13">
        <v>0.42937955880000001</v>
      </c>
      <c r="K3" s="13">
        <v>174237.6587</v>
      </c>
      <c r="L3" s="13">
        <v>95841.654150000002</v>
      </c>
      <c r="M3" s="13">
        <v>2.9463016839999998</v>
      </c>
      <c r="O3" s="16">
        <v>122.135409</v>
      </c>
      <c r="P3" s="16"/>
      <c r="Q3" s="16"/>
      <c r="R3" s="16"/>
      <c r="S3" s="16"/>
      <c r="T3" s="11">
        <v>21.986353300000001</v>
      </c>
      <c r="U3" s="17"/>
      <c r="V3" s="17"/>
      <c r="W3" s="16"/>
      <c r="X3" s="16"/>
      <c r="Y3" s="16"/>
      <c r="Z3" s="17"/>
      <c r="AA3" s="17"/>
      <c r="AB3" s="17"/>
      <c r="AC3" s="17"/>
      <c r="AD3" s="17"/>
      <c r="AE3" s="17"/>
      <c r="AF3" s="16"/>
      <c r="AG3" s="16"/>
      <c r="AH3" s="16"/>
      <c r="AI3" s="16"/>
      <c r="AK3" s="1" t="str">
        <f>B3</f>
        <v>Synthetic_Ethylene_Non_CCS</v>
      </c>
      <c r="AL3" s="1" t="str">
        <f>C3</f>
        <v>CO2Captured</v>
      </c>
      <c r="AM3" s="12">
        <f>SUM(AS3:AZ3)+BB3+BC3</f>
        <v>1356.9543472594046</v>
      </c>
      <c r="AN3" s="12">
        <f>SUM(AS3:AZ3)+BE3+BF3</f>
        <v>1356.9543472594046</v>
      </c>
      <c r="AO3" s="5">
        <f>AM3-AN3</f>
        <v>0</v>
      </c>
      <c r="AP3" s="12">
        <f>SUM(AS3:AZ3)+BH3+BI3</f>
        <v>1400.5840610638759</v>
      </c>
      <c r="AQ3" s="12">
        <f>SUM(AS3:AZ3)+BK3+BL3</f>
        <v>1400.5840610638759</v>
      </c>
      <c r="AR3" s="5">
        <f>AP3-AQ3</f>
        <v>0</v>
      </c>
      <c r="AS3" s="5">
        <f>E3/G3*X3</f>
        <v>0</v>
      </c>
      <c r="AT3" s="1">
        <f>F3/G3*W3</f>
        <v>0</v>
      </c>
      <c r="AU3" s="1">
        <f>1/G3*(O3+P3)</f>
        <v>1073.5702448824031</v>
      </c>
      <c r="AV3" s="1">
        <f>H3/G3*AF3*-1</f>
        <v>0</v>
      </c>
      <c r="AW3" s="1">
        <f>I3/G3*Z3</f>
        <v>0</v>
      </c>
      <c r="AX3" s="1">
        <f>K3/G3/(0.9*8760)</f>
        <v>194.26040330394619</v>
      </c>
      <c r="AY3" s="1">
        <f>L3/G3/(0.9*8760)</f>
        <v>106.85542108065717</v>
      </c>
      <c r="AZ3" s="1">
        <f>M3/G3</f>
        <v>25.897991796869626</v>
      </c>
      <c r="BA3" s="1">
        <f>BW3+BX3+BZ3-BT3</f>
        <v>-0.35722411839199997</v>
      </c>
      <c r="BB3" s="1">
        <v>0</v>
      </c>
      <c r="BC3" s="1">
        <f>BA3*O3</f>
        <v>-43.629713804471336</v>
      </c>
      <c r="BD3" s="1">
        <f>BW3+BX3+BZ3-BT3</f>
        <v>-0.35722411839199997</v>
      </c>
      <c r="BE3" s="1">
        <v>0</v>
      </c>
      <c r="BF3" s="1">
        <f>BD3*O3</f>
        <v>-43.629713804471336</v>
      </c>
      <c r="BG3" s="1">
        <f>BV3+BW3+BX3+BZ3-BT3</f>
        <v>0</v>
      </c>
      <c r="BH3" s="1">
        <v>0</v>
      </c>
      <c r="BI3" s="1">
        <f>BG3*O3</f>
        <v>0</v>
      </c>
      <c r="BJ3" s="1">
        <f>BV3+BW3+BX3+BZ3-BT3</f>
        <v>0</v>
      </c>
      <c r="BK3" s="1">
        <v>0</v>
      </c>
      <c r="BL3" s="1">
        <f>BJ3*O3</f>
        <v>0</v>
      </c>
      <c r="BN3" s="9">
        <f>$CE$2</f>
        <v>3.14</v>
      </c>
      <c r="BO3" s="10">
        <f>$CE$3</f>
        <v>0.24123847100000001</v>
      </c>
      <c r="BP3" s="9">
        <f>$CE$4</f>
        <v>0.18104824</v>
      </c>
      <c r="BQ3" s="9">
        <f>$CE$5</f>
        <v>1.5714285714285715E-2</v>
      </c>
      <c r="BS3" s="10">
        <v>1</v>
      </c>
      <c r="BT3" s="10">
        <f>BS3-BY3</f>
        <v>1</v>
      </c>
      <c r="BV3" s="10">
        <f>BN3*G3</f>
        <v>0.35722411839200002</v>
      </c>
      <c r="BW3" s="10">
        <f>BP3*H3</f>
        <v>2.8583416262839882E-2</v>
      </c>
      <c r="BX3" s="10">
        <f>(BS3-BV3-BW3-BZ3)*(1-D3)</f>
        <v>0.42970460228476337</v>
      </c>
      <c r="BY3" s="10">
        <f>(BS3-BV3-BW3-BZ3)*(D3)</f>
        <v>0</v>
      </c>
      <c r="BZ3" s="10">
        <f>BO3*I3</f>
        <v>0.1844878630603968</v>
      </c>
      <c r="CA3" s="10">
        <f>BV3+BW3+BX3+BZ3</f>
        <v>1</v>
      </c>
      <c r="CB3" s="10">
        <f>SUM(BV3:BZ3)</f>
        <v>1</v>
      </c>
      <c r="CD3" s="20" t="s">
        <v>80</v>
      </c>
      <c r="CE3" s="19">
        <v>0.24123847100000001</v>
      </c>
      <c r="CF3" s="19" t="s">
        <v>81</v>
      </c>
    </row>
    <row r="4" spans="2:84" x14ac:dyDescent="0.2">
      <c r="B4" s="14" t="s">
        <v>82</v>
      </c>
      <c r="C4" s="13" t="s">
        <v>79</v>
      </c>
      <c r="D4" s="13">
        <v>0.9</v>
      </c>
      <c r="E4" s="13">
        <v>5.9243674339999997</v>
      </c>
      <c r="F4" s="13">
        <v>0.24466847410000001</v>
      </c>
      <c r="G4" s="13">
        <v>0.1238388794</v>
      </c>
      <c r="H4" s="13">
        <v>0.1718564021</v>
      </c>
      <c r="I4" s="13">
        <v>0.83246718269999997</v>
      </c>
      <c r="J4" s="13">
        <v>0.37885468500000002</v>
      </c>
      <c r="K4" s="13">
        <v>209498.31779999999</v>
      </c>
      <c r="L4" s="13">
        <v>115165.852</v>
      </c>
      <c r="M4" s="13">
        <v>3.542547876</v>
      </c>
      <c r="O4" s="16">
        <v>122.135409</v>
      </c>
      <c r="P4" s="16"/>
      <c r="Q4" s="16"/>
      <c r="R4" s="16"/>
      <c r="S4" s="16"/>
      <c r="T4" s="11">
        <v>21.986353300000001</v>
      </c>
      <c r="U4" s="17"/>
      <c r="V4" s="17"/>
      <c r="W4" s="16"/>
      <c r="X4" s="16"/>
      <c r="Y4" s="16"/>
      <c r="Z4" s="17"/>
      <c r="AA4" s="17"/>
      <c r="AB4" s="17"/>
      <c r="AC4" s="17"/>
      <c r="AD4" s="17"/>
      <c r="AE4" s="17"/>
      <c r="AF4" s="16"/>
      <c r="AG4" s="16"/>
      <c r="AH4" s="16"/>
      <c r="AI4" s="16"/>
      <c r="AK4" s="1" t="str">
        <f>B4</f>
        <v>Synthetic_Ethylene_CCS_90</v>
      </c>
      <c r="AL4" s="1" t="str">
        <f>C4</f>
        <v>CO2Captured</v>
      </c>
      <c r="AM4" s="12">
        <f>SUM(AS4:AZ4)+BB4+BC4</f>
        <v>1299.8876379368912</v>
      </c>
      <c r="AN4" s="12">
        <f>SUM(AS4:AZ4)+BE4+BF4</f>
        <v>1299.8876379368912</v>
      </c>
      <c r="AO4" s="5">
        <f>AM4-AN4</f>
        <v>0</v>
      </c>
      <c r="AP4" s="12">
        <f>SUM(AS4:AZ4)+BH4+BI4</f>
        <v>1347.3804901997401</v>
      </c>
      <c r="AQ4" s="12">
        <f>SUM(AS4:AZ4)+BK4+BL4</f>
        <v>1347.3804901997401</v>
      </c>
      <c r="AR4" s="5">
        <f>AP4-AQ4</f>
        <v>0</v>
      </c>
      <c r="AS4" s="5">
        <f>E4/G4*X4</f>
        <v>0</v>
      </c>
      <c r="AT4" s="1">
        <f>F4/G4*W4</f>
        <v>0</v>
      </c>
      <c r="AU4" s="1">
        <f>1/G4*(O4+P4)</f>
        <v>986.24446209257269</v>
      </c>
      <c r="AV4" s="1">
        <f>H4/G4*AF4*-1</f>
        <v>0</v>
      </c>
      <c r="AW4" s="1">
        <f>I4/G4*Z4</f>
        <v>0</v>
      </c>
      <c r="AX4" s="1">
        <f>K4/G4/(0.9*8760)</f>
        <v>214.57390798665784</v>
      </c>
      <c r="AY4" s="1">
        <f>L4/G4/(0.9*8760)</f>
        <v>117.95601601844012</v>
      </c>
      <c r="AZ4" s="1">
        <f>M4/G4</f>
        <v>28.606104102069256</v>
      </c>
      <c r="BA4" s="1">
        <f>BW4+BX4+BZ4-BT4</f>
        <v>-0.38885408131599997</v>
      </c>
      <c r="BB4" s="1">
        <v>0</v>
      </c>
      <c r="BC4" s="1">
        <f>BA4*O4</f>
        <v>-47.492852262848913</v>
      </c>
      <c r="BD4" s="1">
        <f>BW4+BX4+BZ4-BT4</f>
        <v>-0.38885408131599997</v>
      </c>
      <c r="BE4" s="1">
        <v>0</v>
      </c>
      <c r="BF4" s="1">
        <f>BD4*O4</f>
        <v>-47.492852262848913</v>
      </c>
      <c r="BG4" s="1">
        <f>BV4+BW4+BX4+BZ4-BT4</f>
        <v>0</v>
      </c>
      <c r="BH4" s="1">
        <v>0</v>
      </c>
      <c r="BI4" s="1">
        <f>BG4*O4</f>
        <v>0</v>
      </c>
      <c r="BJ4" s="1">
        <f>BV4+BW4+BX4+BZ4-BT4</f>
        <v>0</v>
      </c>
      <c r="BK4" s="1">
        <v>0</v>
      </c>
      <c r="BL4" s="1">
        <f>BJ4*O4</f>
        <v>0</v>
      </c>
      <c r="BN4" s="9">
        <f>$CE$2</f>
        <v>3.14</v>
      </c>
      <c r="BO4" s="10">
        <f>$CE$3</f>
        <v>0.24123847100000001</v>
      </c>
      <c r="BP4" s="9">
        <f>$CE$4</f>
        <v>0.18104824</v>
      </c>
      <c r="BQ4" s="9">
        <f>$CE$5</f>
        <v>1.5714285714285715E-2</v>
      </c>
      <c r="BS4" s="10">
        <v>1</v>
      </c>
      <c r="BT4" s="10">
        <f>BS4-BY4</f>
        <v>0.65871234168504667</v>
      </c>
      <c r="BV4" s="10">
        <f>BN4*G4</f>
        <v>0.38885408131600002</v>
      </c>
      <c r="BW4" s="10">
        <f>BP4*H4</f>
        <v>3.1114299132937305E-2</v>
      </c>
      <c r="BX4" s="10">
        <f>(BS4-BV4-BW4-BZ4)*(1-D4)</f>
        <v>3.7920850923883698E-2</v>
      </c>
      <c r="BY4" s="10">
        <f>(BS4-BV4-BW4-BZ4)*(D4)</f>
        <v>0.34128765831495339</v>
      </c>
      <c r="BZ4" s="10">
        <f>BO4*I4</f>
        <v>0.20082311031222566</v>
      </c>
      <c r="CA4" s="10">
        <f>BV4+BW4+BX4+BZ4</f>
        <v>0.65871234168504667</v>
      </c>
      <c r="CB4" s="10">
        <f>SUM(BV4:BZ4)</f>
        <v>1</v>
      </c>
      <c r="CD4" s="20" t="s">
        <v>83</v>
      </c>
      <c r="CE4" s="19">
        <v>0.18104824</v>
      </c>
      <c r="CF4" s="19" t="s">
        <v>84</v>
      </c>
    </row>
    <row r="5" spans="2:84" x14ac:dyDescent="0.2">
      <c r="B5" s="14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O5" s="16"/>
      <c r="P5" s="16"/>
      <c r="Q5" s="16"/>
      <c r="R5" s="16"/>
      <c r="S5" s="16"/>
      <c r="T5" s="11"/>
      <c r="U5" s="17"/>
      <c r="V5" s="17"/>
      <c r="W5" s="16"/>
      <c r="X5" s="16"/>
      <c r="Y5" s="16"/>
      <c r="Z5" s="17"/>
      <c r="AA5" s="17"/>
      <c r="AB5" s="17"/>
      <c r="AC5" s="17"/>
      <c r="AD5" s="17"/>
      <c r="AE5" s="17"/>
      <c r="AF5" s="16"/>
      <c r="AG5" s="16"/>
      <c r="AH5" s="16"/>
      <c r="AI5" s="16"/>
      <c r="AM5" s="12"/>
      <c r="AN5" s="12"/>
      <c r="AO5" s="5"/>
      <c r="AP5" s="12"/>
      <c r="AQ5" s="12"/>
      <c r="AR5" s="5"/>
      <c r="AS5" s="5"/>
      <c r="BN5" s="9"/>
      <c r="BO5" s="10"/>
      <c r="BP5" s="9"/>
      <c r="BQ5" s="9"/>
      <c r="BS5" s="10"/>
      <c r="BT5" s="10"/>
      <c r="BV5" s="10"/>
      <c r="BW5" s="10"/>
      <c r="BX5" s="10"/>
      <c r="BY5" s="10"/>
      <c r="BZ5" s="10"/>
      <c r="CA5" s="10"/>
      <c r="CB5" s="10"/>
      <c r="CD5" s="20" t="s">
        <v>85</v>
      </c>
      <c r="CE5" s="19">
        <f>0.22/14</f>
        <v>1.5714285714285715E-2</v>
      </c>
      <c r="CF5" s="19" t="s">
        <v>86</v>
      </c>
    </row>
    <row r="6" spans="2:84" x14ac:dyDescent="0.2">
      <c r="B6" s="14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O6" s="16"/>
      <c r="P6" s="16"/>
      <c r="Q6" s="16"/>
      <c r="R6" s="16"/>
      <c r="S6" s="16"/>
      <c r="T6" s="11"/>
      <c r="U6" s="17"/>
      <c r="V6" s="17"/>
      <c r="W6" s="16"/>
      <c r="X6" s="16"/>
      <c r="Y6" s="16"/>
      <c r="Z6" s="17"/>
      <c r="AA6" s="17"/>
      <c r="AB6" s="17"/>
      <c r="AC6" s="17"/>
      <c r="AD6" s="17"/>
      <c r="AE6" s="17"/>
      <c r="AF6" s="16"/>
      <c r="AG6" s="16"/>
      <c r="AH6" s="16"/>
      <c r="AI6" s="16"/>
      <c r="AM6" s="12"/>
      <c r="AN6" s="12"/>
      <c r="AO6" s="5"/>
      <c r="AP6" s="12"/>
      <c r="AQ6" s="12"/>
      <c r="AR6" s="5"/>
      <c r="AS6" s="5"/>
      <c r="BN6" s="9"/>
      <c r="BO6" s="10"/>
      <c r="BP6" s="9"/>
      <c r="BQ6" s="9"/>
      <c r="BS6" s="10"/>
      <c r="BT6" s="10"/>
      <c r="BV6" s="10"/>
      <c r="BW6" s="10"/>
      <c r="BX6" s="10"/>
      <c r="BY6" s="10"/>
      <c r="BZ6" s="10"/>
      <c r="CA6" s="10"/>
      <c r="CB6" s="10"/>
      <c r="CD6" s="20" t="s">
        <v>87</v>
      </c>
      <c r="CE6" s="19">
        <v>0.9</v>
      </c>
      <c r="CF6" s="19" t="s">
        <v>88</v>
      </c>
    </row>
    <row r="7" spans="2:84" x14ac:dyDescent="0.2">
      <c r="B7" s="14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O7" s="16"/>
      <c r="P7" s="16"/>
      <c r="Q7" s="16"/>
      <c r="R7" s="16"/>
      <c r="S7" s="16"/>
      <c r="T7" s="11"/>
      <c r="U7" s="17"/>
      <c r="V7" s="17"/>
      <c r="W7" s="16"/>
      <c r="X7" s="16"/>
      <c r="Y7" s="16"/>
      <c r="Z7" s="17"/>
      <c r="AA7" s="17"/>
      <c r="AB7" s="17"/>
      <c r="AC7" s="17"/>
      <c r="AD7" s="17"/>
      <c r="AE7" s="17"/>
      <c r="AF7" s="16"/>
      <c r="AG7" s="16"/>
      <c r="AH7" s="16"/>
      <c r="AI7" s="16"/>
      <c r="AM7" s="12"/>
      <c r="AN7" s="12"/>
      <c r="AO7" s="5"/>
      <c r="AP7" s="12"/>
      <c r="AQ7" s="12"/>
      <c r="AR7" s="5"/>
      <c r="AS7" s="5"/>
      <c r="BN7" s="9"/>
      <c r="BO7" s="10"/>
      <c r="BP7" s="9"/>
      <c r="BQ7" s="9"/>
      <c r="BS7" s="10"/>
      <c r="BT7" s="10"/>
      <c r="BV7" s="10"/>
      <c r="BW7" s="10"/>
      <c r="BX7" s="10"/>
      <c r="BY7" s="10"/>
      <c r="BZ7" s="10"/>
      <c r="CA7" s="10"/>
      <c r="CB7" s="10"/>
    </row>
    <row r="8" spans="2:84" x14ac:dyDescent="0.2">
      <c r="B8" s="14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O8" s="16"/>
      <c r="P8" s="16"/>
      <c r="Q8" s="16"/>
      <c r="R8" s="16"/>
      <c r="S8" s="16"/>
      <c r="T8" s="11"/>
      <c r="U8" s="17"/>
      <c r="V8" s="17"/>
      <c r="W8" s="16"/>
      <c r="X8" s="16"/>
      <c r="Y8" s="16"/>
      <c r="Z8" s="17"/>
      <c r="AA8" s="17"/>
      <c r="AB8" s="17"/>
      <c r="AC8" s="17"/>
      <c r="AD8" s="17"/>
      <c r="AE8" s="17"/>
      <c r="AF8" s="16"/>
      <c r="AG8" s="16"/>
      <c r="AH8" s="16"/>
      <c r="AI8" s="16"/>
      <c r="AM8" s="12"/>
      <c r="AN8" s="12"/>
      <c r="AO8" s="5"/>
      <c r="AP8" s="12"/>
      <c r="AQ8" s="12"/>
      <c r="AR8" s="5"/>
      <c r="AS8" s="5"/>
      <c r="BN8" s="9"/>
      <c r="BO8" s="10"/>
      <c r="BP8" s="9"/>
      <c r="BQ8" s="9"/>
      <c r="BS8" s="10"/>
      <c r="BT8" s="10"/>
      <c r="BV8" s="10"/>
      <c r="BW8" s="10"/>
      <c r="BX8" s="10"/>
      <c r="BY8" s="10"/>
      <c r="BZ8" s="10"/>
      <c r="CA8" s="10"/>
      <c r="CB8" s="10"/>
    </row>
    <row r="9" spans="2:84" x14ac:dyDescent="0.2">
      <c r="B9" s="14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O9" s="16"/>
      <c r="P9" s="16"/>
      <c r="Q9" s="16"/>
      <c r="R9" s="16"/>
      <c r="S9" s="16"/>
      <c r="T9" s="11"/>
      <c r="U9" s="17"/>
      <c r="V9" s="17"/>
      <c r="W9" s="16"/>
      <c r="X9" s="16"/>
      <c r="Y9" s="16"/>
      <c r="Z9" s="17"/>
      <c r="AA9" s="17"/>
      <c r="AB9" s="17"/>
      <c r="AC9" s="17"/>
      <c r="AD9" s="17"/>
      <c r="AE9" s="17"/>
      <c r="AF9" s="16"/>
      <c r="AG9" s="16"/>
      <c r="AH9" s="16"/>
      <c r="AI9" s="16"/>
      <c r="AM9" s="12"/>
      <c r="AN9" s="12"/>
      <c r="AO9" s="5"/>
      <c r="AP9" s="12"/>
      <c r="AQ9" s="12"/>
      <c r="AR9" s="5"/>
      <c r="AS9" s="5"/>
      <c r="BN9" s="9"/>
      <c r="BO9" s="10"/>
      <c r="BP9" s="9"/>
      <c r="BQ9" s="9"/>
      <c r="BS9" s="10"/>
      <c r="BT9" s="10"/>
      <c r="BV9" s="10"/>
      <c r="BW9" s="10"/>
      <c r="BX9" s="10"/>
      <c r="BY9" s="10"/>
      <c r="BZ9" s="10"/>
      <c r="CA9" s="10"/>
      <c r="CB9" s="10"/>
    </row>
    <row r="10" spans="2:84" x14ac:dyDescent="0.2">
      <c r="B10" s="14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O10" s="16"/>
      <c r="P10" s="16"/>
      <c r="Q10" s="16"/>
      <c r="R10" s="16"/>
      <c r="S10" s="16"/>
      <c r="T10" s="11"/>
      <c r="U10" s="17"/>
      <c r="V10" s="17"/>
      <c r="W10" s="16"/>
      <c r="X10" s="16"/>
      <c r="Y10" s="16"/>
      <c r="Z10" s="17"/>
      <c r="AA10" s="17"/>
      <c r="AB10" s="17"/>
      <c r="AC10" s="17"/>
      <c r="AD10" s="17"/>
      <c r="AE10" s="17"/>
      <c r="AF10" s="16"/>
      <c r="AG10" s="16"/>
      <c r="AH10" s="16"/>
      <c r="AI10" s="16"/>
      <c r="AM10" s="12"/>
      <c r="AN10" s="12"/>
      <c r="AO10" s="5"/>
      <c r="AP10" s="12"/>
      <c r="AQ10" s="12"/>
      <c r="AR10" s="5"/>
      <c r="AS10" s="5"/>
      <c r="BN10" s="9"/>
      <c r="BO10" s="10"/>
      <c r="BP10" s="9"/>
      <c r="BQ10" s="9"/>
      <c r="BS10" s="10"/>
      <c r="BT10" s="10"/>
      <c r="BV10" s="10"/>
      <c r="BW10" s="10"/>
      <c r="BX10" s="10"/>
      <c r="BY10" s="10"/>
      <c r="BZ10" s="10"/>
      <c r="CA10" s="10"/>
      <c r="CB10" s="10"/>
    </row>
    <row r="11" spans="2:84" x14ac:dyDescent="0.2">
      <c r="B11" s="14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O11" s="16"/>
      <c r="P11" s="16"/>
      <c r="Q11" s="16"/>
      <c r="R11" s="16"/>
      <c r="S11" s="16"/>
      <c r="T11" s="11"/>
      <c r="U11" s="17"/>
      <c r="V11" s="17"/>
      <c r="W11" s="16"/>
      <c r="X11" s="16"/>
      <c r="Y11" s="16"/>
      <c r="Z11" s="17"/>
      <c r="AA11" s="17"/>
      <c r="AB11" s="17"/>
      <c r="AC11" s="17"/>
      <c r="AD11" s="17"/>
      <c r="AE11" s="17"/>
      <c r="AF11" s="16"/>
      <c r="AG11" s="16"/>
      <c r="AH11" s="16"/>
      <c r="AI11" s="16"/>
      <c r="AM11" s="12"/>
      <c r="AN11" s="12"/>
      <c r="AO11" s="5"/>
      <c r="AP11" s="12"/>
      <c r="AQ11" s="12"/>
      <c r="AR11" s="5"/>
      <c r="AS11" s="5"/>
      <c r="BN11" s="9"/>
      <c r="BO11" s="10"/>
      <c r="BP11" s="9"/>
      <c r="BQ11" s="9"/>
      <c r="BS11" s="10"/>
      <c r="BT11" s="10"/>
      <c r="BV11" s="10"/>
      <c r="BW11" s="10"/>
      <c r="BX11" s="10"/>
      <c r="BY11" s="10"/>
      <c r="BZ11" s="10"/>
      <c r="CA11" s="10"/>
      <c r="CB11" s="10"/>
    </row>
    <row r="12" spans="2:84" x14ac:dyDescent="0.2">
      <c r="B12" s="14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O12" s="16"/>
      <c r="P12" s="16"/>
      <c r="Q12" s="16"/>
      <c r="R12" s="16"/>
      <c r="S12" s="16"/>
      <c r="T12" s="11"/>
      <c r="U12" s="17"/>
      <c r="V12" s="17"/>
      <c r="W12" s="16"/>
      <c r="X12" s="16"/>
      <c r="Y12" s="16"/>
      <c r="Z12" s="17"/>
      <c r="AA12" s="17"/>
      <c r="AB12" s="17"/>
      <c r="AC12" s="17"/>
      <c r="AD12" s="17"/>
      <c r="AE12" s="17"/>
      <c r="AF12" s="16"/>
      <c r="AG12" s="16"/>
      <c r="AH12" s="16"/>
      <c r="AI12" s="16"/>
      <c r="AM12" s="12"/>
      <c r="AN12" s="12"/>
      <c r="AO12" s="5"/>
      <c r="AP12" s="12"/>
      <c r="AQ12" s="12"/>
      <c r="AR12" s="5"/>
      <c r="AS12" s="5"/>
      <c r="BN12" s="9"/>
      <c r="BO12" s="10"/>
      <c r="BP12" s="9"/>
      <c r="BQ12" s="9"/>
      <c r="BS12" s="10"/>
      <c r="BT12" s="10"/>
      <c r="BV12" s="10"/>
      <c r="BW12" s="10"/>
      <c r="BX12" s="10"/>
      <c r="BY12" s="10"/>
      <c r="BZ12" s="10"/>
      <c r="CA12" s="10"/>
      <c r="CB12" s="10"/>
    </row>
    <row r="13" spans="2:84" x14ac:dyDescent="0.2">
      <c r="B13" s="14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O13" s="16"/>
      <c r="P13" s="16"/>
      <c r="Q13" s="16"/>
      <c r="R13" s="16"/>
      <c r="S13" s="16"/>
      <c r="T13" s="11"/>
      <c r="U13" s="17"/>
      <c r="V13" s="17"/>
      <c r="W13" s="16"/>
      <c r="X13" s="16"/>
      <c r="Y13" s="16"/>
      <c r="Z13" s="17"/>
      <c r="AA13" s="17"/>
      <c r="AB13" s="17"/>
      <c r="AC13" s="17"/>
      <c r="AD13" s="17"/>
      <c r="AE13" s="17"/>
      <c r="AF13" s="16"/>
      <c r="AG13" s="16"/>
      <c r="AH13" s="16"/>
      <c r="AI13" s="16"/>
      <c r="AM13" s="12"/>
      <c r="AN13" s="12"/>
      <c r="AO13" s="5"/>
      <c r="AP13" s="12"/>
      <c r="AQ13" s="12"/>
      <c r="AR13" s="5"/>
      <c r="AS13" s="5"/>
      <c r="BN13" s="9"/>
      <c r="BO13" s="10"/>
      <c r="BP13" s="9"/>
      <c r="BQ13" s="9"/>
      <c r="BS13" s="10"/>
      <c r="BT13" s="10"/>
      <c r="BV13" s="10"/>
      <c r="BW13" s="10"/>
      <c r="BX13" s="10"/>
      <c r="BY13" s="10"/>
      <c r="BZ13" s="10"/>
      <c r="CA13" s="10"/>
      <c r="CB13" s="10"/>
    </row>
    <row r="14" spans="2:84" x14ac:dyDescent="0.2">
      <c r="B14" s="14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O14" s="16"/>
      <c r="P14" s="16"/>
      <c r="Q14" s="16"/>
      <c r="R14" s="16"/>
      <c r="S14" s="16"/>
      <c r="T14" s="11"/>
      <c r="U14" s="17"/>
      <c r="V14" s="17"/>
      <c r="W14" s="16"/>
      <c r="X14" s="16"/>
      <c r="Y14" s="16"/>
      <c r="Z14" s="17"/>
      <c r="AA14" s="17"/>
      <c r="AB14" s="17"/>
      <c r="AC14" s="17"/>
      <c r="AD14" s="17"/>
      <c r="AE14" s="17"/>
      <c r="AF14" s="16"/>
      <c r="AG14" s="16"/>
      <c r="AH14" s="16"/>
      <c r="AI14" s="16"/>
      <c r="AM14" s="12"/>
      <c r="AN14" s="12"/>
      <c r="AO14" s="5"/>
      <c r="AP14" s="12"/>
      <c r="AQ14" s="12"/>
      <c r="AR14" s="5"/>
      <c r="AS14" s="5"/>
      <c r="BN14" s="9"/>
      <c r="BO14" s="10"/>
      <c r="BP14" s="9"/>
      <c r="BQ14" s="9"/>
      <c r="BS14" s="10"/>
      <c r="BT14" s="10"/>
      <c r="BV14" s="10"/>
      <c r="BW14" s="10"/>
      <c r="BX14" s="10"/>
      <c r="BY14" s="10"/>
      <c r="BZ14" s="10"/>
      <c r="CA14" s="10"/>
      <c r="CB14" s="10"/>
    </row>
    <row r="15" spans="2:84" x14ac:dyDescent="0.2">
      <c r="B15" s="14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O15" s="16"/>
      <c r="P15" s="16"/>
      <c r="Q15" s="16"/>
      <c r="R15" s="16"/>
      <c r="S15" s="16"/>
      <c r="T15" s="11"/>
      <c r="U15" s="17"/>
      <c r="V15" s="17"/>
      <c r="W15" s="16"/>
      <c r="X15" s="16"/>
      <c r="Y15" s="16"/>
      <c r="Z15" s="17"/>
      <c r="AA15" s="17"/>
      <c r="AB15" s="17"/>
      <c r="AC15" s="17"/>
      <c r="AD15" s="17"/>
      <c r="AE15" s="17"/>
      <c r="AF15" s="16"/>
      <c r="AG15" s="16"/>
      <c r="AH15" s="16"/>
      <c r="AI15" s="16"/>
      <c r="AM15" s="12"/>
      <c r="AN15" s="12"/>
      <c r="AO15" s="5"/>
      <c r="AP15" s="12"/>
      <c r="AQ15" s="12"/>
      <c r="AR15" s="5"/>
      <c r="AS15" s="5"/>
      <c r="BN15" s="9"/>
      <c r="BO15" s="10"/>
      <c r="BP15" s="9"/>
      <c r="BQ15" s="9"/>
      <c r="BS15" s="10"/>
      <c r="BT15" s="10"/>
      <c r="BV15" s="10"/>
      <c r="BW15" s="10"/>
      <c r="BX15" s="10"/>
      <c r="BY15" s="10"/>
      <c r="BZ15" s="10"/>
      <c r="CA15" s="10"/>
      <c r="CB15" s="10"/>
    </row>
    <row r="16" spans="2:84" x14ac:dyDescent="0.2">
      <c r="B16" s="14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O16" s="16"/>
      <c r="P16" s="16"/>
      <c r="Q16" s="16"/>
      <c r="R16" s="16"/>
      <c r="S16" s="16"/>
      <c r="T16" s="11"/>
      <c r="U16" s="17"/>
      <c r="V16" s="17"/>
      <c r="W16" s="16"/>
      <c r="X16" s="16"/>
      <c r="Y16" s="16"/>
      <c r="Z16" s="17"/>
      <c r="AA16" s="17"/>
      <c r="AB16" s="17"/>
      <c r="AC16" s="17"/>
      <c r="AD16" s="17"/>
      <c r="AE16" s="17"/>
      <c r="AF16" s="16"/>
      <c r="AG16" s="16"/>
      <c r="AH16" s="16"/>
      <c r="AI16" s="16"/>
      <c r="AM16" s="12"/>
      <c r="AN16" s="12"/>
      <c r="AO16" s="5"/>
      <c r="AP16" s="12"/>
      <c r="AQ16" s="12"/>
      <c r="AR16" s="5"/>
      <c r="AS16" s="5"/>
      <c r="BN16" s="9"/>
      <c r="BO16" s="10"/>
      <c r="BP16" s="9"/>
      <c r="BQ16" s="9"/>
      <c r="BS16" s="10"/>
      <c r="BT16" s="10"/>
      <c r="BV16" s="10"/>
      <c r="BW16" s="10"/>
      <c r="BX16" s="10"/>
      <c r="BY16" s="10"/>
      <c r="BZ16" s="10"/>
      <c r="CA16" s="10"/>
      <c r="CB16" s="10"/>
    </row>
    <row r="17" spans="2:80" x14ac:dyDescent="0.2">
      <c r="B17" s="14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O17" s="16"/>
      <c r="P17" s="16"/>
      <c r="Q17" s="16"/>
      <c r="R17" s="16"/>
      <c r="S17" s="16"/>
      <c r="T17" s="11"/>
      <c r="U17" s="17"/>
      <c r="V17" s="17"/>
      <c r="W17" s="16"/>
      <c r="X17" s="16"/>
      <c r="Y17" s="16"/>
      <c r="Z17" s="17"/>
      <c r="AA17" s="17"/>
      <c r="AB17" s="17"/>
      <c r="AC17" s="17"/>
      <c r="AD17" s="17"/>
      <c r="AE17" s="17"/>
      <c r="AF17" s="16"/>
      <c r="AG17" s="16"/>
      <c r="AH17" s="16"/>
      <c r="AI17" s="16"/>
      <c r="AM17" s="12"/>
      <c r="AN17" s="12"/>
      <c r="AO17" s="5"/>
      <c r="AP17" s="12"/>
      <c r="AQ17" s="12"/>
      <c r="AR17" s="5"/>
      <c r="AS17" s="5"/>
      <c r="BN17" s="9"/>
      <c r="BO17" s="10"/>
      <c r="BP17" s="9"/>
      <c r="BQ17" s="9"/>
      <c r="BS17" s="10"/>
      <c r="BT17" s="10"/>
      <c r="BV17" s="10"/>
      <c r="BW17" s="10"/>
      <c r="BX17" s="10"/>
      <c r="BY17" s="10"/>
      <c r="BZ17" s="10"/>
      <c r="CA17" s="10"/>
      <c r="CB17" s="10"/>
    </row>
    <row r="18" spans="2:80" x14ac:dyDescent="0.2">
      <c r="B18" s="14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O18" s="16"/>
      <c r="P18" s="16"/>
      <c r="Q18" s="16"/>
      <c r="R18" s="16"/>
      <c r="S18" s="16"/>
      <c r="T18" s="11"/>
      <c r="U18" s="17"/>
      <c r="V18" s="17"/>
      <c r="W18" s="16"/>
      <c r="X18" s="16"/>
      <c r="Y18" s="16"/>
      <c r="Z18" s="17"/>
      <c r="AA18" s="17"/>
      <c r="AB18" s="17"/>
      <c r="AC18" s="17"/>
      <c r="AD18" s="17"/>
      <c r="AE18" s="17"/>
      <c r="AF18" s="16"/>
      <c r="AG18" s="16"/>
      <c r="AH18" s="16"/>
      <c r="AI18" s="16"/>
      <c r="AM18" s="12"/>
      <c r="AN18" s="12"/>
      <c r="AO18" s="5"/>
      <c r="AP18" s="12"/>
      <c r="AQ18" s="12"/>
      <c r="AR18" s="5"/>
      <c r="AS18" s="5"/>
      <c r="BN18" s="9"/>
      <c r="BO18" s="10"/>
      <c r="BP18" s="9"/>
      <c r="BQ18" s="9"/>
      <c r="BS18" s="10"/>
      <c r="BT18" s="10"/>
      <c r="BV18" s="10"/>
      <c r="BW18" s="10"/>
      <c r="BX18" s="10"/>
      <c r="BY18" s="10"/>
      <c r="BZ18" s="10"/>
      <c r="CA18" s="10"/>
      <c r="CB18" s="10"/>
    </row>
    <row r="19" spans="2:80" x14ac:dyDescent="0.2">
      <c r="B19" s="14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O19" s="16"/>
      <c r="P19" s="16"/>
      <c r="Q19" s="16"/>
      <c r="R19" s="16"/>
      <c r="S19" s="16"/>
      <c r="T19" s="11"/>
      <c r="U19" s="17"/>
      <c r="V19" s="17"/>
      <c r="W19" s="16"/>
      <c r="X19" s="16"/>
      <c r="Y19" s="16"/>
      <c r="Z19" s="17"/>
      <c r="AA19" s="17"/>
      <c r="AB19" s="17"/>
      <c r="AC19" s="17"/>
      <c r="AD19" s="17"/>
      <c r="AE19" s="17"/>
      <c r="AF19" s="16"/>
      <c r="AG19" s="16"/>
      <c r="AH19" s="16"/>
      <c r="AI19" s="16"/>
      <c r="AM19" s="12"/>
      <c r="AN19" s="12"/>
      <c r="AO19" s="5"/>
      <c r="AP19" s="12"/>
      <c r="AQ19" s="12"/>
      <c r="AR19" s="5"/>
      <c r="AS19" s="5"/>
      <c r="BN19" s="9"/>
      <c r="BO19" s="10"/>
      <c r="BP19" s="9"/>
      <c r="BQ19" s="9"/>
      <c r="BS19" s="10"/>
      <c r="BT19" s="10"/>
      <c r="BV19" s="10"/>
      <c r="BW19" s="10"/>
      <c r="BX19" s="10"/>
      <c r="BY19" s="10"/>
      <c r="BZ19" s="10"/>
      <c r="CA19" s="10"/>
      <c r="CB19" s="10"/>
    </row>
    <row r="20" spans="2:80" x14ac:dyDescent="0.2">
      <c r="B20" s="14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O20" s="16"/>
      <c r="P20" s="16"/>
      <c r="Q20" s="16"/>
      <c r="R20" s="16"/>
      <c r="S20" s="16"/>
      <c r="T20" s="11"/>
      <c r="U20" s="17"/>
      <c r="V20" s="17"/>
      <c r="W20" s="16"/>
      <c r="X20" s="16"/>
      <c r="Y20" s="16"/>
      <c r="Z20" s="17"/>
      <c r="AA20" s="17"/>
      <c r="AB20" s="17"/>
      <c r="AC20" s="17"/>
      <c r="AD20" s="17"/>
      <c r="AE20" s="17"/>
      <c r="AF20" s="16"/>
      <c r="AG20" s="16"/>
      <c r="AH20" s="16"/>
      <c r="AI20" s="16"/>
      <c r="AM20" s="12"/>
      <c r="AN20" s="12"/>
      <c r="AO20" s="5"/>
      <c r="AP20" s="12"/>
      <c r="AQ20" s="12"/>
      <c r="AR20" s="5"/>
      <c r="AS20" s="5"/>
      <c r="BN20" s="9"/>
      <c r="BO20" s="10"/>
      <c r="BP20" s="9"/>
      <c r="BQ20" s="9"/>
      <c r="BS20" s="10"/>
      <c r="BT20" s="10"/>
      <c r="BV20" s="10"/>
      <c r="BW20" s="10"/>
      <c r="BX20" s="10"/>
      <c r="BY20" s="10"/>
      <c r="BZ20" s="10"/>
      <c r="CA20" s="10"/>
      <c r="CB20" s="10"/>
    </row>
    <row r="21" spans="2:80" x14ac:dyDescent="0.2">
      <c r="B21" s="14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O21" s="16"/>
      <c r="P21" s="16"/>
      <c r="Q21" s="16"/>
      <c r="R21" s="16"/>
      <c r="S21" s="16"/>
      <c r="T21" s="11"/>
      <c r="U21" s="17"/>
      <c r="V21" s="17"/>
      <c r="W21" s="16"/>
      <c r="X21" s="16"/>
      <c r="Y21" s="16"/>
      <c r="Z21" s="17"/>
      <c r="AA21" s="17"/>
      <c r="AB21" s="17"/>
      <c r="AC21" s="17"/>
      <c r="AD21" s="17"/>
      <c r="AE21" s="17"/>
      <c r="AF21" s="16"/>
      <c r="AG21" s="16"/>
      <c r="AH21" s="16"/>
      <c r="AI21" s="16"/>
      <c r="AM21" s="12"/>
      <c r="AN21" s="12"/>
      <c r="AO21" s="5"/>
      <c r="AP21" s="12"/>
      <c r="AQ21" s="12"/>
      <c r="AR21" s="5"/>
      <c r="AS21" s="5"/>
      <c r="BN21" s="9"/>
      <c r="BO21" s="10"/>
      <c r="BP21" s="9"/>
      <c r="BQ21" s="9"/>
      <c r="BS21" s="10"/>
      <c r="BT21" s="10"/>
      <c r="BV21" s="10"/>
      <c r="BW21" s="10"/>
      <c r="BX21" s="10"/>
      <c r="BY21" s="10"/>
      <c r="BZ21" s="10"/>
      <c r="CA21" s="10"/>
      <c r="CB21" s="10"/>
    </row>
    <row r="22" spans="2:80" x14ac:dyDescent="0.2">
      <c r="B22" s="14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O22" s="16"/>
      <c r="P22" s="16"/>
      <c r="Q22" s="16"/>
      <c r="R22" s="16"/>
      <c r="S22" s="16"/>
      <c r="T22" s="11"/>
      <c r="U22" s="17"/>
      <c r="V22" s="17"/>
      <c r="W22" s="16"/>
      <c r="X22" s="16"/>
      <c r="Y22" s="16"/>
      <c r="Z22" s="17"/>
      <c r="AA22" s="17"/>
      <c r="AB22" s="17"/>
      <c r="AC22" s="17"/>
      <c r="AD22" s="17"/>
      <c r="AE22" s="17"/>
      <c r="AF22" s="16"/>
      <c r="AG22" s="16"/>
      <c r="AH22" s="16"/>
      <c r="AI22" s="16"/>
      <c r="AM22" s="12"/>
      <c r="AN22" s="12"/>
      <c r="AO22" s="5"/>
      <c r="AP22" s="12"/>
      <c r="AQ22" s="12"/>
      <c r="AR22" s="5"/>
      <c r="AS22" s="5"/>
      <c r="BN22" s="9"/>
      <c r="BO22" s="10"/>
      <c r="BP22" s="9"/>
      <c r="BQ22" s="9"/>
      <c r="BS22" s="10"/>
      <c r="BT22" s="10"/>
      <c r="BV22" s="10"/>
      <c r="BW22" s="10"/>
      <c r="BX22" s="10"/>
      <c r="BY22" s="10"/>
      <c r="BZ22" s="10"/>
      <c r="CA22" s="10"/>
      <c r="CB22" s="10"/>
    </row>
    <row r="23" spans="2:80" x14ac:dyDescent="0.2">
      <c r="B23" s="14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O23" s="16"/>
      <c r="P23" s="16"/>
      <c r="Q23" s="16"/>
      <c r="R23" s="16"/>
      <c r="S23" s="16"/>
      <c r="T23" s="11"/>
      <c r="U23" s="17"/>
      <c r="V23" s="17"/>
      <c r="W23" s="16"/>
      <c r="X23" s="16"/>
      <c r="Y23" s="16"/>
      <c r="Z23" s="17"/>
      <c r="AA23" s="17"/>
      <c r="AB23" s="17"/>
      <c r="AC23" s="17"/>
      <c r="AD23" s="17"/>
      <c r="AE23" s="17"/>
      <c r="AF23" s="16"/>
      <c r="AG23" s="16"/>
      <c r="AH23" s="16"/>
      <c r="AI23" s="16"/>
      <c r="AM23" s="12"/>
      <c r="AN23" s="12"/>
      <c r="AO23" s="5"/>
      <c r="AP23" s="12"/>
      <c r="AQ23" s="12"/>
      <c r="AR23" s="5"/>
      <c r="AS23" s="5"/>
      <c r="BN23" s="9"/>
      <c r="BO23" s="10"/>
      <c r="BP23" s="9"/>
      <c r="BQ23" s="9"/>
      <c r="BS23" s="10"/>
      <c r="BT23" s="10"/>
      <c r="BV23" s="10"/>
      <c r="BW23" s="10"/>
      <c r="BX23" s="10"/>
      <c r="BY23" s="10"/>
      <c r="BZ23" s="10"/>
      <c r="CA23" s="10"/>
      <c r="CB23" s="10"/>
    </row>
    <row r="24" spans="2:80" x14ac:dyDescent="0.2">
      <c r="B24" s="14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O24" s="16"/>
      <c r="P24" s="16"/>
      <c r="Q24" s="16"/>
      <c r="R24" s="16"/>
      <c r="S24" s="16"/>
      <c r="T24" s="11"/>
      <c r="U24" s="17"/>
      <c r="V24" s="17"/>
      <c r="W24" s="16"/>
      <c r="X24" s="16"/>
      <c r="Y24" s="16"/>
      <c r="Z24" s="17"/>
      <c r="AA24" s="17"/>
      <c r="AB24" s="17"/>
      <c r="AC24" s="17"/>
      <c r="AD24" s="17"/>
      <c r="AE24" s="17"/>
      <c r="AF24" s="16"/>
      <c r="AG24" s="16"/>
      <c r="AH24" s="16"/>
      <c r="AI24" s="16"/>
      <c r="AM24" s="12"/>
      <c r="AN24" s="12"/>
      <c r="AO24" s="5"/>
      <c r="AP24" s="12"/>
      <c r="AQ24" s="12"/>
      <c r="AR24" s="5"/>
      <c r="AS24" s="5"/>
      <c r="BN24" s="9"/>
      <c r="BO24" s="10"/>
      <c r="BP24" s="9"/>
      <c r="BQ24" s="9"/>
      <c r="BS24" s="10"/>
      <c r="BT24" s="10"/>
      <c r="BV24" s="10"/>
      <c r="BW24" s="10"/>
      <c r="BX24" s="10"/>
      <c r="BY24" s="10"/>
      <c r="BZ24" s="10"/>
      <c r="CA24" s="10"/>
      <c r="CB24" s="10"/>
    </row>
    <row r="25" spans="2:80" x14ac:dyDescent="0.2">
      <c r="B25" s="14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O25" s="16"/>
      <c r="P25" s="16"/>
      <c r="Q25" s="16"/>
      <c r="R25" s="16"/>
      <c r="S25" s="16"/>
      <c r="T25" s="11"/>
      <c r="U25" s="17"/>
      <c r="V25" s="17"/>
      <c r="W25" s="16"/>
      <c r="X25" s="16"/>
      <c r="Y25" s="16"/>
      <c r="Z25" s="17"/>
      <c r="AA25" s="17"/>
      <c r="AB25" s="17"/>
      <c r="AC25" s="17"/>
      <c r="AD25" s="17"/>
      <c r="AE25" s="17"/>
      <c r="AF25" s="16"/>
      <c r="AG25" s="16"/>
      <c r="AH25" s="16"/>
      <c r="AI25" s="16"/>
      <c r="AM25" s="12"/>
      <c r="AN25" s="12"/>
      <c r="AO25" s="5"/>
      <c r="AP25" s="12"/>
      <c r="AQ25" s="12"/>
      <c r="AR25" s="5"/>
      <c r="AS25" s="5"/>
      <c r="BN25" s="9"/>
      <c r="BO25" s="10"/>
      <c r="BP25" s="9"/>
      <c r="BQ25" s="9"/>
      <c r="BS25" s="10"/>
      <c r="BT25" s="10"/>
      <c r="BV25" s="10"/>
      <c r="BW25" s="10"/>
      <c r="BX25" s="10"/>
      <c r="BY25" s="10"/>
      <c r="BZ25" s="10"/>
      <c r="CA25" s="10"/>
      <c r="CB25" s="10"/>
    </row>
    <row r="26" spans="2:80" x14ac:dyDescent="0.2">
      <c r="B26" s="14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O26" s="16"/>
      <c r="P26" s="16"/>
      <c r="Q26" s="16"/>
      <c r="R26" s="16"/>
      <c r="S26" s="16"/>
      <c r="T26" s="11"/>
      <c r="U26" s="17"/>
      <c r="V26" s="17"/>
      <c r="W26" s="16"/>
      <c r="X26" s="16"/>
      <c r="Y26" s="16"/>
      <c r="Z26" s="17"/>
      <c r="AA26" s="17"/>
      <c r="AB26" s="17"/>
      <c r="AC26" s="17"/>
      <c r="AD26" s="17"/>
      <c r="AE26" s="17"/>
      <c r="AF26" s="16"/>
      <c r="AG26" s="16"/>
      <c r="AH26" s="16"/>
      <c r="AI26" s="16"/>
      <c r="AM26" s="12"/>
      <c r="AN26" s="12"/>
      <c r="AO26" s="5"/>
      <c r="AP26" s="12"/>
      <c r="AQ26" s="12"/>
      <c r="AR26" s="5"/>
      <c r="AS26" s="5"/>
      <c r="BN26" s="9"/>
      <c r="BO26" s="10"/>
      <c r="BP26" s="9"/>
      <c r="BQ26" s="9"/>
      <c r="BS26" s="10"/>
      <c r="BT26" s="10"/>
      <c r="BV26" s="10"/>
      <c r="BW26" s="10"/>
      <c r="BX26" s="10"/>
      <c r="BY26" s="10"/>
      <c r="BZ26" s="10"/>
      <c r="CA26" s="10"/>
      <c r="CB26" s="10"/>
    </row>
    <row r="27" spans="2:80" x14ac:dyDescent="0.2">
      <c r="B27" s="14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O27" s="16"/>
      <c r="P27" s="16"/>
      <c r="Q27" s="16"/>
      <c r="R27" s="16"/>
      <c r="S27" s="16"/>
      <c r="T27" s="11"/>
      <c r="U27" s="17"/>
      <c r="V27" s="17"/>
      <c r="W27" s="16"/>
      <c r="X27" s="16"/>
      <c r="Y27" s="16"/>
      <c r="Z27" s="17"/>
      <c r="AA27" s="17"/>
      <c r="AB27" s="17"/>
      <c r="AC27" s="17"/>
      <c r="AD27" s="17"/>
      <c r="AE27" s="17"/>
      <c r="AF27" s="16"/>
      <c r="AG27" s="16"/>
      <c r="AH27" s="16"/>
      <c r="AI27" s="16"/>
      <c r="AM27" s="12"/>
      <c r="AN27" s="12"/>
      <c r="AO27" s="5"/>
      <c r="AP27" s="12"/>
      <c r="AQ27" s="12"/>
      <c r="AR27" s="5"/>
      <c r="AS27" s="5"/>
      <c r="BN27" s="9"/>
      <c r="BO27" s="10"/>
      <c r="BP27" s="9"/>
      <c r="BQ27" s="9"/>
      <c r="BS27" s="10"/>
      <c r="BT27" s="10"/>
      <c r="BV27" s="10"/>
      <c r="BW27" s="10"/>
      <c r="BX27" s="10"/>
      <c r="BY27" s="10"/>
      <c r="BZ27" s="10"/>
      <c r="CA27" s="10"/>
      <c r="CB27" s="10"/>
    </row>
    <row r="28" spans="2:80" x14ac:dyDescent="0.2">
      <c r="B28" s="14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O28" s="16"/>
      <c r="P28" s="16"/>
      <c r="Q28" s="16"/>
      <c r="R28" s="16"/>
      <c r="S28" s="16"/>
      <c r="T28" s="11"/>
      <c r="U28" s="17"/>
      <c r="V28" s="17"/>
      <c r="W28" s="16"/>
      <c r="X28" s="16"/>
      <c r="Y28" s="16"/>
      <c r="Z28" s="17"/>
      <c r="AA28" s="17"/>
      <c r="AB28" s="17"/>
      <c r="AC28" s="17"/>
      <c r="AD28" s="17"/>
      <c r="AE28" s="17"/>
      <c r="AF28" s="16"/>
      <c r="AG28" s="16"/>
      <c r="AH28" s="16"/>
      <c r="AI28" s="16"/>
      <c r="AM28" s="12"/>
      <c r="AN28" s="12"/>
      <c r="AO28" s="5"/>
      <c r="AP28" s="12"/>
      <c r="AQ28" s="12"/>
      <c r="AR28" s="5"/>
      <c r="AS28" s="5"/>
      <c r="BN28" s="9"/>
      <c r="BO28" s="10"/>
      <c r="BP28" s="9"/>
      <c r="BQ28" s="9"/>
      <c r="BS28" s="10"/>
      <c r="BT28" s="10"/>
      <c r="BV28" s="10"/>
      <c r="BW28" s="10"/>
      <c r="BX28" s="10"/>
      <c r="BY28" s="10"/>
      <c r="BZ28" s="10"/>
      <c r="CA28" s="10"/>
      <c r="CB28" s="10"/>
    </row>
    <row r="29" spans="2:80" x14ac:dyDescent="0.2">
      <c r="B29" s="14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O29" s="16"/>
      <c r="P29" s="16"/>
      <c r="Q29" s="16"/>
      <c r="R29" s="16"/>
      <c r="S29" s="16"/>
      <c r="T29" s="11"/>
      <c r="U29" s="17"/>
      <c r="V29" s="17"/>
      <c r="W29" s="16"/>
      <c r="X29" s="16"/>
      <c r="Y29" s="16"/>
      <c r="Z29" s="17"/>
      <c r="AA29" s="17"/>
      <c r="AB29" s="17"/>
      <c r="AC29" s="17"/>
      <c r="AD29" s="17"/>
      <c r="AE29" s="17"/>
      <c r="AF29" s="16"/>
      <c r="AG29" s="16"/>
      <c r="AH29" s="16"/>
      <c r="AI29" s="16"/>
      <c r="AM29" s="12"/>
      <c r="AN29" s="12"/>
      <c r="AO29" s="5"/>
      <c r="AP29" s="12"/>
      <c r="AQ29" s="12"/>
      <c r="AR29" s="5"/>
      <c r="AS29" s="5"/>
      <c r="BN29" s="9"/>
      <c r="BO29" s="10"/>
      <c r="BP29" s="9"/>
      <c r="BQ29" s="9"/>
      <c r="BS29" s="10"/>
      <c r="BT29" s="10"/>
      <c r="BV29" s="10"/>
      <c r="BW29" s="10"/>
      <c r="BX29" s="10"/>
      <c r="BY29" s="10"/>
      <c r="BZ29" s="10"/>
      <c r="CA29" s="10"/>
      <c r="CB29" s="10"/>
    </row>
    <row r="30" spans="2:80" x14ac:dyDescent="0.2">
      <c r="B30" s="14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O30" s="16"/>
      <c r="P30" s="16"/>
      <c r="Q30" s="16"/>
      <c r="R30" s="16"/>
      <c r="S30" s="16"/>
      <c r="T30" s="11"/>
      <c r="U30" s="17"/>
      <c r="V30" s="17"/>
      <c r="W30" s="16"/>
      <c r="X30" s="16"/>
      <c r="Y30" s="16"/>
      <c r="Z30" s="17"/>
      <c r="AA30" s="17"/>
      <c r="AB30" s="17"/>
      <c r="AC30" s="17"/>
      <c r="AD30" s="17"/>
      <c r="AE30" s="17"/>
      <c r="AF30" s="16"/>
      <c r="AG30" s="16"/>
      <c r="AH30" s="16"/>
      <c r="AI30" s="16"/>
      <c r="AM30" s="12"/>
      <c r="AN30" s="12"/>
      <c r="AO30" s="5"/>
      <c r="AP30" s="12"/>
      <c r="AQ30" s="12"/>
      <c r="AR30" s="5"/>
      <c r="AS30" s="5"/>
      <c r="BN30" s="9"/>
      <c r="BO30" s="10"/>
      <c r="BP30" s="9"/>
      <c r="BQ30" s="9"/>
      <c r="BS30" s="10"/>
      <c r="BT30" s="10"/>
      <c r="BV30" s="10"/>
      <c r="BW30" s="10"/>
      <c r="BX30" s="10"/>
      <c r="BY30" s="10"/>
      <c r="BZ30" s="10"/>
      <c r="CA30" s="10"/>
      <c r="CB30" s="10"/>
    </row>
    <row r="31" spans="2:80" x14ac:dyDescent="0.2">
      <c r="B31" s="14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O31" s="16"/>
      <c r="P31" s="16"/>
      <c r="Q31" s="16"/>
      <c r="R31" s="16"/>
      <c r="S31" s="16"/>
      <c r="T31" s="11"/>
      <c r="U31" s="17"/>
      <c r="V31" s="17"/>
      <c r="W31" s="16"/>
      <c r="X31" s="16"/>
      <c r="Y31" s="16"/>
      <c r="Z31" s="17"/>
      <c r="AA31" s="17"/>
      <c r="AB31" s="17"/>
      <c r="AC31" s="17"/>
      <c r="AD31" s="17"/>
      <c r="AE31" s="17"/>
      <c r="AF31" s="16"/>
      <c r="AG31" s="16"/>
      <c r="AH31" s="16"/>
      <c r="AI31" s="16"/>
      <c r="AM31" s="12"/>
      <c r="AN31" s="12"/>
      <c r="AO31" s="5"/>
      <c r="AP31" s="12"/>
      <c r="AQ31" s="12"/>
      <c r="AR31" s="5"/>
      <c r="AS31" s="5"/>
      <c r="BN31" s="9"/>
      <c r="BO31" s="10"/>
      <c r="BP31" s="9"/>
      <c r="BQ31" s="9"/>
      <c r="BS31" s="10"/>
      <c r="BT31" s="10"/>
      <c r="BV31" s="10"/>
      <c r="BW31" s="10"/>
      <c r="BX31" s="10"/>
      <c r="BY31" s="10"/>
      <c r="BZ31" s="10"/>
      <c r="CA31" s="10"/>
      <c r="CB31" s="10"/>
    </row>
    <row r="32" spans="2:80" x14ac:dyDescent="0.2">
      <c r="B32" s="14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O32" s="16"/>
      <c r="P32" s="16"/>
      <c r="Q32" s="16"/>
      <c r="R32" s="16"/>
      <c r="S32" s="16"/>
      <c r="T32" s="11"/>
      <c r="U32" s="17"/>
      <c r="V32" s="17"/>
      <c r="W32" s="16"/>
      <c r="X32" s="16"/>
      <c r="Y32" s="16"/>
      <c r="Z32" s="17"/>
      <c r="AA32" s="17"/>
      <c r="AB32" s="17"/>
      <c r="AC32" s="17"/>
      <c r="AD32" s="17"/>
      <c r="AE32" s="17"/>
      <c r="AF32" s="16"/>
      <c r="AG32" s="16"/>
      <c r="AH32" s="16"/>
      <c r="AI32" s="16"/>
      <c r="AM32" s="12"/>
      <c r="AN32" s="12"/>
      <c r="AO32" s="5"/>
      <c r="AP32" s="12"/>
      <c r="AQ32" s="12"/>
      <c r="AR32" s="5"/>
      <c r="AS32" s="5"/>
      <c r="BN32" s="9"/>
      <c r="BO32" s="10"/>
      <c r="BP32" s="9"/>
      <c r="BQ32" s="9"/>
      <c r="BS32" s="10"/>
      <c r="BT32" s="10"/>
      <c r="BV32" s="10"/>
      <c r="BW32" s="10"/>
      <c r="BX32" s="10"/>
      <c r="BY32" s="10"/>
      <c r="BZ32" s="10"/>
      <c r="CA32" s="10"/>
      <c r="CB32" s="10"/>
    </row>
    <row r="33" spans="2:80" x14ac:dyDescent="0.2">
      <c r="B33" s="14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O33" s="16"/>
      <c r="P33" s="16"/>
      <c r="Q33" s="16"/>
      <c r="R33" s="16"/>
      <c r="S33" s="16"/>
      <c r="T33" s="11"/>
      <c r="U33" s="17"/>
      <c r="V33" s="17"/>
      <c r="W33" s="16"/>
      <c r="X33" s="16"/>
      <c r="Y33" s="16"/>
      <c r="Z33" s="17"/>
      <c r="AA33" s="17"/>
      <c r="AB33" s="17"/>
      <c r="AC33" s="17"/>
      <c r="AD33" s="17"/>
      <c r="AE33" s="17"/>
      <c r="AF33" s="16"/>
      <c r="AG33" s="16"/>
      <c r="AH33" s="16"/>
      <c r="AI33" s="16"/>
      <c r="AM33" s="12"/>
      <c r="AN33" s="12"/>
      <c r="AO33" s="5"/>
      <c r="AP33" s="12"/>
      <c r="AQ33" s="12"/>
      <c r="AR33" s="5"/>
      <c r="AS33" s="5"/>
      <c r="BN33" s="9"/>
      <c r="BO33" s="10"/>
      <c r="BP33" s="9"/>
      <c r="BQ33" s="9"/>
      <c r="BS33" s="10"/>
      <c r="BT33" s="10"/>
      <c r="BV33" s="10"/>
      <c r="BW33" s="10"/>
      <c r="BX33" s="10"/>
      <c r="BY33" s="10"/>
      <c r="BZ33" s="10"/>
      <c r="CA33" s="10"/>
      <c r="CB33" s="10"/>
    </row>
    <row r="34" spans="2:80" x14ac:dyDescent="0.2">
      <c r="B34" s="14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O34" s="16"/>
      <c r="P34" s="16"/>
      <c r="Q34" s="16"/>
      <c r="R34" s="16"/>
      <c r="S34" s="16"/>
      <c r="T34" s="11"/>
      <c r="U34" s="17"/>
      <c r="V34" s="17"/>
      <c r="W34" s="16"/>
      <c r="X34" s="16"/>
      <c r="Y34" s="16"/>
      <c r="Z34" s="17"/>
      <c r="AA34" s="17"/>
      <c r="AB34" s="17"/>
      <c r="AC34" s="17"/>
      <c r="AD34" s="17"/>
      <c r="AE34" s="17"/>
      <c r="AF34" s="16"/>
      <c r="AG34" s="16"/>
      <c r="AH34" s="16"/>
      <c r="AI34" s="16"/>
      <c r="AM34" s="12"/>
      <c r="AN34" s="12"/>
      <c r="AO34" s="5"/>
      <c r="AP34" s="12"/>
      <c r="AQ34" s="12"/>
      <c r="AR34" s="5"/>
      <c r="AS34" s="5"/>
      <c r="BN34" s="9"/>
      <c r="BO34" s="10"/>
      <c r="BP34" s="9"/>
      <c r="BQ34" s="9"/>
      <c r="BS34" s="10"/>
      <c r="BT34" s="10"/>
      <c r="BV34" s="10"/>
      <c r="BW34" s="10"/>
      <c r="BX34" s="10"/>
      <c r="BY34" s="10"/>
      <c r="BZ34" s="10"/>
      <c r="CA34" s="10"/>
      <c r="CB34" s="10"/>
    </row>
    <row r="35" spans="2:80" x14ac:dyDescent="0.2">
      <c r="B35" s="14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O35" s="16"/>
      <c r="P35" s="16"/>
      <c r="Q35" s="16"/>
      <c r="R35" s="16"/>
      <c r="S35" s="16"/>
      <c r="T35" s="11"/>
      <c r="U35" s="17"/>
      <c r="V35" s="17"/>
      <c r="W35" s="16"/>
      <c r="X35" s="16"/>
      <c r="Y35" s="16"/>
      <c r="Z35" s="17"/>
      <c r="AA35" s="17"/>
      <c r="AB35" s="17"/>
      <c r="AC35" s="17"/>
      <c r="AD35" s="17"/>
      <c r="AE35" s="17"/>
      <c r="AF35" s="16"/>
      <c r="AG35" s="16"/>
      <c r="AH35" s="16"/>
      <c r="AI35" s="16"/>
      <c r="AM35" s="12"/>
      <c r="AN35" s="12"/>
      <c r="AO35" s="5"/>
      <c r="AP35" s="12"/>
      <c r="AQ35" s="12"/>
      <c r="AR35" s="5"/>
      <c r="AS35" s="5"/>
      <c r="BN35" s="9"/>
      <c r="BO35" s="10"/>
      <c r="BP35" s="9"/>
      <c r="BQ35" s="9"/>
      <c r="BS35" s="10"/>
      <c r="BT35" s="10"/>
      <c r="BV35" s="10"/>
      <c r="BW35" s="10"/>
      <c r="BX35" s="10"/>
      <c r="BY35" s="10"/>
      <c r="BZ35" s="10"/>
      <c r="CA35" s="10"/>
      <c r="CB35" s="10"/>
    </row>
    <row r="36" spans="2:80" x14ac:dyDescent="0.2">
      <c r="B36" s="14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O36" s="16"/>
      <c r="P36" s="16"/>
      <c r="Q36" s="16"/>
      <c r="R36" s="16"/>
      <c r="S36" s="16"/>
      <c r="T36" s="11"/>
      <c r="U36" s="17"/>
      <c r="V36" s="17"/>
      <c r="W36" s="16"/>
      <c r="X36" s="16"/>
      <c r="Y36" s="16"/>
      <c r="Z36" s="17"/>
      <c r="AA36" s="17"/>
      <c r="AB36" s="17"/>
      <c r="AC36" s="17"/>
      <c r="AD36" s="17"/>
      <c r="AE36" s="17"/>
      <c r="AF36" s="16"/>
      <c r="AG36" s="16"/>
      <c r="AH36" s="16"/>
      <c r="AI36" s="16"/>
      <c r="AM36" s="12"/>
      <c r="AN36" s="12"/>
      <c r="AO36" s="5"/>
      <c r="AP36" s="12"/>
      <c r="AQ36" s="12"/>
      <c r="AR36" s="5"/>
      <c r="AS36" s="5"/>
      <c r="BN36" s="9"/>
      <c r="BO36" s="10"/>
      <c r="BP36" s="9"/>
      <c r="BQ36" s="9"/>
      <c r="BS36" s="10"/>
      <c r="BT36" s="10"/>
      <c r="BV36" s="10"/>
      <c r="BW36" s="10"/>
      <c r="BX36" s="10"/>
      <c r="BY36" s="10"/>
      <c r="BZ36" s="10"/>
      <c r="CA36" s="10"/>
      <c r="CB36" s="10"/>
    </row>
    <row r="37" spans="2:80" x14ac:dyDescent="0.2">
      <c r="B37" s="14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O37" s="16"/>
      <c r="P37" s="16"/>
      <c r="Q37" s="16"/>
      <c r="R37" s="16"/>
      <c r="S37" s="16"/>
      <c r="T37" s="11"/>
      <c r="U37" s="17"/>
      <c r="V37" s="17"/>
      <c r="W37" s="16"/>
      <c r="X37" s="16"/>
      <c r="Y37" s="16"/>
      <c r="Z37" s="17"/>
      <c r="AA37" s="17"/>
      <c r="AB37" s="17"/>
      <c r="AC37" s="17"/>
      <c r="AD37" s="17"/>
      <c r="AE37" s="17"/>
      <c r="AF37" s="16"/>
      <c r="AG37" s="16"/>
      <c r="AH37" s="16"/>
      <c r="AI37" s="16"/>
      <c r="AM37" s="12"/>
      <c r="AN37" s="12"/>
      <c r="AO37" s="5"/>
      <c r="AP37" s="12"/>
      <c r="AQ37" s="12"/>
      <c r="AR37" s="5"/>
      <c r="AS37" s="5"/>
      <c r="BN37" s="9"/>
      <c r="BO37" s="10"/>
      <c r="BP37" s="9"/>
      <c r="BQ37" s="9"/>
      <c r="BS37" s="10"/>
      <c r="BT37" s="10"/>
      <c r="BV37" s="10"/>
      <c r="BW37" s="10"/>
      <c r="BX37" s="10"/>
      <c r="BY37" s="10"/>
      <c r="BZ37" s="10"/>
      <c r="CA37" s="10"/>
      <c r="CB37" s="10"/>
    </row>
    <row r="38" spans="2:80" x14ac:dyDescent="0.2">
      <c r="B38" s="14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O38" s="16"/>
      <c r="P38" s="16"/>
      <c r="Q38" s="16"/>
      <c r="R38" s="16"/>
      <c r="S38" s="16"/>
      <c r="T38" s="11"/>
      <c r="U38" s="17"/>
      <c r="V38" s="17"/>
      <c r="W38" s="16"/>
      <c r="X38" s="16"/>
      <c r="Y38" s="16"/>
      <c r="Z38" s="17"/>
      <c r="AA38" s="17"/>
      <c r="AB38" s="17"/>
      <c r="AC38" s="17"/>
      <c r="AD38" s="17"/>
      <c r="AE38" s="17"/>
      <c r="AF38" s="16"/>
      <c r="AG38" s="16"/>
      <c r="AH38" s="16"/>
      <c r="AI38" s="16"/>
      <c r="AM38" s="12"/>
      <c r="AN38" s="12"/>
      <c r="AO38" s="5"/>
      <c r="AP38" s="12"/>
      <c r="AQ38" s="12"/>
      <c r="AR38" s="5"/>
      <c r="AS38" s="5"/>
      <c r="BN38" s="9"/>
      <c r="BO38" s="10"/>
      <c r="BP38" s="9"/>
      <c r="BQ38" s="9"/>
      <c r="BS38" s="10"/>
      <c r="BT38" s="10"/>
      <c r="BV38" s="10"/>
      <c r="BW38" s="10"/>
      <c r="BX38" s="10"/>
      <c r="BY38" s="10"/>
      <c r="BZ38" s="10"/>
      <c r="CA38" s="10"/>
      <c r="CB38" s="10"/>
    </row>
    <row r="39" spans="2:80" x14ac:dyDescent="0.2">
      <c r="B39" s="14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O39" s="16"/>
      <c r="P39" s="16"/>
      <c r="Q39" s="16"/>
      <c r="R39" s="16"/>
      <c r="S39" s="16"/>
      <c r="T39" s="11"/>
      <c r="U39" s="17"/>
      <c r="V39" s="17"/>
      <c r="W39" s="16"/>
      <c r="X39" s="16"/>
      <c r="Y39" s="16"/>
      <c r="Z39" s="17"/>
      <c r="AA39" s="17"/>
      <c r="AB39" s="17"/>
      <c r="AC39" s="17"/>
      <c r="AD39" s="17"/>
      <c r="AE39" s="17"/>
      <c r="AF39" s="16"/>
      <c r="AG39" s="16"/>
      <c r="AH39" s="16"/>
      <c r="AI39" s="16"/>
      <c r="AM39" s="12"/>
      <c r="AN39" s="12"/>
      <c r="AO39" s="5"/>
      <c r="AP39" s="12"/>
      <c r="AQ39" s="12"/>
      <c r="AR39" s="5"/>
      <c r="AS39" s="5"/>
      <c r="BN39" s="9"/>
      <c r="BO39" s="10"/>
      <c r="BP39" s="9"/>
      <c r="BQ39" s="9"/>
      <c r="BS39" s="10"/>
      <c r="BT39" s="10"/>
      <c r="BV39" s="10"/>
      <c r="BW39" s="10"/>
      <c r="BX39" s="10"/>
      <c r="BY39" s="10"/>
      <c r="BZ39" s="10"/>
      <c r="CA39" s="10"/>
      <c r="CB39" s="10"/>
    </row>
    <row r="40" spans="2:80" x14ac:dyDescent="0.2">
      <c r="B40" s="14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O40" s="16"/>
      <c r="P40" s="16"/>
      <c r="Q40" s="16"/>
      <c r="R40" s="16"/>
      <c r="S40" s="16"/>
      <c r="T40" s="11"/>
      <c r="U40" s="17"/>
      <c r="V40" s="17"/>
      <c r="W40" s="16"/>
      <c r="X40" s="16"/>
      <c r="Y40" s="16"/>
      <c r="Z40" s="17"/>
      <c r="AA40" s="17"/>
      <c r="AB40" s="17"/>
      <c r="AC40" s="17"/>
      <c r="AD40" s="17"/>
      <c r="AE40" s="17"/>
      <c r="AF40" s="16"/>
      <c r="AG40" s="16"/>
      <c r="AH40" s="16"/>
      <c r="AI40" s="16"/>
      <c r="AM40" s="12"/>
      <c r="AN40" s="12"/>
      <c r="AO40" s="5"/>
      <c r="AP40" s="12"/>
      <c r="AQ40" s="12"/>
      <c r="AR40" s="5"/>
      <c r="AS40" s="5"/>
      <c r="BN40" s="9"/>
      <c r="BO40" s="10"/>
      <c r="BP40" s="9"/>
      <c r="BQ40" s="9"/>
      <c r="BS40" s="10"/>
      <c r="BT40" s="10"/>
      <c r="BV40" s="10"/>
      <c r="BW40" s="10"/>
      <c r="BX40" s="10"/>
      <c r="BY40" s="10"/>
      <c r="BZ40" s="10"/>
      <c r="CA40" s="10"/>
      <c r="CB40" s="10"/>
    </row>
    <row r="41" spans="2:80" x14ac:dyDescent="0.2">
      <c r="B41" s="14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O41" s="16"/>
      <c r="P41" s="16"/>
      <c r="Q41" s="16"/>
      <c r="R41" s="16"/>
      <c r="S41" s="16"/>
      <c r="T41" s="11"/>
      <c r="U41" s="17"/>
      <c r="V41" s="17"/>
      <c r="W41" s="16"/>
      <c r="X41" s="16"/>
      <c r="Y41" s="16"/>
      <c r="Z41" s="17"/>
      <c r="AA41" s="17"/>
      <c r="AB41" s="17"/>
      <c r="AC41" s="17"/>
      <c r="AD41" s="17"/>
      <c r="AE41" s="17"/>
      <c r="AF41" s="16"/>
      <c r="AG41" s="16"/>
      <c r="AH41" s="16"/>
      <c r="AI41" s="16"/>
      <c r="AM41" s="12"/>
      <c r="AN41" s="12"/>
      <c r="AO41" s="5"/>
      <c r="AP41" s="12"/>
      <c r="AQ41" s="12"/>
      <c r="AR41" s="5"/>
      <c r="AS41" s="5"/>
      <c r="BN41" s="9"/>
      <c r="BO41" s="10"/>
      <c r="BP41" s="9"/>
      <c r="BQ41" s="9"/>
      <c r="BS41" s="10"/>
      <c r="BT41" s="10"/>
      <c r="BV41" s="10"/>
      <c r="BW41" s="10"/>
      <c r="BX41" s="10"/>
      <c r="BY41" s="10"/>
      <c r="BZ41" s="10"/>
      <c r="CA41" s="10"/>
      <c r="CB41" s="10"/>
    </row>
    <row r="42" spans="2:80" x14ac:dyDescent="0.2">
      <c r="B42" s="14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O42" s="16"/>
      <c r="P42" s="16"/>
      <c r="Q42" s="16"/>
      <c r="R42" s="16"/>
      <c r="S42" s="16"/>
      <c r="T42" s="11"/>
      <c r="U42" s="17"/>
      <c r="V42" s="17"/>
      <c r="W42" s="16"/>
      <c r="X42" s="16"/>
      <c r="Y42" s="16"/>
      <c r="Z42" s="17"/>
      <c r="AA42" s="17"/>
      <c r="AB42" s="17"/>
      <c r="AC42" s="17"/>
      <c r="AD42" s="17"/>
      <c r="AE42" s="17"/>
      <c r="AF42" s="16"/>
      <c r="AG42" s="16"/>
      <c r="AH42" s="16"/>
      <c r="AI42" s="16"/>
      <c r="AM42" s="12"/>
      <c r="AN42" s="12"/>
      <c r="AO42" s="5"/>
      <c r="AP42" s="12"/>
      <c r="AQ42" s="12"/>
      <c r="AR42" s="5"/>
      <c r="AS42" s="5"/>
      <c r="BN42" s="9"/>
      <c r="BO42" s="10"/>
      <c r="BP42" s="9"/>
      <c r="BQ42" s="9"/>
      <c r="BS42" s="10"/>
      <c r="BT42" s="10"/>
      <c r="BV42" s="10"/>
      <c r="BW42" s="10"/>
      <c r="BX42" s="10"/>
      <c r="BY42" s="10"/>
      <c r="BZ42" s="10"/>
      <c r="CA42" s="10"/>
      <c r="CB42" s="10"/>
    </row>
    <row r="43" spans="2:80" x14ac:dyDescent="0.2">
      <c r="B43" s="14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O43" s="16"/>
      <c r="P43" s="16"/>
      <c r="Q43" s="16"/>
      <c r="R43" s="16"/>
      <c r="S43" s="16"/>
      <c r="T43" s="11"/>
      <c r="U43" s="17"/>
      <c r="V43" s="17"/>
      <c r="W43" s="16"/>
      <c r="X43" s="16"/>
      <c r="Y43" s="16"/>
      <c r="Z43" s="17"/>
      <c r="AA43" s="17"/>
      <c r="AB43" s="17"/>
      <c r="AC43" s="17"/>
      <c r="AD43" s="17"/>
      <c r="AE43" s="17"/>
      <c r="AF43" s="16"/>
      <c r="AG43" s="16"/>
      <c r="AH43" s="16"/>
      <c r="AI43" s="16"/>
      <c r="AM43" s="12"/>
      <c r="AN43" s="12"/>
      <c r="AO43" s="5"/>
      <c r="AP43" s="12"/>
      <c r="AQ43" s="12"/>
      <c r="AR43" s="5"/>
      <c r="AS43" s="5"/>
      <c r="BN43" s="9"/>
      <c r="BO43" s="10"/>
      <c r="BP43" s="9"/>
      <c r="BQ43" s="9"/>
      <c r="BS43" s="10"/>
      <c r="BT43" s="10"/>
      <c r="BV43" s="10"/>
      <c r="BW43" s="10"/>
      <c r="BX43" s="10"/>
      <c r="BY43" s="10"/>
      <c r="BZ43" s="10"/>
      <c r="CA43" s="10"/>
      <c r="CB43" s="10"/>
    </row>
    <row r="44" spans="2:80" x14ac:dyDescent="0.2">
      <c r="B44" s="14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O44" s="16"/>
      <c r="P44" s="16"/>
      <c r="Q44" s="16"/>
      <c r="R44" s="16"/>
      <c r="S44" s="16"/>
      <c r="T44" s="11"/>
      <c r="U44" s="17"/>
      <c r="V44" s="17"/>
      <c r="W44" s="16"/>
      <c r="X44" s="16"/>
      <c r="Y44" s="16"/>
      <c r="Z44" s="17"/>
      <c r="AA44" s="17"/>
      <c r="AB44" s="17"/>
      <c r="AC44" s="17"/>
      <c r="AD44" s="17"/>
      <c r="AE44" s="17"/>
      <c r="AF44" s="16"/>
      <c r="AG44" s="16"/>
      <c r="AH44" s="16"/>
      <c r="AI44" s="16"/>
      <c r="AM44" s="12"/>
      <c r="AN44" s="12"/>
      <c r="AO44" s="5"/>
      <c r="AP44" s="12"/>
      <c r="AQ44" s="12"/>
      <c r="AR44" s="5"/>
      <c r="AS44" s="5"/>
      <c r="BN44" s="9"/>
      <c r="BO44" s="10"/>
      <c r="BP44" s="9"/>
      <c r="BQ44" s="9"/>
      <c r="BS44" s="10"/>
      <c r="BT44" s="10"/>
      <c r="BV44" s="10"/>
      <c r="BW44" s="10"/>
      <c r="BX44" s="10"/>
      <c r="BY44" s="10"/>
      <c r="BZ44" s="10"/>
      <c r="CA44" s="10"/>
      <c r="CB44" s="10"/>
    </row>
    <row r="45" spans="2:80" x14ac:dyDescent="0.2">
      <c r="B45" s="14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O45" s="16"/>
      <c r="P45" s="16"/>
      <c r="Q45" s="16"/>
      <c r="R45" s="16"/>
      <c r="S45" s="16"/>
      <c r="T45" s="11"/>
      <c r="U45" s="17"/>
      <c r="V45" s="17"/>
      <c r="W45" s="16"/>
      <c r="X45" s="16"/>
      <c r="Y45" s="16"/>
      <c r="Z45" s="17"/>
      <c r="AA45" s="17"/>
      <c r="AB45" s="17"/>
      <c r="AC45" s="17"/>
      <c r="AD45" s="17"/>
      <c r="AE45" s="17"/>
      <c r="AF45" s="16"/>
      <c r="AG45" s="16"/>
      <c r="AH45" s="16"/>
      <c r="AI45" s="16"/>
      <c r="AM45" s="12"/>
      <c r="AN45" s="12"/>
      <c r="AO45" s="5"/>
      <c r="AP45" s="12"/>
      <c r="AQ45" s="12"/>
      <c r="AR45" s="5"/>
      <c r="AS45" s="5"/>
      <c r="BN45" s="9"/>
      <c r="BO45" s="10"/>
      <c r="BP45" s="9"/>
      <c r="BQ45" s="9"/>
      <c r="BS45" s="10"/>
      <c r="BT45" s="10"/>
      <c r="BV45" s="10"/>
      <c r="BW45" s="10"/>
      <c r="BX45" s="10"/>
      <c r="BY45" s="10"/>
      <c r="BZ45" s="10"/>
      <c r="CA45" s="10"/>
      <c r="CB45" s="10"/>
    </row>
    <row r="46" spans="2:80" x14ac:dyDescent="0.2">
      <c r="B46" s="14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O46" s="16"/>
      <c r="P46" s="16"/>
      <c r="Q46" s="16"/>
      <c r="R46" s="16"/>
      <c r="S46" s="16"/>
      <c r="T46" s="11"/>
      <c r="U46" s="17"/>
      <c r="V46" s="17"/>
      <c r="W46" s="16"/>
      <c r="X46" s="16"/>
      <c r="Y46" s="16"/>
      <c r="Z46" s="17"/>
      <c r="AA46" s="17"/>
      <c r="AB46" s="17"/>
      <c r="AC46" s="17"/>
      <c r="AD46" s="17"/>
      <c r="AE46" s="17"/>
      <c r="AF46" s="16"/>
      <c r="AG46" s="16"/>
      <c r="AH46" s="16"/>
      <c r="AI46" s="16"/>
      <c r="AM46" s="12"/>
      <c r="AN46" s="12"/>
      <c r="AO46" s="5"/>
      <c r="AP46" s="12"/>
      <c r="AQ46" s="12"/>
      <c r="AR46" s="5"/>
      <c r="AS46" s="5"/>
      <c r="BN46" s="9"/>
      <c r="BO46" s="10"/>
      <c r="BP46" s="9"/>
      <c r="BQ46" s="9"/>
      <c r="BS46" s="10"/>
      <c r="BT46" s="10"/>
      <c r="BV46" s="10"/>
      <c r="BW46" s="10"/>
      <c r="BX46" s="10"/>
      <c r="BY46" s="10"/>
      <c r="BZ46" s="10"/>
      <c r="CA46" s="10"/>
      <c r="CB46" s="10"/>
    </row>
    <row r="47" spans="2:80" x14ac:dyDescent="0.2">
      <c r="B47" s="14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O47" s="16"/>
      <c r="P47" s="16"/>
      <c r="Q47" s="16"/>
      <c r="R47" s="16"/>
      <c r="S47" s="16"/>
      <c r="T47" s="11"/>
      <c r="U47" s="17"/>
      <c r="V47" s="17"/>
      <c r="W47" s="16"/>
      <c r="X47" s="16"/>
      <c r="Y47" s="16"/>
      <c r="Z47" s="17"/>
      <c r="AA47" s="17"/>
      <c r="AB47" s="17"/>
      <c r="AC47" s="17"/>
      <c r="AD47" s="17"/>
      <c r="AE47" s="17"/>
      <c r="AF47" s="16"/>
      <c r="AG47" s="16"/>
      <c r="AH47" s="16"/>
      <c r="AI47" s="16"/>
      <c r="AM47" s="12"/>
      <c r="AN47" s="12"/>
      <c r="AO47" s="5"/>
      <c r="AP47" s="12"/>
      <c r="AQ47" s="12"/>
      <c r="AR47" s="5"/>
      <c r="AS47" s="5"/>
      <c r="BN47" s="9"/>
      <c r="BO47" s="10"/>
      <c r="BP47" s="9"/>
      <c r="BQ47" s="9"/>
      <c r="BS47" s="10"/>
      <c r="BT47" s="10"/>
      <c r="BV47" s="10"/>
      <c r="BW47" s="10"/>
      <c r="BX47" s="10"/>
      <c r="BY47" s="10"/>
      <c r="BZ47" s="10"/>
      <c r="CA47" s="10"/>
      <c r="CB47" s="10"/>
    </row>
    <row r="48" spans="2:80" x14ac:dyDescent="0.2">
      <c r="B48" s="14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O48" s="16"/>
      <c r="P48" s="16"/>
      <c r="Q48" s="16"/>
      <c r="R48" s="16"/>
      <c r="S48" s="16"/>
      <c r="T48" s="11"/>
      <c r="U48" s="17"/>
      <c r="V48" s="17"/>
      <c r="W48" s="16"/>
      <c r="X48" s="16"/>
      <c r="Y48" s="16"/>
      <c r="Z48" s="17"/>
      <c r="AA48" s="17"/>
      <c r="AB48" s="17"/>
      <c r="AC48" s="17"/>
      <c r="AD48" s="17"/>
      <c r="AE48" s="17"/>
      <c r="AF48" s="16"/>
      <c r="AG48" s="16"/>
      <c r="AH48" s="16"/>
      <c r="AI48" s="16"/>
      <c r="AM48" s="12"/>
      <c r="AN48" s="12"/>
      <c r="AO48" s="5"/>
      <c r="AP48" s="12"/>
      <c r="AQ48" s="12"/>
      <c r="AR48" s="5"/>
      <c r="AS48" s="5"/>
      <c r="BN48" s="9"/>
      <c r="BO48" s="10"/>
      <c r="BP48" s="9"/>
      <c r="BQ48" s="9"/>
      <c r="BS48" s="10"/>
      <c r="BT48" s="10"/>
      <c r="BV48" s="10"/>
      <c r="BW48" s="10"/>
      <c r="BX48" s="10"/>
      <c r="BY48" s="10"/>
      <c r="BZ48" s="10"/>
      <c r="CA48" s="10"/>
      <c r="CB48" s="10"/>
    </row>
    <row r="49" spans="2:80" x14ac:dyDescent="0.2">
      <c r="B49" s="14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O49" s="16"/>
      <c r="P49" s="16"/>
      <c r="Q49" s="16"/>
      <c r="R49" s="16"/>
      <c r="S49" s="16"/>
      <c r="T49" s="11"/>
      <c r="U49" s="17"/>
      <c r="V49" s="17"/>
      <c r="W49" s="16"/>
      <c r="X49" s="16"/>
      <c r="Y49" s="16"/>
      <c r="Z49" s="17"/>
      <c r="AA49" s="17"/>
      <c r="AB49" s="17"/>
      <c r="AC49" s="17"/>
      <c r="AD49" s="17"/>
      <c r="AE49" s="17"/>
      <c r="AF49" s="16"/>
      <c r="AG49" s="16"/>
      <c r="AH49" s="16"/>
      <c r="AI49" s="16"/>
      <c r="AM49" s="12"/>
      <c r="AN49" s="12"/>
      <c r="AO49" s="5"/>
      <c r="AP49" s="12"/>
      <c r="AQ49" s="12"/>
      <c r="AR49" s="5"/>
      <c r="AS49" s="5"/>
      <c r="BN49" s="9"/>
      <c r="BO49" s="10"/>
      <c r="BP49" s="9"/>
      <c r="BQ49" s="9"/>
      <c r="BS49" s="10"/>
      <c r="BT49" s="10"/>
      <c r="BV49" s="10"/>
      <c r="BW49" s="10"/>
      <c r="BX49" s="10"/>
      <c r="BY49" s="10"/>
      <c r="BZ49" s="10"/>
      <c r="CA49" s="10"/>
      <c r="CB49" s="10"/>
    </row>
    <row r="50" spans="2:80" x14ac:dyDescent="0.2">
      <c r="B50" s="14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O50" s="16"/>
      <c r="P50" s="16"/>
      <c r="Q50" s="16"/>
      <c r="R50" s="16"/>
      <c r="S50" s="16"/>
      <c r="T50" s="11"/>
      <c r="U50" s="17"/>
      <c r="V50" s="17"/>
      <c r="W50" s="16"/>
      <c r="X50" s="16"/>
      <c r="Y50" s="16"/>
      <c r="Z50" s="17"/>
      <c r="AA50" s="17"/>
      <c r="AB50" s="17"/>
      <c r="AC50" s="17"/>
      <c r="AD50" s="17"/>
      <c r="AE50" s="17"/>
      <c r="AF50" s="16"/>
      <c r="AG50" s="16"/>
      <c r="AH50" s="16"/>
      <c r="AI50" s="16"/>
      <c r="AM50" s="12"/>
      <c r="AN50" s="12"/>
      <c r="AO50" s="5"/>
      <c r="AP50" s="12"/>
      <c r="AQ50" s="12"/>
      <c r="AR50" s="5"/>
      <c r="AS50" s="5"/>
      <c r="BN50" s="9"/>
      <c r="BO50" s="10"/>
      <c r="BP50" s="9"/>
      <c r="BQ50" s="9"/>
      <c r="BS50" s="10"/>
      <c r="BT50" s="10"/>
      <c r="BV50" s="10"/>
      <c r="BW50" s="10"/>
      <c r="BX50" s="10"/>
      <c r="BY50" s="10"/>
      <c r="BZ50" s="10"/>
      <c r="CA50" s="10"/>
      <c r="CB50" s="10"/>
    </row>
    <row r="51" spans="2:80" x14ac:dyDescent="0.2">
      <c r="B51" s="14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O51" s="16"/>
      <c r="P51" s="16"/>
      <c r="Q51" s="16"/>
      <c r="R51" s="16"/>
      <c r="S51" s="16"/>
      <c r="T51" s="11"/>
      <c r="U51" s="17"/>
      <c r="V51" s="17"/>
      <c r="W51" s="16"/>
      <c r="X51" s="16"/>
      <c r="Y51" s="16"/>
      <c r="Z51" s="17"/>
      <c r="AA51" s="17"/>
      <c r="AB51" s="17"/>
      <c r="AC51" s="17"/>
      <c r="AD51" s="17"/>
      <c r="AE51" s="17"/>
      <c r="AF51" s="16"/>
      <c r="AG51" s="16"/>
      <c r="AH51" s="16"/>
      <c r="AI51" s="16"/>
      <c r="AM51" s="12"/>
      <c r="AN51" s="12"/>
      <c r="AO51" s="5"/>
      <c r="AP51" s="12"/>
      <c r="AQ51" s="12"/>
      <c r="AR51" s="5"/>
      <c r="AS51" s="5"/>
      <c r="BN51" s="9"/>
      <c r="BO51" s="10"/>
      <c r="BP51" s="9"/>
      <c r="BQ51" s="9"/>
      <c r="BS51" s="10"/>
      <c r="BT51" s="10"/>
      <c r="BV51" s="10"/>
      <c r="BW51" s="10"/>
      <c r="BX51" s="10"/>
      <c r="BY51" s="10"/>
      <c r="BZ51" s="10"/>
      <c r="CA51" s="10"/>
      <c r="CB51" s="10"/>
    </row>
    <row r="52" spans="2:80" x14ac:dyDescent="0.2">
      <c r="B52" s="14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O52" s="16"/>
      <c r="P52" s="16"/>
      <c r="Q52" s="16"/>
      <c r="R52" s="16"/>
      <c r="S52" s="16"/>
      <c r="T52" s="11"/>
      <c r="U52" s="17"/>
      <c r="V52" s="17"/>
      <c r="W52" s="16"/>
      <c r="X52" s="16"/>
      <c r="Y52" s="16"/>
      <c r="Z52" s="17"/>
      <c r="AA52" s="17"/>
      <c r="AB52" s="17"/>
      <c r="AC52" s="17"/>
      <c r="AD52" s="17"/>
      <c r="AE52" s="17"/>
      <c r="AF52" s="16"/>
      <c r="AG52" s="16"/>
      <c r="AH52" s="16"/>
      <c r="AI52" s="16"/>
      <c r="AM52" s="12"/>
      <c r="AN52" s="12"/>
      <c r="AO52" s="5"/>
      <c r="AP52" s="12"/>
      <c r="AQ52" s="12"/>
      <c r="AR52" s="5"/>
      <c r="AS52" s="5"/>
      <c r="BN52" s="9"/>
      <c r="BO52" s="10"/>
      <c r="BP52" s="9"/>
      <c r="BQ52" s="9"/>
      <c r="BS52" s="10"/>
      <c r="BT52" s="10"/>
      <c r="BV52" s="10"/>
      <c r="BW52" s="10"/>
      <c r="BX52" s="10"/>
      <c r="BY52" s="10"/>
      <c r="BZ52" s="10"/>
      <c r="CA52" s="10"/>
      <c r="CB52" s="10"/>
    </row>
    <row r="53" spans="2:80" x14ac:dyDescent="0.2">
      <c r="B53" s="14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O53" s="16"/>
      <c r="P53" s="16"/>
      <c r="Q53" s="16"/>
      <c r="R53" s="16"/>
      <c r="S53" s="16"/>
      <c r="T53" s="11"/>
      <c r="U53" s="17"/>
      <c r="V53" s="17"/>
      <c r="W53" s="16"/>
      <c r="X53" s="16"/>
      <c r="Y53" s="16"/>
      <c r="Z53" s="17"/>
      <c r="AA53" s="17"/>
      <c r="AB53" s="17"/>
      <c r="AC53" s="17"/>
      <c r="AD53" s="17"/>
      <c r="AE53" s="17"/>
      <c r="AF53" s="16"/>
      <c r="AG53" s="16"/>
      <c r="AH53" s="16"/>
      <c r="AI53" s="16"/>
      <c r="AM53" s="12"/>
      <c r="AN53" s="12"/>
      <c r="AO53" s="5"/>
      <c r="AP53" s="12"/>
      <c r="AQ53" s="12"/>
      <c r="AR53" s="5"/>
      <c r="AS53" s="5"/>
      <c r="BN53" s="9"/>
      <c r="BO53" s="10"/>
      <c r="BP53" s="9"/>
      <c r="BQ53" s="9"/>
      <c r="BS53" s="10"/>
      <c r="BT53" s="10"/>
      <c r="BV53" s="10"/>
      <c r="BW53" s="10"/>
      <c r="BX53" s="10"/>
      <c r="BY53" s="10"/>
      <c r="BZ53" s="10"/>
      <c r="CA53" s="10"/>
      <c r="CB53" s="10"/>
    </row>
    <row r="54" spans="2:80" x14ac:dyDescent="0.2">
      <c r="B54" s="14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O54" s="16"/>
      <c r="P54" s="16"/>
      <c r="Q54" s="16"/>
      <c r="R54" s="16"/>
      <c r="S54" s="16"/>
      <c r="T54" s="11"/>
      <c r="U54" s="17"/>
      <c r="V54" s="17"/>
      <c r="W54" s="16"/>
      <c r="X54" s="16"/>
      <c r="Y54" s="16"/>
      <c r="Z54" s="17"/>
      <c r="AA54" s="17"/>
      <c r="AB54" s="17"/>
      <c r="AC54" s="17"/>
      <c r="AD54" s="17"/>
      <c r="AE54" s="17"/>
      <c r="AF54" s="16"/>
      <c r="AG54" s="16"/>
      <c r="AH54" s="16"/>
      <c r="AI54" s="16"/>
      <c r="AM54" s="12"/>
      <c r="AN54" s="12"/>
      <c r="AO54" s="5"/>
      <c r="AP54" s="12"/>
      <c r="AQ54" s="12"/>
      <c r="AR54" s="5"/>
      <c r="AS54" s="5"/>
      <c r="BN54" s="9"/>
      <c r="BO54" s="10"/>
      <c r="BP54" s="9"/>
      <c r="BQ54" s="9"/>
      <c r="BS54" s="10"/>
      <c r="BT54" s="10"/>
      <c r="BV54" s="10"/>
      <c r="BW54" s="10"/>
      <c r="BX54" s="10"/>
      <c r="BY54" s="10"/>
      <c r="BZ54" s="10"/>
      <c r="CA54" s="10"/>
      <c r="CB54" s="10"/>
    </row>
    <row r="55" spans="2:80" x14ac:dyDescent="0.2">
      <c r="B55" s="14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O55" s="16"/>
      <c r="P55" s="16"/>
      <c r="Q55" s="16"/>
      <c r="R55" s="16"/>
      <c r="S55" s="16"/>
      <c r="T55" s="11"/>
      <c r="U55" s="17"/>
      <c r="V55" s="17"/>
      <c r="W55" s="16"/>
      <c r="X55" s="16"/>
      <c r="Y55" s="16"/>
      <c r="Z55" s="17"/>
      <c r="AA55" s="17"/>
      <c r="AB55" s="17"/>
      <c r="AC55" s="17"/>
      <c r="AD55" s="17"/>
      <c r="AE55" s="17"/>
      <c r="AF55" s="16"/>
      <c r="AG55" s="16"/>
      <c r="AH55" s="16"/>
      <c r="AI55" s="16"/>
      <c r="AM55" s="12"/>
      <c r="AN55" s="12"/>
      <c r="AO55" s="5"/>
      <c r="AP55" s="12"/>
      <c r="AQ55" s="12"/>
      <c r="AR55" s="5"/>
      <c r="AS55" s="5"/>
      <c r="BN55" s="9"/>
      <c r="BO55" s="10"/>
      <c r="BP55" s="9"/>
      <c r="BQ55" s="9"/>
      <c r="BS55" s="10"/>
      <c r="BT55" s="10"/>
      <c r="BV55" s="10"/>
      <c r="BW55" s="10"/>
      <c r="BX55" s="10"/>
      <c r="BY55" s="10"/>
      <c r="BZ55" s="10"/>
      <c r="CA55" s="10"/>
      <c r="CB55" s="10"/>
    </row>
    <row r="56" spans="2:80" x14ac:dyDescent="0.2">
      <c r="B56" s="14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O56" s="16"/>
      <c r="P56" s="16"/>
      <c r="Q56" s="16"/>
      <c r="R56" s="16"/>
      <c r="S56" s="16"/>
      <c r="T56" s="11"/>
      <c r="U56" s="17"/>
      <c r="V56" s="17"/>
      <c r="W56" s="16"/>
      <c r="X56" s="16"/>
      <c r="Y56" s="16"/>
      <c r="Z56" s="17"/>
      <c r="AA56" s="17"/>
      <c r="AB56" s="17"/>
      <c r="AC56" s="17"/>
      <c r="AD56" s="17"/>
      <c r="AE56" s="17"/>
      <c r="AF56" s="16"/>
      <c r="AG56" s="16"/>
      <c r="AH56" s="16"/>
      <c r="AI56" s="16"/>
      <c r="AM56" s="12"/>
      <c r="AN56" s="12"/>
      <c r="AO56" s="5"/>
      <c r="AP56" s="12"/>
      <c r="AQ56" s="12"/>
      <c r="AR56" s="5"/>
      <c r="AS56" s="5"/>
      <c r="BN56" s="9"/>
      <c r="BO56" s="10"/>
      <c r="BP56" s="9"/>
      <c r="BQ56" s="9"/>
      <c r="BS56" s="10"/>
      <c r="BT56" s="10"/>
      <c r="BV56" s="10"/>
      <c r="BW56" s="10"/>
      <c r="BX56" s="10"/>
      <c r="BY56" s="10"/>
      <c r="BZ56" s="10"/>
      <c r="CA56" s="10"/>
      <c r="CB56" s="10"/>
    </row>
    <row r="57" spans="2:80" x14ac:dyDescent="0.2">
      <c r="B57" s="14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O57" s="17"/>
      <c r="P57" s="17"/>
      <c r="Q57" s="16"/>
      <c r="R57" s="16"/>
      <c r="S57" s="16"/>
      <c r="T57" s="11"/>
      <c r="U57" s="17"/>
      <c r="V57" s="17"/>
      <c r="W57" s="16"/>
      <c r="X57" s="16"/>
      <c r="Y57" s="17"/>
      <c r="Z57" s="17"/>
      <c r="AA57" s="17"/>
      <c r="AB57" s="17"/>
      <c r="AC57" s="17"/>
      <c r="AD57" s="17"/>
      <c r="AE57" s="17"/>
      <c r="AF57" s="16"/>
      <c r="AG57" s="16"/>
      <c r="AH57" s="16"/>
      <c r="AI57" s="16"/>
      <c r="AM57" s="12"/>
      <c r="AN57" s="12"/>
      <c r="AO57" s="5"/>
      <c r="AP57" s="12"/>
      <c r="AQ57" s="12"/>
      <c r="AR57" s="5"/>
      <c r="AS57" s="5"/>
      <c r="BN57" s="9"/>
      <c r="BO57" s="10"/>
      <c r="BP57" s="9"/>
      <c r="BQ57" s="9"/>
      <c r="BS57" s="10"/>
      <c r="BT57" s="10"/>
      <c r="BV57" s="10"/>
      <c r="BW57" s="10"/>
      <c r="BX57" s="10"/>
      <c r="BY57" s="10"/>
      <c r="BZ57" s="10"/>
      <c r="CA57" s="10"/>
      <c r="CB57" s="10"/>
    </row>
    <row r="58" spans="2:80" x14ac:dyDescent="0.2">
      <c r="B58" s="14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O58" s="17"/>
      <c r="P58" s="17"/>
      <c r="Q58" s="16"/>
      <c r="R58" s="16"/>
      <c r="S58" s="16"/>
      <c r="T58" s="11"/>
      <c r="U58" s="17"/>
      <c r="V58" s="17"/>
      <c r="W58" s="16"/>
      <c r="X58" s="16"/>
      <c r="Y58" s="17"/>
      <c r="Z58" s="17"/>
      <c r="AA58" s="17"/>
      <c r="AB58" s="17"/>
      <c r="AC58" s="17"/>
      <c r="AD58" s="17"/>
      <c r="AE58" s="17"/>
      <c r="AF58" s="16"/>
      <c r="AG58" s="16"/>
      <c r="AH58" s="16"/>
      <c r="AI58" s="16"/>
      <c r="AM58" s="12"/>
      <c r="AN58" s="12"/>
      <c r="AO58" s="5"/>
      <c r="AP58" s="12"/>
      <c r="AQ58" s="12"/>
      <c r="AR58" s="5"/>
      <c r="AS58" s="5"/>
      <c r="BN58" s="9"/>
      <c r="BO58" s="10"/>
      <c r="BP58" s="9"/>
      <c r="BQ58" s="9"/>
      <c r="BS58" s="10"/>
      <c r="BT58" s="10"/>
      <c r="BV58" s="10"/>
      <c r="BW58" s="10"/>
      <c r="BX58" s="10"/>
      <c r="BY58" s="10"/>
      <c r="BZ58" s="10"/>
      <c r="CA58" s="10"/>
      <c r="CB58" s="10"/>
    </row>
    <row r="59" spans="2:80" x14ac:dyDescent="0.2">
      <c r="B59" s="14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O59" s="17"/>
      <c r="P59" s="17"/>
      <c r="Q59" s="16"/>
      <c r="R59" s="16"/>
      <c r="S59" s="16"/>
      <c r="T59" s="11"/>
      <c r="U59" s="17"/>
      <c r="V59" s="17"/>
      <c r="W59" s="16"/>
      <c r="X59" s="16"/>
      <c r="Y59" s="17"/>
      <c r="Z59" s="17"/>
      <c r="AA59" s="17"/>
      <c r="AB59" s="17"/>
      <c r="AC59" s="17"/>
      <c r="AD59" s="17"/>
      <c r="AE59" s="17"/>
      <c r="AF59" s="16"/>
      <c r="AG59" s="16"/>
      <c r="AH59" s="16"/>
      <c r="AI59" s="16"/>
      <c r="AM59" s="12"/>
      <c r="AN59" s="12"/>
      <c r="AO59" s="5"/>
      <c r="AP59" s="12"/>
      <c r="AQ59" s="12"/>
      <c r="AR59" s="5"/>
      <c r="AS59" s="5"/>
      <c r="BN59" s="9"/>
      <c r="BO59" s="10"/>
      <c r="BP59" s="9"/>
      <c r="BQ59" s="9"/>
      <c r="BS59" s="10"/>
      <c r="BT59" s="10"/>
      <c r="BV59" s="10"/>
      <c r="BW59" s="10"/>
      <c r="BX59" s="10"/>
      <c r="BY59" s="10"/>
      <c r="BZ59" s="10"/>
      <c r="CA59" s="10"/>
      <c r="CB59" s="10"/>
    </row>
    <row r="60" spans="2:80" x14ac:dyDescent="0.2">
      <c r="B60" s="14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O60" s="17"/>
      <c r="P60" s="17"/>
      <c r="Q60" s="16"/>
      <c r="R60" s="16"/>
      <c r="S60" s="16"/>
      <c r="T60" s="11"/>
      <c r="U60" s="17"/>
      <c r="V60" s="17"/>
      <c r="W60" s="16"/>
      <c r="X60" s="16"/>
      <c r="Y60" s="17"/>
      <c r="Z60" s="17"/>
      <c r="AA60" s="17"/>
      <c r="AB60" s="17"/>
      <c r="AC60" s="17"/>
      <c r="AD60" s="17"/>
      <c r="AE60" s="17"/>
      <c r="AF60" s="16"/>
      <c r="AG60" s="16"/>
      <c r="AH60" s="16"/>
      <c r="AI60" s="16"/>
      <c r="AM60" s="12"/>
      <c r="AN60" s="12"/>
      <c r="AO60" s="5"/>
      <c r="AP60" s="12"/>
      <c r="AQ60" s="12"/>
      <c r="AR60" s="5"/>
      <c r="AS60" s="5"/>
      <c r="BN60" s="9"/>
      <c r="BO60" s="10"/>
      <c r="BP60" s="9"/>
      <c r="BQ60" s="9"/>
      <c r="BS60" s="10"/>
      <c r="BT60" s="10"/>
      <c r="BV60" s="10"/>
      <c r="BW60" s="10"/>
      <c r="BX60" s="10"/>
      <c r="BY60" s="10"/>
      <c r="BZ60" s="10"/>
      <c r="CA60" s="10"/>
      <c r="CB60" s="10"/>
    </row>
    <row r="61" spans="2:80" x14ac:dyDescent="0.2">
      <c r="B61" s="14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O61" s="17"/>
      <c r="P61" s="17"/>
      <c r="Q61" s="16"/>
      <c r="R61" s="16"/>
      <c r="S61" s="16"/>
      <c r="T61" s="11"/>
      <c r="U61" s="17"/>
      <c r="V61" s="17"/>
      <c r="W61" s="16"/>
      <c r="X61" s="16"/>
      <c r="Y61" s="17"/>
      <c r="Z61" s="17"/>
      <c r="AA61" s="17"/>
      <c r="AB61" s="17"/>
      <c r="AC61" s="17"/>
      <c r="AD61" s="17"/>
      <c r="AE61" s="17"/>
      <c r="AF61" s="16"/>
      <c r="AG61" s="16"/>
      <c r="AH61" s="16"/>
      <c r="AI61" s="16"/>
      <c r="AM61" s="12"/>
      <c r="AN61" s="12"/>
      <c r="AO61" s="5"/>
      <c r="AP61" s="12"/>
      <c r="AQ61" s="12"/>
      <c r="AR61" s="5"/>
      <c r="AS61" s="5"/>
      <c r="BN61" s="9"/>
      <c r="BO61" s="10"/>
      <c r="BP61" s="9"/>
      <c r="BQ61" s="9"/>
      <c r="BS61" s="10"/>
      <c r="BT61" s="10"/>
      <c r="BV61" s="10"/>
      <c r="BW61" s="10"/>
      <c r="BX61" s="10"/>
      <c r="BY61" s="10"/>
      <c r="BZ61" s="10"/>
      <c r="CA61" s="10"/>
      <c r="CB61" s="10"/>
    </row>
    <row r="62" spans="2:80" x14ac:dyDescent="0.2">
      <c r="B62" s="14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O62" s="17"/>
      <c r="P62" s="17"/>
      <c r="Q62" s="16"/>
      <c r="R62" s="16"/>
      <c r="S62" s="16"/>
      <c r="T62" s="11"/>
      <c r="U62" s="17"/>
      <c r="V62" s="17"/>
      <c r="W62" s="16"/>
      <c r="X62" s="16"/>
      <c r="Y62" s="17"/>
      <c r="Z62" s="17"/>
      <c r="AA62" s="17"/>
      <c r="AB62" s="17"/>
      <c r="AC62" s="17"/>
      <c r="AD62" s="17"/>
      <c r="AE62" s="17"/>
      <c r="AF62" s="16"/>
      <c r="AG62" s="16"/>
      <c r="AH62" s="16"/>
      <c r="AI62" s="16"/>
      <c r="AM62" s="12"/>
      <c r="AN62" s="12"/>
      <c r="AO62" s="5"/>
      <c r="AP62" s="12"/>
      <c r="AQ62" s="12"/>
      <c r="AR62" s="5"/>
      <c r="AS62" s="5"/>
      <c r="BN62" s="9"/>
      <c r="BO62" s="10"/>
      <c r="BP62" s="9"/>
      <c r="BQ62" s="9"/>
      <c r="BS62" s="10"/>
      <c r="BT62" s="10"/>
      <c r="BV62" s="10"/>
      <c r="BW62" s="10"/>
      <c r="BX62" s="10"/>
      <c r="BY62" s="10"/>
      <c r="BZ62" s="10"/>
      <c r="CA62" s="10"/>
      <c r="CB62" s="10"/>
    </row>
    <row r="63" spans="2:80" x14ac:dyDescent="0.2">
      <c r="B63" s="14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O63" s="17"/>
      <c r="P63" s="17"/>
      <c r="Q63" s="16"/>
      <c r="R63" s="16"/>
      <c r="S63" s="16"/>
      <c r="T63" s="11"/>
      <c r="U63" s="17"/>
      <c r="V63" s="17"/>
      <c r="W63" s="16"/>
      <c r="X63" s="16"/>
      <c r="Y63" s="17"/>
      <c r="Z63" s="17"/>
      <c r="AA63" s="17"/>
      <c r="AB63" s="17"/>
      <c r="AC63" s="17"/>
      <c r="AD63" s="17"/>
      <c r="AE63" s="17"/>
      <c r="AF63" s="16"/>
      <c r="AG63" s="16"/>
      <c r="AH63" s="16"/>
      <c r="AI63" s="16"/>
      <c r="AM63" s="12"/>
      <c r="AN63" s="12"/>
      <c r="AO63" s="5"/>
      <c r="AP63" s="12"/>
      <c r="AQ63" s="12"/>
      <c r="AR63" s="5"/>
      <c r="AS63" s="5"/>
      <c r="BN63" s="9"/>
      <c r="BO63" s="10"/>
      <c r="BP63" s="9"/>
      <c r="BQ63" s="9"/>
      <c r="BS63" s="10"/>
      <c r="BT63" s="10"/>
      <c r="BV63" s="10"/>
      <c r="BW63" s="10"/>
      <c r="BX63" s="10"/>
      <c r="BY63" s="10"/>
      <c r="BZ63" s="10"/>
      <c r="CA63" s="10"/>
      <c r="CB63" s="10"/>
    </row>
    <row r="64" spans="2:80" x14ac:dyDescent="0.2">
      <c r="B64" s="14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O64" s="17"/>
      <c r="P64" s="17"/>
      <c r="Q64" s="16"/>
      <c r="R64" s="16"/>
      <c r="S64" s="16"/>
      <c r="T64" s="11"/>
      <c r="U64" s="17"/>
      <c r="V64" s="17"/>
      <c r="W64" s="16"/>
      <c r="X64" s="16"/>
      <c r="Y64" s="17"/>
      <c r="Z64" s="17"/>
      <c r="AA64" s="17"/>
      <c r="AB64" s="17"/>
      <c r="AC64" s="17"/>
      <c r="AD64" s="17"/>
      <c r="AE64" s="17"/>
      <c r="AF64" s="16"/>
      <c r="AG64" s="16"/>
      <c r="AH64" s="16"/>
      <c r="AI64" s="16"/>
      <c r="AM64" s="12"/>
      <c r="AN64" s="12"/>
      <c r="AO64" s="5"/>
      <c r="AP64" s="12"/>
      <c r="AQ64" s="12"/>
      <c r="AR64" s="5"/>
      <c r="AS64" s="5"/>
      <c r="BN64" s="9"/>
      <c r="BO64" s="10"/>
      <c r="BP64" s="9"/>
      <c r="BQ64" s="9"/>
      <c r="BS64" s="10"/>
      <c r="BT64" s="10"/>
      <c r="BV64" s="10"/>
      <c r="BW64" s="10"/>
      <c r="BX64" s="10"/>
      <c r="BY64" s="10"/>
      <c r="BZ64" s="10"/>
      <c r="CA64" s="10"/>
      <c r="CB64" s="10"/>
    </row>
    <row r="65" spans="2:80" x14ac:dyDescent="0.2">
      <c r="B65" s="14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O65" s="17"/>
      <c r="P65" s="17"/>
      <c r="Q65" s="16"/>
      <c r="R65" s="16"/>
      <c r="S65" s="16"/>
      <c r="T65" s="11"/>
      <c r="U65" s="17"/>
      <c r="V65" s="17"/>
      <c r="W65" s="16"/>
      <c r="X65" s="16"/>
      <c r="Y65" s="17"/>
      <c r="Z65" s="17"/>
      <c r="AA65" s="17"/>
      <c r="AB65" s="17"/>
      <c r="AC65" s="17"/>
      <c r="AD65" s="17"/>
      <c r="AE65" s="17"/>
      <c r="AF65" s="16"/>
      <c r="AG65" s="16"/>
      <c r="AH65" s="16"/>
      <c r="AI65" s="16"/>
      <c r="AM65" s="12"/>
      <c r="AN65" s="12"/>
      <c r="AO65" s="5"/>
      <c r="AP65" s="12"/>
      <c r="AQ65" s="12"/>
      <c r="AR65" s="5"/>
      <c r="AS65" s="5"/>
      <c r="BN65" s="9"/>
      <c r="BO65" s="10"/>
      <c r="BP65" s="9"/>
      <c r="BQ65" s="9"/>
      <c r="BS65" s="10"/>
      <c r="BT65" s="10"/>
      <c r="BV65" s="10"/>
      <c r="BW65" s="10"/>
      <c r="BX65" s="10"/>
      <c r="BY65" s="10"/>
      <c r="BZ65" s="10"/>
      <c r="CA65" s="10"/>
      <c r="CB65" s="10"/>
    </row>
    <row r="66" spans="2:80" x14ac:dyDescent="0.2">
      <c r="AM66" s="5"/>
      <c r="AN66" s="5"/>
      <c r="AO66" s="5"/>
      <c r="AP66" s="5"/>
      <c r="AQ66" s="5"/>
      <c r="AR66" s="5"/>
      <c r="AS66" s="5"/>
      <c r="BN66" s="8"/>
      <c r="BP66" s="8"/>
      <c r="BQ66" s="8"/>
    </row>
    <row r="67" spans="2:80" x14ac:dyDescent="0.2">
      <c r="AM67" s="5"/>
      <c r="AN67" s="5"/>
      <c r="AO67" s="5"/>
      <c r="AP67" s="5"/>
      <c r="AQ67" s="5"/>
      <c r="AR67" s="5"/>
      <c r="AS67" s="5"/>
      <c r="BN67" s="8"/>
      <c r="BP67" s="8"/>
      <c r="BQ67" s="8"/>
    </row>
    <row r="68" spans="2:80" x14ac:dyDescent="0.2">
      <c r="AM68" s="5"/>
      <c r="AN68" s="5"/>
      <c r="AO68" s="5"/>
      <c r="AP68" s="5"/>
      <c r="AQ68" s="5"/>
      <c r="AR68" s="5"/>
      <c r="AS68" s="5"/>
      <c r="BN68" s="8"/>
      <c r="BP68" s="8"/>
      <c r="BQ68" s="8"/>
    </row>
    <row r="69" spans="2:80" x14ac:dyDescent="0.2">
      <c r="AM69" s="5"/>
      <c r="AN69" s="5"/>
      <c r="AO69" s="5"/>
      <c r="AP69" s="5"/>
      <c r="AQ69" s="5"/>
      <c r="AR69" s="5"/>
      <c r="AS69" s="5"/>
      <c r="BN69" s="8"/>
      <c r="BP69" s="8"/>
      <c r="BQ69" s="8"/>
    </row>
    <row r="70" spans="2:80" x14ac:dyDescent="0.2">
      <c r="AM70" s="5"/>
      <c r="AN70" s="5"/>
      <c r="AO70" s="5"/>
      <c r="AP70" s="5"/>
      <c r="AQ70" s="5"/>
      <c r="AR70" s="5"/>
      <c r="AS70" s="5"/>
      <c r="BN70" s="8"/>
      <c r="BP70" s="8"/>
      <c r="BQ70" s="8"/>
    </row>
    <row r="71" spans="2:80" x14ac:dyDescent="0.2">
      <c r="AM71" s="5"/>
      <c r="AN71" s="5"/>
      <c r="AO71" s="5"/>
      <c r="AP71" s="5"/>
      <c r="AQ71" s="5"/>
      <c r="AR71" s="5"/>
      <c r="AS71" s="5"/>
      <c r="BN71" s="8"/>
      <c r="BP71" s="8"/>
      <c r="BQ71" s="8"/>
    </row>
    <row r="72" spans="2:80" x14ac:dyDescent="0.2">
      <c r="AM72" s="5"/>
      <c r="AN72" s="5"/>
      <c r="AO72" s="5"/>
      <c r="AP72" s="5"/>
      <c r="AQ72" s="5"/>
      <c r="AR72" s="5"/>
      <c r="AS72" s="5"/>
      <c r="BN72" s="8"/>
      <c r="BP72" s="8"/>
      <c r="BQ72" s="8"/>
    </row>
    <row r="73" spans="2:80" x14ac:dyDescent="0.2">
      <c r="AM73" s="5"/>
      <c r="AN73" s="5"/>
      <c r="AO73" s="5"/>
      <c r="AP73" s="5"/>
      <c r="AQ73" s="5"/>
      <c r="AR73" s="5"/>
      <c r="AS73" s="5"/>
      <c r="BN73" s="8"/>
      <c r="BP73" s="8"/>
      <c r="BQ73" s="8"/>
    </row>
    <row r="74" spans="2:80" x14ac:dyDescent="0.2">
      <c r="AM74" s="5"/>
      <c r="AN74" s="5"/>
      <c r="AO74" s="5"/>
      <c r="AP74" s="5"/>
      <c r="AQ74" s="5"/>
      <c r="AR74" s="5"/>
      <c r="AS74" s="5"/>
      <c r="BN74" s="8"/>
      <c r="BP74" s="8"/>
      <c r="BQ74" s="8"/>
    </row>
    <row r="75" spans="2:80" x14ac:dyDescent="0.2">
      <c r="AM75" s="5"/>
      <c r="AN75" s="5"/>
      <c r="AO75" s="5"/>
      <c r="AP75" s="5"/>
      <c r="AQ75" s="5"/>
      <c r="AR75" s="5"/>
      <c r="AS75" s="5"/>
      <c r="BN75" s="8"/>
      <c r="BP75" s="8"/>
      <c r="BQ75" s="8"/>
    </row>
    <row r="76" spans="2:80" x14ac:dyDescent="0.2">
      <c r="AM76" s="5"/>
      <c r="AN76" s="5"/>
      <c r="AO76" s="5"/>
      <c r="AP76" s="5"/>
      <c r="AQ76" s="5"/>
      <c r="AR76" s="5"/>
      <c r="AS76" s="5"/>
      <c r="BN76" s="8"/>
      <c r="BP76" s="8"/>
      <c r="BQ76" s="8"/>
    </row>
    <row r="77" spans="2:80" x14ac:dyDescent="0.2">
      <c r="AM77" s="5"/>
      <c r="AN77" s="5"/>
      <c r="AO77" s="5"/>
      <c r="AP77" s="5"/>
      <c r="AQ77" s="5"/>
      <c r="AR77" s="5"/>
      <c r="AS77" s="5"/>
      <c r="BN77" s="8"/>
      <c r="BP77" s="8"/>
      <c r="BQ77" s="8"/>
    </row>
    <row r="78" spans="2:80" x14ac:dyDescent="0.2">
      <c r="AM78" s="5"/>
      <c r="AN78" s="5"/>
      <c r="AO78" s="5"/>
      <c r="AP78" s="5"/>
      <c r="AQ78" s="5"/>
      <c r="AR78" s="5"/>
      <c r="AS78" s="5"/>
      <c r="BN78" s="8"/>
      <c r="BP78" s="8"/>
      <c r="BQ78" s="8"/>
    </row>
    <row r="79" spans="2:80" x14ac:dyDescent="0.2">
      <c r="AM79" s="5"/>
      <c r="AN79" s="5"/>
      <c r="AO79" s="5"/>
      <c r="AP79" s="5"/>
      <c r="AQ79" s="5"/>
      <c r="AR79" s="5"/>
      <c r="AS79" s="5"/>
      <c r="BN79" s="8"/>
      <c r="BP79" s="8"/>
      <c r="BQ79" s="8"/>
    </row>
    <row r="80" spans="2:80" x14ac:dyDescent="0.2">
      <c r="AM80" s="5"/>
      <c r="AN80" s="5"/>
      <c r="AO80" s="5"/>
      <c r="AP80" s="5"/>
      <c r="AQ80" s="5"/>
      <c r="AR80" s="5"/>
      <c r="AS80" s="5"/>
      <c r="BN80" s="8"/>
      <c r="BP80" s="8"/>
      <c r="BQ80" s="8"/>
    </row>
    <row r="81" spans="39:69" x14ac:dyDescent="0.2">
      <c r="AM81" s="5"/>
      <c r="AN81" s="5"/>
      <c r="AO81" s="5"/>
      <c r="AP81" s="5"/>
      <c r="AQ81" s="5"/>
      <c r="AR81" s="5"/>
      <c r="AS81" s="5"/>
      <c r="BN81" s="8"/>
      <c r="BP81" s="8"/>
      <c r="BQ81" s="8"/>
    </row>
    <row r="82" spans="39:69" x14ac:dyDescent="0.2">
      <c r="AM82" s="5"/>
      <c r="AN82" s="5"/>
      <c r="AO82" s="5"/>
      <c r="AP82" s="5"/>
      <c r="AQ82" s="5"/>
      <c r="AR82" s="5"/>
      <c r="AS82" s="5"/>
      <c r="BN82" s="8"/>
      <c r="BP82" s="8"/>
      <c r="BQ82" s="8"/>
    </row>
    <row r="83" spans="39:69" x14ac:dyDescent="0.2">
      <c r="AM83" s="5"/>
      <c r="AN83" s="5"/>
      <c r="AO83" s="5"/>
      <c r="AP83" s="5"/>
      <c r="AQ83" s="5"/>
      <c r="AR83" s="5"/>
      <c r="AS83" s="5"/>
      <c r="BN83" s="8"/>
      <c r="BP83" s="8"/>
      <c r="BQ83" s="8"/>
    </row>
    <row r="84" spans="39:69" x14ac:dyDescent="0.2">
      <c r="AM84" s="5"/>
      <c r="AN84" s="5"/>
      <c r="AO84" s="5"/>
      <c r="AP84" s="5"/>
      <c r="AQ84" s="5"/>
      <c r="AR84" s="5"/>
      <c r="AS84" s="5"/>
      <c r="BN84" s="8"/>
      <c r="BP84" s="8"/>
      <c r="BQ84" s="8"/>
    </row>
    <row r="85" spans="39:69" x14ac:dyDescent="0.2">
      <c r="AM85" s="5"/>
      <c r="AN85" s="5"/>
      <c r="AO85" s="5"/>
      <c r="AP85" s="5"/>
      <c r="AQ85" s="5"/>
      <c r="AR85" s="5"/>
      <c r="AS85" s="5"/>
      <c r="BN85" s="8"/>
      <c r="BP85" s="8"/>
      <c r="BQ85" s="8"/>
    </row>
    <row r="86" spans="39:69" x14ac:dyDescent="0.2">
      <c r="AM86" s="5"/>
      <c r="AN86" s="5"/>
      <c r="AO86" s="5"/>
      <c r="AP86" s="5"/>
      <c r="AQ86" s="5"/>
      <c r="AR86" s="5"/>
      <c r="AS86" s="5"/>
      <c r="BN86" s="8"/>
      <c r="BP86" s="8"/>
      <c r="BQ86" s="8"/>
    </row>
    <row r="87" spans="39:69" x14ac:dyDescent="0.2">
      <c r="AM87" s="5"/>
      <c r="AN87" s="5"/>
      <c r="AO87" s="5"/>
      <c r="AP87" s="5"/>
      <c r="AQ87" s="5"/>
      <c r="AR87" s="5"/>
      <c r="AS87" s="5"/>
      <c r="BN87" s="8"/>
      <c r="BP87" s="8"/>
      <c r="BQ87" s="8"/>
    </row>
    <row r="88" spans="39:69" x14ac:dyDescent="0.2">
      <c r="AM88" s="5"/>
      <c r="AN88" s="5"/>
      <c r="AO88" s="5"/>
      <c r="AP88" s="5"/>
      <c r="AQ88" s="5"/>
      <c r="AR88" s="5"/>
      <c r="AS88" s="5"/>
      <c r="BN88" s="8"/>
      <c r="BP88" s="8"/>
      <c r="BQ88" s="8"/>
    </row>
    <row r="89" spans="39:69" x14ac:dyDescent="0.2">
      <c r="AM89" s="5"/>
      <c r="AN89" s="5"/>
      <c r="AO89" s="5"/>
      <c r="AP89" s="5"/>
      <c r="AQ89" s="5"/>
      <c r="AR89" s="5"/>
      <c r="AS89" s="5"/>
      <c r="BN89" s="8"/>
      <c r="BP89" s="8"/>
      <c r="BQ89" s="8"/>
    </row>
    <row r="90" spans="39:69" x14ac:dyDescent="0.2">
      <c r="AM90" s="5"/>
      <c r="AN90" s="5"/>
      <c r="AO90" s="5"/>
      <c r="AP90" s="5"/>
      <c r="AQ90" s="5"/>
      <c r="AR90" s="5"/>
      <c r="AS90" s="5"/>
      <c r="BN90" s="8"/>
      <c r="BP90" s="8"/>
      <c r="BQ90" s="8"/>
    </row>
    <row r="91" spans="39:69" x14ac:dyDescent="0.2">
      <c r="AM91" s="5"/>
      <c r="AN91" s="5"/>
      <c r="AO91" s="5"/>
      <c r="AP91" s="5"/>
      <c r="AQ91" s="5"/>
      <c r="AR91" s="5"/>
      <c r="AS91" s="5"/>
      <c r="BN91" s="8"/>
      <c r="BP91" s="8"/>
      <c r="BQ91" s="8"/>
    </row>
    <row r="92" spans="39:69" x14ac:dyDescent="0.2">
      <c r="AM92" s="5"/>
      <c r="AN92" s="5"/>
      <c r="AO92" s="5"/>
      <c r="AP92" s="5"/>
      <c r="AQ92" s="5"/>
      <c r="AR92" s="5"/>
      <c r="AS92" s="5"/>
      <c r="BN92" s="8"/>
      <c r="BP92" s="8"/>
      <c r="BQ92" s="8"/>
    </row>
    <row r="93" spans="39:69" x14ac:dyDescent="0.2">
      <c r="AM93" s="5"/>
      <c r="AN93" s="5"/>
      <c r="AO93" s="5"/>
      <c r="AP93" s="5"/>
      <c r="AQ93" s="5"/>
      <c r="AR93" s="5"/>
      <c r="AS93" s="5"/>
      <c r="BN93" s="8"/>
      <c r="BP93" s="8"/>
      <c r="BQ93" s="8"/>
    </row>
    <row r="94" spans="39:69" x14ac:dyDescent="0.2">
      <c r="AM94" s="5"/>
      <c r="AN94" s="5"/>
      <c r="AO94" s="5"/>
      <c r="AP94" s="5"/>
      <c r="AQ94" s="5"/>
      <c r="AR94" s="5"/>
      <c r="AS94" s="5"/>
      <c r="BN94" s="8"/>
      <c r="BP94" s="8"/>
      <c r="BQ94" s="8"/>
    </row>
    <row r="95" spans="39:69" x14ac:dyDescent="0.2">
      <c r="AM95" s="5"/>
      <c r="AN95" s="5"/>
      <c r="AO95" s="5"/>
      <c r="AP95" s="5"/>
      <c r="AQ95" s="5"/>
      <c r="AR95" s="5"/>
      <c r="AS95" s="5"/>
      <c r="BN95" s="8"/>
      <c r="BP95" s="8"/>
      <c r="BQ95" s="8"/>
    </row>
    <row r="96" spans="39:69" x14ac:dyDescent="0.2">
      <c r="AM96" s="5"/>
      <c r="AN96" s="5"/>
      <c r="AO96" s="5"/>
      <c r="AP96" s="5"/>
      <c r="AQ96" s="5"/>
      <c r="AR96" s="5"/>
      <c r="AS96" s="5"/>
      <c r="BN96" s="8"/>
      <c r="BP96" s="8"/>
      <c r="BQ96" s="8"/>
    </row>
    <row r="97" spans="39:69" x14ac:dyDescent="0.2">
      <c r="AM97" s="5"/>
      <c r="AN97" s="5"/>
      <c r="AO97" s="5"/>
      <c r="AP97" s="5"/>
      <c r="AQ97" s="5"/>
      <c r="AR97" s="5"/>
      <c r="AS97" s="5"/>
      <c r="BN97" s="8"/>
      <c r="BP97" s="8"/>
      <c r="BQ97" s="8"/>
    </row>
    <row r="98" spans="39:69" x14ac:dyDescent="0.2">
      <c r="AM98" s="5"/>
      <c r="AN98" s="5"/>
      <c r="AO98" s="5"/>
      <c r="AP98" s="5"/>
      <c r="AQ98" s="5"/>
      <c r="AR98" s="5"/>
      <c r="AS98" s="5"/>
      <c r="BN98" s="8"/>
      <c r="BP98" s="8"/>
      <c r="BQ98" s="8"/>
    </row>
    <row r="99" spans="39:69" x14ac:dyDescent="0.2">
      <c r="AM99" s="5"/>
      <c r="AN99" s="5"/>
      <c r="AO99" s="5"/>
      <c r="AP99" s="5"/>
      <c r="AQ99" s="5"/>
      <c r="AR99" s="5"/>
      <c r="AS99" s="5"/>
      <c r="BN99" s="8"/>
      <c r="BP99" s="8"/>
      <c r="BQ99" s="8"/>
    </row>
    <row r="100" spans="39:69" x14ac:dyDescent="0.2">
      <c r="AM100" s="5"/>
      <c r="AN100" s="5"/>
      <c r="AO100" s="5"/>
      <c r="AP100" s="5"/>
      <c r="AQ100" s="5"/>
      <c r="AR100" s="5"/>
      <c r="AS100" s="5"/>
      <c r="BN100" s="8"/>
      <c r="BP100" s="8"/>
      <c r="BQ100" s="8"/>
    </row>
    <row r="101" spans="39:69" x14ac:dyDescent="0.2">
      <c r="AM101" s="5"/>
      <c r="AN101" s="5"/>
      <c r="AO101" s="5"/>
      <c r="AP101" s="5"/>
      <c r="AQ101" s="5"/>
      <c r="AR101" s="5"/>
      <c r="AS101" s="5"/>
      <c r="BN101" s="8"/>
      <c r="BP101" s="8"/>
      <c r="BQ101" s="8"/>
    </row>
    <row r="102" spans="39:69" x14ac:dyDescent="0.2">
      <c r="AM102" s="5"/>
      <c r="AN102" s="5"/>
      <c r="AO102" s="5"/>
      <c r="AP102" s="5"/>
      <c r="AQ102" s="5"/>
      <c r="AR102" s="5"/>
      <c r="AS102" s="5"/>
      <c r="BN102" s="8"/>
      <c r="BP102" s="8"/>
      <c r="BQ102" s="8"/>
    </row>
    <row r="103" spans="39:69" x14ac:dyDescent="0.2">
      <c r="AM103" s="5"/>
      <c r="AN103" s="5"/>
      <c r="AO103" s="5"/>
      <c r="AP103" s="5"/>
      <c r="AQ103" s="5"/>
      <c r="AR103" s="5"/>
      <c r="AS103" s="5"/>
      <c r="BN103" s="8"/>
      <c r="BP103" s="8"/>
      <c r="BQ103" s="8"/>
    </row>
    <row r="104" spans="39:69" x14ac:dyDescent="0.2">
      <c r="AM104" s="5"/>
      <c r="AN104" s="5"/>
      <c r="AO104" s="5"/>
      <c r="AP104" s="5"/>
      <c r="AQ104" s="5"/>
      <c r="AR104" s="5"/>
      <c r="AS104" s="5"/>
    </row>
    <row r="105" spans="39:69" x14ac:dyDescent="0.2">
      <c r="AM105" s="5"/>
      <c r="AN105" s="5"/>
      <c r="AO105" s="5"/>
      <c r="AP105" s="5"/>
      <c r="AQ105" s="5"/>
      <c r="AR105" s="5"/>
      <c r="AS105" s="5"/>
    </row>
    <row r="106" spans="39:69" x14ac:dyDescent="0.2">
      <c r="AM106" s="5"/>
      <c r="AN106" s="5"/>
      <c r="AO106" s="5"/>
      <c r="AP106" s="5"/>
      <c r="AQ106" s="5"/>
      <c r="AR106" s="5"/>
      <c r="AS106" s="5"/>
    </row>
    <row r="107" spans="39:69" x14ac:dyDescent="0.2">
      <c r="AS107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T4"/>
  <sheetViews>
    <sheetView topLeftCell="A17" zoomScale="81" workbookViewId="0">
      <selection activeCell="E21" sqref="E21:E38"/>
    </sheetView>
  </sheetViews>
  <sheetFormatPr baseColWidth="10" defaultRowHeight="16" x14ac:dyDescent="0.2"/>
  <cols>
    <col min="1" max="1" width="2.6640625" customWidth="1"/>
    <col min="2" max="2" width="26.5" customWidth="1"/>
    <col min="3" max="3" width="14.5" bestFit="1" customWidth="1"/>
    <col min="4" max="4" width="15.33203125" bestFit="1" customWidth="1"/>
    <col min="5" max="5" width="17.83203125" bestFit="1" customWidth="1"/>
    <col min="6" max="6" width="15.83203125" bestFit="1" customWidth="1"/>
    <col min="7" max="7" width="17.1640625" bestFit="1" customWidth="1"/>
    <col min="8" max="8" width="14" bestFit="1" customWidth="1"/>
    <col min="9" max="9" width="12.5" bestFit="1" customWidth="1"/>
    <col min="10" max="10" width="14.5" bestFit="1" customWidth="1"/>
    <col min="11" max="11" width="10.83203125" bestFit="1" customWidth="1"/>
    <col min="12" max="12" width="12.6640625" bestFit="1" customWidth="1"/>
    <col min="13" max="13" width="5.1640625" bestFit="1" customWidth="1"/>
    <col min="14" max="14" width="9.1640625" bestFit="1" customWidth="1"/>
    <col min="15" max="15" width="10.5" bestFit="1" customWidth="1"/>
    <col min="16" max="16" width="13.1640625" bestFit="1" customWidth="1"/>
    <col min="17" max="17" width="2.6640625" customWidth="1"/>
    <col min="18" max="18" width="11.83203125" bestFit="1" customWidth="1"/>
  </cols>
  <sheetData>
    <row r="1" spans="2:20" x14ac:dyDescent="0.2">
      <c r="B1" s="21" t="s">
        <v>89</v>
      </c>
      <c r="R1" s="24" t="s">
        <v>14</v>
      </c>
    </row>
    <row r="2" spans="2:20" ht="32" customHeight="1" x14ac:dyDescent="0.2">
      <c r="B2" s="4" t="s">
        <v>48</v>
      </c>
      <c r="C2" s="4" t="s">
        <v>52</v>
      </c>
      <c r="D2" s="4" t="s">
        <v>53</v>
      </c>
      <c r="E2" s="4" t="s">
        <v>54</v>
      </c>
      <c r="F2" s="4" t="s">
        <v>55</v>
      </c>
      <c r="G2" s="4" t="s">
        <v>56</v>
      </c>
      <c r="H2" s="4" t="s">
        <v>57</v>
      </c>
      <c r="I2" s="4" t="s">
        <v>58</v>
      </c>
      <c r="J2" s="4" t="s">
        <v>59</v>
      </c>
      <c r="K2" s="22" t="s">
        <v>61</v>
      </c>
      <c r="L2" s="22" t="s">
        <v>62</v>
      </c>
      <c r="M2" s="22" t="s">
        <v>60</v>
      </c>
      <c r="N2" s="23" t="s">
        <v>50</v>
      </c>
      <c r="O2" s="23" t="s">
        <v>90</v>
      </c>
      <c r="P2" s="23" t="s">
        <v>91</v>
      </c>
      <c r="R2" t="s">
        <v>92</v>
      </c>
      <c r="S2">
        <v>45.6</v>
      </c>
      <c r="T2" t="s">
        <v>93</v>
      </c>
    </row>
    <row r="3" spans="2:20" x14ac:dyDescent="0.2">
      <c r="B3" t="str">
        <f>lc_detailed!AK3</f>
        <v>Synthetic_Ethylene_Non_CCS</v>
      </c>
      <c r="C3" s="25">
        <f>lc_detailed!AS3/$S$2</f>
        <v>0</v>
      </c>
      <c r="D3" s="25">
        <f>lc_detailed!AT3/$S$2</f>
        <v>0</v>
      </c>
      <c r="E3" s="25">
        <f>lc_detailed!AU3/$S$2</f>
        <v>23.543207124614103</v>
      </c>
      <c r="F3" s="25">
        <f>lc_detailed!AV3/$S$2</f>
        <v>0</v>
      </c>
      <c r="G3" s="25">
        <f>lc_detailed!AW3/$S$2</f>
        <v>0</v>
      </c>
      <c r="H3" s="25">
        <f>lc_detailed!AX3/$S$2</f>
        <v>4.2600965636830308</v>
      </c>
      <c r="I3" s="25">
        <f>lc_detailed!AY3/$S$2</f>
        <v>2.3433206377337097</v>
      </c>
      <c r="J3" s="25">
        <f>lc_detailed!AZ3/$S$2</f>
        <v>0.56793841659801814</v>
      </c>
      <c r="K3" s="25">
        <f>lc_detailed!BH3/$S$2</f>
        <v>0</v>
      </c>
      <c r="L3" s="25">
        <f>lc_detailed!BI3/$S$2</f>
        <v>0</v>
      </c>
      <c r="M3" s="25">
        <f>lc_detailed!BG3</f>
        <v>0</v>
      </c>
      <c r="N3" s="25">
        <f>lc_detailed!AP3</f>
        <v>1400.5840610638759</v>
      </c>
      <c r="O3" s="25">
        <f>N3/$S$2</f>
        <v>30.714562742628857</v>
      </c>
      <c r="P3" s="25">
        <f>SUM(C3:L3)</f>
        <v>30.714562742628864</v>
      </c>
    </row>
    <row r="4" spans="2:20" x14ac:dyDescent="0.2">
      <c r="B4" t="str">
        <f>lc_detailed!AK4</f>
        <v>Synthetic_Ethylene_CCS_90</v>
      </c>
      <c r="C4" s="25">
        <f>lc_detailed!AS4/$S$2</f>
        <v>0</v>
      </c>
      <c r="D4" s="25">
        <f>lc_detailed!AT4/$S$2</f>
        <v>0</v>
      </c>
      <c r="E4" s="25">
        <f>lc_detailed!AU4/$S$2</f>
        <v>21.628168028345893</v>
      </c>
      <c r="F4" s="25">
        <f>lc_detailed!AV4/$S$2</f>
        <v>0</v>
      </c>
      <c r="G4" s="25">
        <f>lc_detailed!AW4/$S$2</f>
        <v>0</v>
      </c>
      <c r="H4" s="25">
        <f>lc_detailed!AX4/$S$2</f>
        <v>4.705568157602146</v>
      </c>
      <c r="I4" s="25">
        <f>lc_detailed!AY4/$S$2</f>
        <v>2.5867547372464941</v>
      </c>
      <c r="J4" s="25">
        <f>lc_detailed!AZ4/$S$2</f>
        <v>0.62732684434362407</v>
      </c>
      <c r="K4" s="25">
        <f>lc_detailed!BH4/$S$2</f>
        <v>0</v>
      </c>
      <c r="L4" s="25">
        <f>lc_detailed!BI4/$S$2</f>
        <v>0</v>
      </c>
      <c r="M4" s="25">
        <f>lc_detailed!BG4</f>
        <v>0</v>
      </c>
      <c r="N4" s="25">
        <f>lc_detailed!AP4</f>
        <v>1347.3804901997401</v>
      </c>
      <c r="O4" s="25">
        <f>N4/$S$2</f>
        <v>29.547817767538159</v>
      </c>
      <c r="P4" s="25">
        <f>SUM(C4:L4)</f>
        <v>29.547817767538159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T4"/>
  <sheetViews>
    <sheetView topLeftCell="A13" zoomScale="75" workbookViewId="0">
      <selection activeCell="F17" sqref="F17:F31"/>
    </sheetView>
  </sheetViews>
  <sheetFormatPr baseColWidth="10" defaultRowHeight="16" x14ac:dyDescent="0.2"/>
  <cols>
    <col min="1" max="1" width="2.33203125" customWidth="1"/>
    <col min="2" max="2" width="13.5" customWidth="1"/>
    <col min="3" max="3" width="14.33203125" bestFit="1" customWidth="1"/>
    <col min="4" max="4" width="15.33203125" bestFit="1" customWidth="1"/>
    <col min="5" max="5" width="17.6640625" bestFit="1" customWidth="1"/>
    <col min="6" max="6" width="15.6640625" bestFit="1" customWidth="1"/>
    <col min="7" max="7" width="17.1640625" bestFit="1" customWidth="1"/>
    <col min="8" max="8" width="13.83203125" bestFit="1" customWidth="1"/>
    <col min="9" max="9" width="12.33203125" bestFit="1" customWidth="1"/>
    <col min="10" max="10" width="14.6640625" bestFit="1" customWidth="1"/>
    <col min="11" max="11" width="11" bestFit="1" customWidth="1"/>
    <col min="12" max="12" width="15.83203125" bestFit="1" customWidth="1"/>
    <col min="13" max="13" width="11.5" bestFit="1" customWidth="1"/>
    <col min="14" max="14" width="13" bestFit="1" customWidth="1"/>
    <col min="15" max="15" width="12" bestFit="1" customWidth="1"/>
    <col min="16" max="16" width="15.33203125" bestFit="1" customWidth="1"/>
    <col min="17" max="17" width="2.33203125" customWidth="1"/>
    <col min="18" max="18" width="12.33203125" bestFit="1" customWidth="1"/>
    <col min="19" max="19" width="6" bestFit="1" customWidth="1"/>
    <col min="20" max="20" width="12.33203125" bestFit="1" customWidth="1"/>
  </cols>
  <sheetData>
    <row r="1" spans="2:20" x14ac:dyDescent="0.2">
      <c r="B1" s="21" t="s">
        <v>94</v>
      </c>
      <c r="R1" s="24" t="s">
        <v>14</v>
      </c>
    </row>
    <row r="2" spans="2:20" ht="48" customHeight="1" x14ac:dyDescent="0.2">
      <c r="B2" s="4" t="s">
        <v>48</v>
      </c>
      <c r="C2" s="4" t="s">
        <v>52</v>
      </c>
      <c r="D2" s="4" t="s">
        <v>53</v>
      </c>
      <c r="E2" s="4" t="s">
        <v>54</v>
      </c>
      <c r="F2" s="4" t="s">
        <v>55</v>
      </c>
      <c r="G2" s="4" t="s">
        <v>56</v>
      </c>
      <c r="H2" s="4" t="s">
        <v>57</v>
      </c>
      <c r="I2" s="4" t="s">
        <v>58</v>
      </c>
      <c r="J2" s="4" t="s">
        <v>59</v>
      </c>
      <c r="K2" s="22" t="s">
        <v>61</v>
      </c>
      <c r="L2" s="22" t="s">
        <v>62</v>
      </c>
      <c r="M2" s="22" t="s">
        <v>60</v>
      </c>
      <c r="N2" s="23" t="s">
        <v>50</v>
      </c>
      <c r="O2" s="23" t="s">
        <v>90</v>
      </c>
      <c r="P2" s="23" t="s">
        <v>91</v>
      </c>
      <c r="R2" t="s">
        <v>92</v>
      </c>
      <c r="S2">
        <v>45.6</v>
      </c>
      <c r="T2" t="s">
        <v>93</v>
      </c>
    </row>
    <row r="3" spans="2:20" x14ac:dyDescent="0.2">
      <c r="B3" t="str">
        <f>lc_detailed!AK3</f>
        <v>Synthetic_Ethylene_Non_CCS</v>
      </c>
      <c r="C3" s="25">
        <f>lc_detailed!AS3/$S$2</f>
        <v>0</v>
      </c>
      <c r="D3" s="25">
        <f>lc_detailed!AT3/$S$2</f>
        <v>0</v>
      </c>
      <c r="E3" s="25">
        <f>lc_detailed!AU3/$S$2</f>
        <v>23.543207124614103</v>
      </c>
      <c r="F3" s="25">
        <f>lc_detailed!AV3/$S$2</f>
        <v>0</v>
      </c>
      <c r="G3" s="25">
        <f>lc_detailed!AW3/$S$2</f>
        <v>0</v>
      </c>
      <c r="H3" s="25">
        <f>lc_detailed!AX3/$S$2</f>
        <v>4.2600965636830308</v>
      </c>
      <c r="I3" s="25">
        <f>lc_detailed!AY3/$S$2</f>
        <v>2.3433206377337097</v>
      </c>
      <c r="J3" s="25">
        <f>lc_detailed!AZ3/$S$2</f>
        <v>0.56793841659801814</v>
      </c>
      <c r="K3" s="25">
        <f>lc_detailed!BB3/$S$2</f>
        <v>0</v>
      </c>
      <c r="L3" s="25">
        <f>lc_detailed!BC3/$S$2</f>
        <v>-0.95679196939630118</v>
      </c>
      <c r="M3" s="25">
        <f>lc_detailed!BD3</f>
        <v>-0.35722411839199997</v>
      </c>
      <c r="N3" s="25">
        <f>lc_detailed!AM3</f>
        <v>1356.9543472594046</v>
      </c>
      <c r="O3" s="25">
        <f>N3/$S$2</f>
        <v>29.757770773232554</v>
      </c>
      <c r="P3" s="25">
        <f>SUM(C3:L3)</f>
        <v>29.757770773232561</v>
      </c>
    </row>
    <row r="4" spans="2:20" x14ac:dyDescent="0.2">
      <c r="B4" t="str">
        <f>lc_detailed!AK4</f>
        <v>Synthetic_Ethylene_CCS_90</v>
      </c>
      <c r="C4" s="25">
        <f>lc_detailed!AS4/$S$2</f>
        <v>0</v>
      </c>
      <c r="D4" s="25">
        <f>lc_detailed!AT4/$S$2</f>
        <v>0</v>
      </c>
      <c r="E4" s="25">
        <f>lc_detailed!AU4/$S$2</f>
        <v>21.628168028345893</v>
      </c>
      <c r="F4" s="25">
        <f>lc_detailed!AV4/$S$2</f>
        <v>0</v>
      </c>
      <c r="G4" s="25">
        <f>lc_detailed!AW4/$S$2</f>
        <v>0</v>
      </c>
      <c r="H4" s="25">
        <f>lc_detailed!AX4/$S$2</f>
        <v>4.705568157602146</v>
      </c>
      <c r="I4" s="25">
        <f>lc_detailed!AY4/$S$2</f>
        <v>2.5867547372464941</v>
      </c>
      <c r="J4" s="25">
        <f>lc_detailed!AZ4/$S$2</f>
        <v>0.62732684434362407</v>
      </c>
      <c r="K4" s="25">
        <f>lc_detailed!BB4/$S$2</f>
        <v>0</v>
      </c>
      <c r="L4" s="25">
        <f>lc_detailed!BC4/$S$2</f>
        <v>-1.0415099180449323</v>
      </c>
      <c r="M4" s="25">
        <f>lc_detailed!BD4</f>
        <v>-0.38885408131599997</v>
      </c>
      <c r="N4" s="25">
        <f>lc_detailed!AM4</f>
        <v>1299.8876379368912</v>
      </c>
      <c r="O4" s="25">
        <f>N4/$S$2</f>
        <v>28.506307849493229</v>
      </c>
      <c r="P4" s="25">
        <f>SUM(C4:L4)</f>
        <v>28.506307849493226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lc_detailed</vt:lpstr>
      <vt:lpstr>lc_summary_noseq</vt:lpstr>
      <vt:lpstr>lc_summary_seq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Cheng</dc:creator>
  <cp:lastModifiedBy>Abigail Cheng</cp:lastModifiedBy>
  <dcterms:created xsi:type="dcterms:W3CDTF">2026-04-05T17:24:30Z</dcterms:created>
  <dcterms:modified xsi:type="dcterms:W3CDTF">2026-04-11T18:53:06Z</dcterms:modified>
</cp:coreProperties>
</file>