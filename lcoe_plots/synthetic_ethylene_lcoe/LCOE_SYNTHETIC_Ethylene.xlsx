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60" yWindow="6080" windowWidth="14400" windowHeight="9660" tabRatio="600" firstSheet="0" activeTab="0" autoFilterDateGrouping="1"/>
  </bookViews>
  <sheets>
    <sheet name="lc_detailed" sheetId="1" state="visible" r:id="rId1"/>
    <sheet name="lc_summary_noseq" sheetId="2" state="visible" r:id="rId2"/>
    <sheet name="lc_summary_seq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7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1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rgb="FFF7E8FF"/>
        <bgColor rgb="FFADD8E6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1" fillId="7" borderId="0" pivotButton="0" quotePrefix="0" xfId="0"/>
    <xf numFmtId="0" fontId="0" fillId="8" borderId="0" pivotButton="0" quotePrefix="0" xfId="0"/>
    <xf numFmtId="164" fontId="1" fillId="9" borderId="0" pivotButton="0" quotePrefix="0" xfId="0"/>
    <xf numFmtId="0" fontId="0" fillId="10" borderId="0" pivotButton="0" quotePrefix="0" xfId="0"/>
    <xf numFmtId="0" fontId="4" fillId="11" borderId="0" pivotButton="0" quotePrefix="0" xfId="0"/>
    <xf numFmtId="0" fontId="2" fillId="12" borderId="0" pivotButton="0" quotePrefix="0" xfId="0"/>
    <xf numFmtId="0" fontId="0" fillId="13" borderId="0" pivotButton="0" quotePrefix="0" xfId="0"/>
    <xf numFmtId="0" fontId="1" fillId="14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 wrapText="1"/>
    </xf>
    <xf numFmtId="0" fontId="2" fillId="5" borderId="0" applyAlignment="1" pivotButton="0" quotePrefix="0" xfId="0">
      <alignment horizontal="left" wrapText="1"/>
    </xf>
    <xf numFmtId="0" fontId="6" fillId="0" borderId="0" pivotButton="0" quotePrefix="0" xfId="0"/>
    <xf numFmtId="2" fontId="0" fillId="0" borderId="0" pivotButton="0" quotePrefix="0" xfId="0"/>
    <xf numFmtId="0" fontId="0" fillId="1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7"/>
  <sheetViews>
    <sheetView tabSelected="1" topLeftCell="BS1" zoomScale="82" zoomScaleNormal="157" workbookViewId="0">
      <selection activeCell="BT9" sqref="BT9"/>
    </sheetView>
  </sheetViews>
  <sheetFormatPr baseColWidth="10" defaultRowHeight="16"/>
  <cols>
    <col width="2.6640625" customWidth="1" style="1" min="1" max="1"/>
    <col width="28.6640625" customWidth="1" style="1" min="2" max="2"/>
    <col width="12.6640625" bestFit="1" customWidth="1" style="1" min="3" max="3"/>
    <col width="12.6640625" customWidth="1" style="1" min="4" max="4"/>
    <col width="32.33203125" bestFit="1" customWidth="1" style="1" min="5" max="5"/>
    <col width="33.33203125" bestFit="1" customWidth="1" style="1" min="6" max="6"/>
    <col width="39" bestFit="1" customWidth="1" style="1" min="7" max="7"/>
    <col width="33.6640625" bestFit="1" customWidth="1" style="1" min="8" max="8"/>
    <col width="35" bestFit="1" customWidth="1" style="1" min="9" max="9"/>
    <col width="29.83203125" bestFit="1" customWidth="1" style="1" min="10" max="10"/>
    <col width="35.6640625" bestFit="1" customWidth="1" style="1" min="11" max="11"/>
    <col width="34.1640625" bestFit="1" customWidth="1" style="1" min="12" max="12"/>
    <col width="40.6640625" bestFit="1" customWidth="1" style="1" min="13" max="13"/>
    <col width="29.33203125" customWidth="1" style="1" min="14" max="14"/>
    <col width="28" bestFit="1" customWidth="1" style="1" min="15" max="15"/>
    <col width="31.83203125" bestFit="1" customWidth="1" style="1" min="16" max="16"/>
    <col width="3" customWidth="1" style="1" min="17" max="17"/>
    <col width="12.83203125" bestFit="1" customWidth="1" style="1" min="18" max="18"/>
    <col width="11" customWidth="1" style="1" min="19" max="19"/>
    <col width="12.83203125" customWidth="1" style="1" min="20" max="20"/>
    <col width="13.83203125" customWidth="1" style="1" min="21" max="21"/>
    <col width="12" customWidth="1" style="1" min="22" max="22"/>
    <col width="18.5" bestFit="1" customWidth="1" style="1" min="23" max="23"/>
    <col width="11.83203125" customWidth="1" style="1" min="24" max="24"/>
    <col width="13.5" customWidth="1" style="1" min="25" max="25"/>
    <col width="14.33203125" customWidth="1" style="1" min="26" max="26"/>
    <col width="11" customWidth="1" style="1" min="27" max="27"/>
    <col width="9.33203125" customWidth="1" style="1" min="28" max="28"/>
    <col width="10.83203125" customWidth="1" style="1" min="29" max="29"/>
    <col width="15" customWidth="1" style="1" min="30" max="30"/>
    <col width="14.5" customWidth="1" style="1" min="31" max="31"/>
    <col width="12.5" customWidth="1" style="1" min="32" max="33"/>
    <col width="12.1640625" customWidth="1" style="1" min="34" max="34"/>
    <col width="13.1640625" customWidth="1" style="1" min="35" max="35"/>
    <col width="9.6640625" customWidth="1" style="1" min="36" max="36"/>
    <col width="9.83203125" customWidth="1" style="1" min="37" max="37"/>
    <col width="14.5" customWidth="1" style="1" min="38" max="38"/>
    <col width="15.33203125" customWidth="1" style="1" min="39" max="39"/>
    <col width="3.33203125" customWidth="1" min="40" max="40"/>
    <col width="18.83203125" customWidth="1" style="1" min="41" max="41"/>
    <col width="19.83203125" customWidth="1" style="1" min="42" max="42"/>
    <col width="15.6640625" bestFit="1" customWidth="1" style="1" min="43" max="43"/>
    <col width="15.6640625" customWidth="1" style="1" min="44" max="44"/>
    <col width="18.33203125" bestFit="1" customWidth="1" style="1" min="45" max="45"/>
    <col width="15.6640625" customWidth="1" style="1" min="46" max="47"/>
    <col width="18.33203125" bestFit="1" customWidth="1" style="1" min="48" max="48"/>
    <col width="14.1640625" bestFit="1" customWidth="1" style="1" min="49" max="49"/>
    <col width="15.1640625" bestFit="1" customWidth="1" style="1" min="50" max="50"/>
    <col width="17.33203125" bestFit="1" customWidth="1" style="1" min="51" max="51"/>
    <col width="15.5" customWidth="1" style="1" min="52" max="52"/>
    <col width="17" bestFit="1" customWidth="1" style="1" min="53" max="53"/>
    <col width="13.6640625" bestFit="1" customWidth="1" style="1" min="54" max="54"/>
    <col width="12.1640625" bestFit="1" customWidth="1" style="1" min="55" max="55"/>
    <col width="14.5" bestFit="1" customWidth="1" style="1" min="56" max="56"/>
    <col width="10.5" customWidth="1" style="1" min="57" max="57"/>
    <col width="17.83203125" bestFit="1" customWidth="1" style="1" min="58" max="58"/>
    <col width="19.6640625" bestFit="1" customWidth="1" style="1" min="59" max="59"/>
    <col width="12.1640625" customWidth="1" style="1" min="60" max="60"/>
    <col width="17.83203125" bestFit="1" customWidth="1" style="1" min="61" max="61"/>
    <col width="19.33203125" bestFit="1" customWidth="1" style="1" min="62" max="62"/>
    <col width="18" customWidth="1" style="1" min="63" max="63"/>
    <col width="17.83203125" bestFit="1" customWidth="1" style="1" min="64" max="64"/>
    <col width="19.33203125" bestFit="1" customWidth="1" style="1" min="65" max="65"/>
    <col width="9.6640625" customWidth="1" style="1" min="66" max="66"/>
    <col width="17.83203125" bestFit="1" customWidth="1" style="1" min="67" max="67"/>
    <col width="19.33203125" bestFit="1" customWidth="1" style="1" min="68" max="68"/>
    <col width="3.33203125" customWidth="1" style="1" min="69" max="69"/>
    <col width="22" bestFit="1" customWidth="1" style="1" min="70" max="70"/>
    <col width="25.1640625" bestFit="1" customWidth="1" style="1" min="71" max="71"/>
    <col width="17.33203125" bestFit="1" customWidth="1" style="1" min="72" max="72"/>
    <col width="17.33203125" customWidth="1" style="1" min="73" max="73"/>
    <col width="3.6640625" customWidth="1" style="1" min="74" max="74"/>
    <col width="29.5" bestFit="1" customWidth="1" style="1" min="75" max="75"/>
    <col width="45.83203125" bestFit="1" customWidth="1" style="1" min="76" max="76"/>
    <col width="3.33203125" customWidth="1" style="1" min="77" max="77"/>
    <col width="23" bestFit="1" customWidth="1" style="1" min="78" max="78"/>
    <col width="17.83203125" bestFit="1" customWidth="1" style="1" min="79" max="79"/>
    <col width="23.6640625" bestFit="1" customWidth="1" style="1" min="80" max="80"/>
    <col width="22.1640625" bestFit="1" customWidth="1" style="1" min="81" max="81"/>
    <col width="23.1640625" bestFit="1" customWidth="1" style="1" min="82" max="82"/>
    <col width="26" bestFit="1" customWidth="1" style="1" min="83" max="83"/>
    <col width="29.33203125" bestFit="1" customWidth="1" style="1" min="84" max="84"/>
    <col width="2.6640625" customWidth="1" style="1" min="85" max="85"/>
    <col width="22.5" bestFit="1" customWidth="1" style="1" min="86" max="86"/>
    <col width="10.83203125" customWidth="1" style="1" min="87" max="87"/>
    <col width="17.1640625" bestFit="1" customWidth="1" style="1" min="88" max="88"/>
    <col width="10.83203125" customWidth="1" style="1" min="89" max="102"/>
    <col width="10.83203125" customWidth="1" style="1" min="103" max="16384"/>
  </cols>
  <sheetData>
    <row r="1">
      <c r="B1" s="1" t="inlineStr">
        <is>
          <t>Asset Parameters (normalized by commodity feedstock)</t>
        </is>
      </c>
      <c r="R1" s="1" t="inlineStr">
        <is>
          <t>Duals</t>
        </is>
      </c>
      <c r="AO1" s="1" t="inlineStr">
        <is>
          <t>LCOE for assets with ethane capacity ($/t-ethylene)</t>
        </is>
      </c>
      <c r="AQ1" s="1" t="inlineStr">
        <is>
          <t>SEQ - CI</t>
        </is>
      </c>
      <c r="AR1" s="1" t="inlineStr">
        <is>
          <t>SEQ - CREDIT</t>
        </is>
      </c>
      <c r="AT1" s="1" t="inlineStr">
        <is>
          <t>NO SEQ - CI</t>
        </is>
      </c>
      <c r="AU1" s="1" t="inlineStr">
        <is>
          <t>NO SEQ - CREDIT</t>
        </is>
      </c>
      <c r="BE1" s="1" t="inlineStr">
        <is>
          <t>CHEM SEQUESTRATION - CARBON INTENSITY</t>
        </is>
      </c>
      <c r="BH1" s="1" t="inlineStr">
        <is>
          <t>CHEM SEQUESTRATION - CREDIT</t>
        </is>
      </c>
      <c r="BK1" s="1" t="inlineStr">
        <is>
          <t>NO CHEM SEQUESTRATION - CARBON INTENSITY</t>
        </is>
      </c>
      <c r="BN1" s="1" t="inlineStr">
        <is>
          <t>NO CHEM SEQUESTRATION - CREDIT</t>
        </is>
      </c>
      <c r="BR1" s="1" t="inlineStr">
        <is>
          <t>Carbon Content</t>
        </is>
      </c>
      <c r="BW1" s="1" t="inlineStr">
        <is>
          <t>Carbon Inputs</t>
        </is>
      </c>
      <c r="BZ1" s="1" t="inlineStr">
        <is>
          <t>Carbon Outputs</t>
        </is>
      </c>
      <c r="CH1" s="18" t="inlineStr">
        <is>
          <t>Assumptions</t>
        </is>
      </c>
    </row>
    <row r="2">
      <c r="B2" s="2" t="inlineStr">
        <is>
          <t>id</t>
        </is>
      </c>
      <c r="C2" s="2" t="inlineStr">
        <is>
          <t>commodity</t>
        </is>
      </c>
      <c r="D2" s="2" t="inlineStr">
        <is>
          <t>CCS</t>
        </is>
      </c>
      <c r="E2" s="2" t="inlineStr">
        <is>
          <t>h2_consumption (MWh/t-CO2Captured)</t>
        </is>
      </c>
      <c r="F2" s="2" t="inlineStr">
        <is>
          <t>elec_consumption (MWh/t-CO2Captured)</t>
        </is>
      </c>
      <c r="G2" s="2" t="inlineStr">
        <is>
          <t>ethylene_production (t-ethylene/t-CO2Captured)</t>
        </is>
      </c>
      <c r="H2" s="2" t="inlineStr">
        <is>
          <t>natgas_production (MWh/t-CO2Captured)</t>
        </is>
      </c>
      <c r="I2" s="2" t="inlineStr">
        <is>
          <t>gasoline_production (MWh/t-CO2Captured)</t>
        </is>
      </c>
      <c r="J2" s="2" t="inlineStr">
        <is>
          <t>emission_rate (t-CO2/t-CO2Captured)</t>
        </is>
      </c>
      <c r="K2" s="2" t="inlineStr">
        <is>
          <t>investment_cost ($/yr per t-CO2Captured/hr)</t>
        </is>
      </c>
      <c r="L2" s="2" t="inlineStr">
        <is>
          <t>fixed_om_cost ($/yr per t-CO2Captured/hr)</t>
        </is>
      </c>
      <c r="M2" s="2" t="inlineStr">
        <is>
          <t>variable_om_cost WITHOUT LPG REVENUE ($/t-CO2Captured)</t>
        </is>
      </c>
      <c r="N2" s="2" t="inlineStr">
        <is>
          <t>variable_om_cost ($/t-CO2Captured)</t>
        </is>
      </c>
      <c r="O2" s="7" t="inlineStr">
        <is>
          <t>LPG_production (t-LPG/t-ethylene)</t>
        </is>
      </c>
      <c r="P2" s="7" t="inlineStr">
        <is>
          <t>LPG_production (t-LPG/t-CO2Captured)</t>
        </is>
      </c>
      <c r="R2" s="15" t="inlineStr">
        <is>
          <t>co2_sink ($/t)</t>
        </is>
      </c>
      <c r="S2" s="15" t="inlineStr">
        <is>
          <t>co2_captured ($/t)</t>
        </is>
      </c>
      <c r="T2" s="15" t="inlineStr">
        <is>
          <t>bioherb_supply ($/t)</t>
        </is>
      </c>
      <c r="U2" s="15" t="inlineStr">
        <is>
          <t>biowood_supply ($/t)</t>
        </is>
      </c>
      <c r="V2" s="15" t="inlineStr">
        <is>
          <t>bioagri_supply ($/t)</t>
        </is>
      </c>
      <c r="W2" s="7" t="inlineStr">
        <is>
          <t>LPG_demand ($/t-LPG)</t>
        </is>
      </c>
      <c r="X2" s="7" t="inlineStr">
        <is>
          <t>ethane_supply ($/MWh)</t>
        </is>
      </c>
      <c r="Y2" s="15" t="inlineStr">
        <is>
          <t>ethanol_balance ($/MWh)</t>
        </is>
      </c>
      <c r="Z2" s="15" t="inlineStr">
        <is>
          <t>ethanol_demand ($/MWh)</t>
        </is>
      </c>
      <c r="AA2" s="15" t="inlineStr">
        <is>
          <t>elec_demand ($/MWh)</t>
        </is>
      </c>
      <c r="AB2" s="15" t="inlineStr">
        <is>
          <t>h2_balance ($/MWh)</t>
        </is>
      </c>
      <c r="AC2" s="15" t="inlineStr">
        <is>
          <t>h2_demand ($/MWh)</t>
        </is>
      </c>
      <c r="AD2" s="15" t="inlineStr">
        <is>
          <t>gasoline_balance ($/MWh)</t>
        </is>
      </c>
      <c r="AE2" s="15" t="inlineStr">
        <is>
          <t>gasoline_demand ($/MWh)</t>
        </is>
      </c>
      <c r="AF2" s="15" t="inlineStr">
        <is>
          <t>diesel_balance ($/MWh)</t>
        </is>
      </c>
      <c r="AG2" s="15" t="inlineStr">
        <is>
          <t>diesel_demand ($/MWh)</t>
        </is>
      </c>
      <c r="AH2" s="15" t="inlineStr">
        <is>
          <t>jetfuel_balance ($/MWh)</t>
        </is>
      </c>
      <c r="AI2" s="15" t="inlineStr">
        <is>
          <t>jetfuel_demand ($/MWh)</t>
        </is>
      </c>
      <c r="AJ2" s="15" t="inlineStr">
        <is>
          <t>ng_balance ($/MWh)</t>
        </is>
      </c>
      <c r="AK2" s="15" t="inlineStr">
        <is>
          <t>ng_demand ($/MWh)</t>
        </is>
      </c>
      <c r="AL2" s="15" t="inlineStr">
        <is>
          <t>ethylene_balance ($/t)</t>
        </is>
      </c>
      <c r="AM2" s="15" t="inlineStr">
        <is>
          <t>ethylene_demand ($/t)</t>
        </is>
      </c>
      <c r="AO2" s="4" t="inlineStr">
        <is>
          <t>id_LC</t>
        </is>
      </c>
      <c r="AP2" s="4" t="inlineStr">
        <is>
          <t>commodity_LC</t>
        </is>
      </c>
      <c r="AQ2" s="3" t="inlineStr">
        <is>
          <t>LCOE ($/t-ethylene)</t>
        </is>
      </c>
      <c r="AR2" s="6" t="inlineStr">
        <is>
          <t>LCOE ($/t-ethylene)</t>
        </is>
      </c>
      <c r="AS2" s="7" t="inlineStr">
        <is>
          <t>Diff. Between Methods</t>
        </is>
      </c>
      <c r="AT2" s="3" t="inlineStr">
        <is>
          <t>LCOE ($/t-ethylene)</t>
        </is>
      </c>
      <c r="AU2" s="6" t="inlineStr">
        <is>
          <t>LCOE ($/t-ethylene)</t>
        </is>
      </c>
      <c r="AV2" s="7" t="inlineStr">
        <is>
          <t>Diff. Between Methods</t>
        </is>
      </c>
      <c r="AW2" s="4" t="inlineStr">
        <is>
          <t>h2_consumption</t>
        </is>
      </c>
      <c r="AX2" s="4" t="inlineStr">
        <is>
          <t>elec_consumption</t>
        </is>
      </c>
      <c r="AY2" s="4" t="inlineStr">
        <is>
          <t>co2captured_consumption</t>
        </is>
      </c>
      <c r="AZ2" s="4" t="inlineStr">
        <is>
          <t>natgas_production</t>
        </is>
      </c>
      <c r="BA2" s="4" t="inlineStr">
        <is>
          <t>gasoline_production</t>
        </is>
      </c>
      <c r="BB2" s="4" t="inlineStr">
        <is>
          <t>investment_cost</t>
        </is>
      </c>
      <c r="BC2" s="4" t="inlineStr">
        <is>
          <t>fixed_om_cost</t>
        </is>
      </c>
      <c r="BD2" s="4" t="inlineStr">
        <is>
          <t>variable_om_cost</t>
        </is>
      </c>
      <c r="BE2" s="3" t="inlineStr">
        <is>
          <t>CI</t>
        </is>
      </c>
      <c r="BF2" s="3" t="inlineStr">
        <is>
          <t>modified capture cost</t>
        </is>
      </c>
      <c r="BG2" s="3" t="inlineStr">
        <is>
          <t>modified emissions cost</t>
        </is>
      </c>
      <c r="BH2" s="6" t="inlineStr">
        <is>
          <t>CI</t>
        </is>
      </c>
      <c r="BI2" s="6" t="inlineStr">
        <is>
          <t>modified capture cost</t>
        </is>
      </c>
      <c r="BJ2" s="6" t="inlineStr">
        <is>
          <t>modified emissions cost</t>
        </is>
      </c>
      <c r="BK2" s="3" t="inlineStr">
        <is>
          <t>CI</t>
        </is>
      </c>
      <c r="BL2" s="3" t="inlineStr">
        <is>
          <t>modified capture cost</t>
        </is>
      </c>
      <c r="BM2" s="3" t="inlineStr">
        <is>
          <t>modified emissions cost</t>
        </is>
      </c>
      <c r="BN2" s="6" t="inlineStr">
        <is>
          <t>CI</t>
        </is>
      </c>
      <c r="BO2" s="6" t="inlineStr">
        <is>
          <t>modified capture cost</t>
        </is>
      </c>
      <c r="BP2" s="6" t="inlineStr">
        <is>
          <t>modified emissions cost</t>
        </is>
      </c>
      <c r="BR2" s="7" t="inlineStr">
        <is>
          <t>Ethylene (t-CO2/t-ethylene)</t>
        </is>
      </c>
      <c r="BS2" s="7" t="inlineStr">
        <is>
          <t>Gasoline (t-CO2/MWh-gasoline)</t>
        </is>
      </c>
      <c r="BT2" s="7" t="inlineStr">
        <is>
          <t>NG (t-CO2/MWh-NG)</t>
        </is>
      </c>
      <c r="BU2" s="7" t="inlineStr">
        <is>
          <t>LPG (t-CO2/t-LPG)</t>
        </is>
      </c>
      <c r="BW2" s="7" t="inlineStr">
        <is>
          <t>CO2Captured (t-CO2/t-CO2Captured)</t>
        </is>
      </c>
      <c r="BX2" s="7" t="inlineStr">
        <is>
          <t>CO2Captured - RECYCLE ADJUSTED  (t-CO2/t-CO2Captured)</t>
        </is>
      </c>
      <c r="BZ2" s="7" t="inlineStr">
        <is>
          <t>Ethylene (t-CO2/t-CO2Captured)</t>
        </is>
      </c>
      <c r="CA2" s="7" t="inlineStr">
        <is>
          <t>NG (t-CO2/t-CO2Captured)</t>
        </is>
      </c>
      <c r="CB2" s="7" t="inlineStr">
        <is>
          <t>Emissions (t-CO2/t-CO2Captured)</t>
        </is>
      </c>
      <c r="CC2" s="7" t="inlineStr">
        <is>
          <t>LPG (t-CO2/t-CO2Captured)</t>
        </is>
      </c>
      <c r="CD2" s="7" t="inlineStr">
        <is>
          <t>Captured (t-CO2/t-CO2Captured)</t>
        </is>
      </c>
      <c r="CE2" s="7" t="inlineStr">
        <is>
          <t>Gasoline (t-CO2/t-CO2Captured)</t>
        </is>
      </c>
      <c r="CF2" s="7" t="inlineStr">
        <is>
          <t>RECYCLED Output (t-CO2/t-CO2Captured)</t>
        </is>
      </c>
      <c r="CH2" s="20" t="inlineStr">
        <is>
          <t>Ethylene Carbon Content</t>
        </is>
      </c>
      <c r="CI2" s="19" t="n">
        <v>3.14</v>
      </c>
      <c r="CJ2" s="19" t="inlineStr">
        <is>
          <t>t-CO2/t-ethylene</t>
        </is>
      </c>
    </row>
    <row r="3">
      <c r="B3" s="14" t="inlineStr">
        <is>
          <t>Synthetic_Ethylene_Non_CCS</t>
        </is>
      </c>
      <c r="C3" s="13" t="inlineStr">
        <is>
          <t>CO2Captured</t>
        </is>
      </c>
      <c r="D3" s="13" t="n">
        <v>0</v>
      </c>
      <c r="E3" s="13" t="n">
        <v>5.442470671</v>
      </c>
      <c r="F3" s="13" t="n">
        <v>0.1763367463</v>
      </c>
      <c r="G3" s="13" t="n">
        <v>0.1137656428</v>
      </c>
      <c r="H3" s="13" t="n">
        <v>0.1578773495</v>
      </c>
      <c r="I3" s="13" t="n">
        <v>0.7647530773</v>
      </c>
      <c r="J3" s="13" t="n">
        <v>0.4293795588</v>
      </c>
      <c r="K3" s="13" t="n">
        <v>174237.6587</v>
      </c>
      <c r="L3" s="13" t="n">
        <v>95841.65415</v>
      </c>
      <c r="M3" s="13" t="n">
        <v>2.946301684</v>
      </c>
      <c r="N3" s="13">
        <f>M3-(P3*W3)</f>
        <v/>
      </c>
      <c r="O3" s="26" t="n">
        <v>1.01</v>
      </c>
      <c r="P3" s="26">
        <f>O3*G3</f>
        <v/>
      </c>
      <c r="R3" s="16" t="n">
        <v>122.135409</v>
      </c>
      <c r="S3" s="16" t="n"/>
      <c r="T3" s="16" t="n"/>
      <c r="U3" s="16" t="n"/>
      <c r="V3" s="16" t="n"/>
      <c r="W3" s="26" t="n">
        <v>420</v>
      </c>
      <c r="X3" s="11" t="n">
        <v>21.9863533</v>
      </c>
      <c r="Y3" s="17" t="n"/>
      <c r="Z3" s="17" t="n"/>
      <c r="AA3" s="16" t="n"/>
      <c r="AB3" s="16" t="n"/>
      <c r="AC3" s="16" t="n"/>
      <c r="AD3" s="17" t="n"/>
      <c r="AE3" s="17" t="n"/>
      <c r="AF3" s="17" t="n"/>
      <c r="AG3" s="17" t="n"/>
      <c r="AH3" s="17" t="n"/>
      <c r="AI3" s="17" t="n"/>
      <c r="AJ3" s="16" t="n"/>
      <c r="AK3" s="16" t="n"/>
      <c r="AL3" s="16" t="n"/>
      <c r="AM3" s="16" t="n"/>
      <c r="AO3" s="1">
        <f>B3</f>
        <v/>
      </c>
      <c r="AP3" s="1">
        <f>C3</f>
        <v/>
      </c>
      <c r="AQ3" s="12">
        <f>SUM(AW3:BD3)+BF3+BG3</f>
        <v/>
      </c>
      <c r="AR3" s="12">
        <f>SUM(AW3:BD3)+BI3+BJ3</f>
        <v/>
      </c>
      <c r="AS3" s="5">
        <f>AQ3-AR3</f>
        <v/>
      </c>
      <c r="AT3" s="12">
        <f>SUM(AW3:BD3)+BL3+BM3</f>
        <v/>
      </c>
      <c r="AU3" s="12">
        <f>SUM(AW3:BD3)+BO3+BP3</f>
        <v/>
      </c>
      <c r="AV3" s="5">
        <f>AT3-AU3</f>
        <v/>
      </c>
      <c r="AW3" s="5">
        <f>E3/G3*AB3</f>
        <v/>
      </c>
      <c r="AX3" s="1">
        <f>F3/G3*AA3</f>
        <v/>
      </c>
      <c r="AY3" s="1">
        <f>1/G3*(R3+S3)</f>
        <v/>
      </c>
      <c r="AZ3" s="1">
        <f>H3/G3*AJ3*-1</f>
        <v/>
      </c>
      <c r="BA3" s="1">
        <f>I3/G3*AD3</f>
        <v/>
      </c>
      <c r="BB3" s="1">
        <f>K3/G3/(0.9*8760)</f>
        <v/>
      </c>
      <c r="BC3" s="1">
        <f>L3/G3/(0.9*8760)</f>
        <v/>
      </c>
      <c r="BD3" s="1">
        <f>N3</f>
        <v/>
      </c>
      <c r="BE3" s="1">
        <f>CF3-BX3-BZ3-CC3</f>
        <v/>
      </c>
      <c r="BF3" s="1" t="n">
        <v>0</v>
      </c>
      <c r="BG3" s="1">
        <f>BE3*R3</f>
        <v/>
      </c>
      <c r="BH3" s="1">
        <f>BX3-CF3-BZ3-CC3</f>
        <v/>
      </c>
      <c r="BI3" s="1" t="n">
        <v>0</v>
      </c>
      <c r="BJ3" s="1">
        <f>BH3*R3</f>
        <v/>
      </c>
      <c r="BK3" s="1">
        <f>BX3-CF3</f>
        <v/>
      </c>
      <c r="BL3" s="1" t="n">
        <v>0</v>
      </c>
      <c r="BM3" s="1">
        <f>BK3*R3</f>
        <v/>
      </c>
      <c r="BN3" s="1">
        <f>BX3-CF3</f>
        <v/>
      </c>
      <c r="BO3" s="1" t="n">
        <v>0</v>
      </c>
      <c r="BP3" s="1">
        <f>BN3*R3</f>
        <v/>
      </c>
      <c r="BR3" s="9">
        <f>$CI$2</f>
        <v/>
      </c>
      <c r="BS3" s="10">
        <f>$CI$3</f>
        <v/>
      </c>
      <c r="BT3" s="9">
        <f>$CI$4</f>
        <v/>
      </c>
      <c r="BU3" s="9">
        <f>$CI$5</f>
        <v/>
      </c>
      <c r="BW3" s="10" t="n">
        <v>1</v>
      </c>
      <c r="BX3" s="10">
        <f>BW3-CD3</f>
        <v/>
      </c>
      <c r="BZ3" s="10">
        <f>BR3*G3</f>
        <v/>
      </c>
      <c r="CA3" s="10">
        <f>BT3*H3</f>
        <v/>
      </c>
      <c r="CB3" s="10">
        <f>(BW3-BZ3-CA3-CE3-CC3)*(1-D3)</f>
        <v/>
      </c>
      <c r="CC3" s="10">
        <f>BU3*O3</f>
        <v/>
      </c>
      <c r="CD3" s="10">
        <f>(BW3-BZ3-CA3-CE3-CC3)*(D3)</f>
        <v/>
      </c>
      <c r="CE3" s="10">
        <f>BS3*I3</f>
        <v/>
      </c>
      <c r="CF3" s="10">
        <f>SUM(BZ3:CE3)-CD3</f>
        <v/>
      </c>
      <c r="CH3" s="20" t="inlineStr">
        <is>
          <t>Gasoline Carbon Content</t>
        </is>
      </c>
      <c r="CI3" s="19" t="n">
        <v>0.241238471</v>
      </c>
      <c r="CJ3" s="19" t="inlineStr">
        <is>
          <t>t-CO2/MWh-gasoline</t>
        </is>
      </c>
    </row>
    <row r="4">
      <c r="B4" s="14" t="inlineStr">
        <is>
          <t>Synthetic_Ethylene_CCS_90</t>
        </is>
      </c>
      <c r="C4" s="13" t="inlineStr">
        <is>
          <t>CO2Captured</t>
        </is>
      </c>
      <c r="D4" s="13" t="n">
        <v>0.9</v>
      </c>
      <c r="E4" s="13" t="n">
        <v>5.924367434</v>
      </c>
      <c r="F4" s="13" t="n">
        <v>0.2446684741</v>
      </c>
      <c r="G4" s="13" t="n">
        <v>0.1238388794</v>
      </c>
      <c r="H4" s="13" t="n">
        <v>0.1718564021</v>
      </c>
      <c r="I4" s="13" t="n">
        <v>0.8324671827</v>
      </c>
      <c r="J4" s="13" t="n">
        <v>0.378854685</v>
      </c>
      <c r="K4" s="13" t="n">
        <v>209498.3178</v>
      </c>
      <c r="L4" s="13" t="n">
        <v>115165.852</v>
      </c>
      <c r="M4" s="13" t="n">
        <v>3.542547876</v>
      </c>
      <c r="N4" s="13">
        <f>M4-(P4*W4)</f>
        <v/>
      </c>
      <c r="O4" s="26" t="n">
        <v>1.01</v>
      </c>
      <c r="P4" s="26">
        <f>O4*G4</f>
        <v/>
      </c>
      <c r="R4" s="16" t="n">
        <v>122.135409</v>
      </c>
      <c r="S4" s="16" t="n"/>
      <c r="T4" s="16" t="n"/>
      <c r="U4" s="16" t="n"/>
      <c r="V4" s="16" t="n"/>
      <c r="W4" s="26" t="n">
        <v>420</v>
      </c>
      <c r="X4" s="11" t="n">
        <v>21.9863533</v>
      </c>
      <c r="Y4" s="17" t="n"/>
      <c r="Z4" s="17" t="n"/>
      <c r="AA4" s="16" t="n"/>
      <c r="AB4" s="16" t="n"/>
      <c r="AC4" s="16" t="n"/>
      <c r="AD4" s="17" t="n"/>
      <c r="AE4" s="17" t="n"/>
      <c r="AF4" s="17" t="n"/>
      <c r="AG4" s="17" t="n"/>
      <c r="AH4" s="17" t="n"/>
      <c r="AI4" s="17" t="n"/>
      <c r="AJ4" s="16" t="n"/>
      <c r="AK4" s="16" t="n"/>
      <c r="AL4" s="16" t="n"/>
      <c r="AM4" s="16" t="n"/>
      <c r="AO4" s="1">
        <f>B4</f>
        <v/>
      </c>
      <c r="AP4" s="1">
        <f>C4</f>
        <v/>
      </c>
      <c r="AQ4" s="12">
        <f>SUM(AW4:BD4)+BF4+BG4</f>
        <v/>
      </c>
      <c r="AR4" s="12">
        <f>SUM(AW4:BD4)+BI4+BJ4</f>
        <v/>
      </c>
      <c r="AS4" s="5">
        <f>AQ4-AR4</f>
        <v/>
      </c>
      <c r="AT4" s="12">
        <f>SUM(AW4:BD4)+BL4+BM4</f>
        <v/>
      </c>
      <c r="AU4" s="12">
        <f>SUM(AW4:BD4)+BO4+BP4</f>
        <v/>
      </c>
      <c r="AV4" s="5">
        <f>AT4-AU4</f>
        <v/>
      </c>
      <c r="AW4" s="5">
        <f>E4/G4*AB4</f>
        <v/>
      </c>
      <c r="AX4" s="1">
        <f>F4/G4*AA4</f>
        <v/>
      </c>
      <c r="AY4" s="1">
        <f>1/G4*(R4+S4)</f>
        <v/>
      </c>
      <c r="AZ4" s="1">
        <f>H4/G4*AJ4*-1</f>
        <v/>
      </c>
      <c r="BA4" s="1">
        <f>I4/G4*AD4</f>
        <v/>
      </c>
      <c r="BB4" s="1">
        <f>K4/G4/(0.9*8760)</f>
        <v/>
      </c>
      <c r="BC4" s="1">
        <f>L4/G4/(0.9*8760)</f>
        <v/>
      </c>
      <c r="BD4" s="1">
        <f>N4</f>
        <v/>
      </c>
      <c r="BE4" s="1">
        <f>CF4-BX4-BZ4-CC4</f>
        <v/>
      </c>
      <c r="BF4" s="1" t="n">
        <v>0</v>
      </c>
      <c r="BG4" s="1">
        <f>BE4*R4</f>
        <v/>
      </c>
      <c r="BH4" s="1">
        <f>BX4-CF4-BZ4-CC4</f>
        <v/>
      </c>
      <c r="BI4" s="1" t="n">
        <v>0</v>
      </c>
      <c r="BJ4" s="1">
        <f>BH4*R4</f>
        <v/>
      </c>
      <c r="BK4" s="1">
        <f>BX4-CF4</f>
        <v/>
      </c>
      <c r="BL4" s="1" t="n">
        <v>0</v>
      </c>
      <c r="BM4" s="1">
        <f>BK4*R4</f>
        <v/>
      </c>
      <c r="BN4" s="1">
        <f>BX4-CF4</f>
        <v/>
      </c>
      <c r="BO4" s="1" t="n">
        <v>0</v>
      </c>
      <c r="BP4" s="1">
        <f>BN4*R4</f>
        <v/>
      </c>
      <c r="BR4" s="9">
        <f>$CI$2</f>
        <v/>
      </c>
      <c r="BS4" s="10">
        <f>$CI$3</f>
        <v/>
      </c>
      <c r="BT4" s="9">
        <f>$CI$4</f>
        <v/>
      </c>
      <c r="BU4" s="9">
        <f>$CI$5</f>
        <v/>
      </c>
      <c r="BW4" s="10" t="n">
        <v>1</v>
      </c>
      <c r="BX4" s="10">
        <f>BW4-CD4</f>
        <v/>
      </c>
      <c r="BZ4" s="10">
        <f>BR4*G4</f>
        <v/>
      </c>
      <c r="CA4" s="10">
        <f>BT4*H4</f>
        <v/>
      </c>
      <c r="CB4" s="10">
        <f>(BW4-BZ4-CA4-CE4-CC4)*(1-D4)</f>
        <v/>
      </c>
      <c r="CC4" s="10">
        <f>BU4*O4</f>
        <v/>
      </c>
      <c r="CD4" s="10">
        <f>(BW4-BZ4-CA4-CE4-CC4)*(D4)</f>
        <v/>
      </c>
      <c r="CE4" s="10">
        <f>BS4*I4</f>
        <v/>
      </c>
      <c r="CF4" s="10">
        <f>SUM(BZ4:CE4)-CD4</f>
        <v/>
      </c>
      <c r="CH4" s="20" t="inlineStr">
        <is>
          <t>Natural Gas Carbon Content</t>
        </is>
      </c>
      <c r="CI4" s="19" t="n">
        <v>0.18104824</v>
      </c>
      <c r="CJ4" s="19" t="inlineStr">
        <is>
          <t>t-CO2/MWh-natgas</t>
        </is>
      </c>
    </row>
    <row r="5">
      <c r="B5" s="14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26" t="n">
        <v>1.01</v>
      </c>
      <c r="P5" s="26" t="n"/>
      <c r="R5" s="16" t="n"/>
      <c r="S5" s="16" t="n"/>
      <c r="T5" s="16" t="n"/>
      <c r="U5" s="16" t="n"/>
      <c r="V5" s="16" t="n"/>
      <c r="W5" s="26" t="n">
        <v>420</v>
      </c>
      <c r="X5" s="11" t="n"/>
      <c r="Y5" s="17" t="n"/>
      <c r="Z5" s="17" t="n"/>
      <c r="AA5" s="16" t="n"/>
      <c r="AB5" s="16" t="n"/>
      <c r="AC5" s="16" t="n"/>
      <c r="AD5" s="17" t="n"/>
      <c r="AE5" s="17" t="n"/>
      <c r="AF5" s="17" t="n"/>
      <c r="AG5" s="17" t="n"/>
      <c r="AH5" s="17" t="n"/>
      <c r="AI5" s="17" t="n"/>
      <c r="AJ5" s="16" t="n"/>
      <c r="AK5" s="16" t="n"/>
      <c r="AL5" s="16" t="n"/>
      <c r="AM5" s="16" t="n"/>
      <c r="AQ5" s="12" t="n"/>
      <c r="AR5" s="12" t="n"/>
      <c r="AS5" s="5" t="n"/>
      <c r="AT5" s="12" t="n"/>
      <c r="AU5" s="12" t="n"/>
      <c r="AV5" s="5" t="n"/>
      <c r="AW5" s="5" t="n"/>
      <c r="BR5" s="9" t="n"/>
      <c r="BS5" s="10" t="n"/>
      <c r="BT5" s="9" t="n"/>
      <c r="BU5" s="9" t="n"/>
      <c r="BW5" s="10" t="n"/>
      <c r="BX5" s="10" t="n"/>
      <c r="BZ5" s="10" t="n"/>
      <c r="CA5" s="10" t="n"/>
      <c r="CB5" s="10" t="n"/>
      <c r="CC5" s="10" t="n"/>
      <c r="CD5" s="10" t="n"/>
      <c r="CE5" s="10" t="n"/>
      <c r="CF5" s="10" t="n"/>
      <c r="CH5" s="20" t="inlineStr">
        <is>
          <t>LPG Carbon Content</t>
        </is>
      </c>
      <c r="CI5" s="19">
        <f>0.22/14</f>
        <v/>
      </c>
      <c r="CJ5" s="19" t="inlineStr">
        <is>
          <t>t-CO2/t-LPG</t>
        </is>
      </c>
    </row>
    <row r="6">
      <c r="B6" s="14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26" t="n">
        <v>1.01</v>
      </c>
      <c r="P6" s="26" t="n"/>
      <c r="R6" s="16" t="n"/>
      <c r="S6" s="16" t="n"/>
      <c r="T6" s="16" t="n"/>
      <c r="U6" s="16" t="n"/>
      <c r="V6" s="16" t="n"/>
      <c r="W6" s="26" t="n">
        <v>420</v>
      </c>
      <c r="X6" s="11" t="n"/>
      <c r="Y6" s="17" t="n"/>
      <c r="Z6" s="17" t="n"/>
      <c r="AA6" s="16" t="n"/>
      <c r="AB6" s="16" t="n"/>
      <c r="AC6" s="16" t="n"/>
      <c r="AD6" s="17" t="n"/>
      <c r="AE6" s="17" t="n"/>
      <c r="AF6" s="17" t="n"/>
      <c r="AG6" s="17" t="n"/>
      <c r="AH6" s="17" t="n"/>
      <c r="AI6" s="17" t="n"/>
      <c r="AJ6" s="16" t="n"/>
      <c r="AK6" s="16" t="n"/>
      <c r="AL6" s="16" t="n"/>
      <c r="AM6" s="16" t="n"/>
      <c r="AQ6" s="12" t="n"/>
      <c r="AR6" s="12" t="n"/>
      <c r="AS6" s="5" t="n"/>
      <c r="AT6" s="12" t="n"/>
      <c r="AU6" s="12" t="n"/>
      <c r="AV6" s="5" t="n"/>
      <c r="AW6" s="5" t="n"/>
      <c r="BR6" s="9" t="n"/>
      <c r="BS6" s="10" t="n"/>
      <c r="BT6" s="9" t="n"/>
      <c r="BU6" s="9" t="n"/>
      <c r="BW6" s="10" t="n"/>
      <c r="BX6" s="10" t="n"/>
      <c r="BZ6" s="10" t="n"/>
      <c r="CA6" s="10" t="n"/>
      <c r="CB6" s="10" t="n"/>
      <c r="CC6" s="10" t="n"/>
      <c r="CD6" s="10" t="n"/>
      <c r="CE6" s="10" t="n"/>
      <c r="CF6" s="10" t="n"/>
      <c r="CH6" s="20" t="inlineStr">
        <is>
          <t>Capacity Factor</t>
        </is>
      </c>
      <c r="CI6" s="19" t="n">
        <v>0.9</v>
      </c>
      <c r="CJ6" s="19" t="inlineStr">
        <is>
          <t>%</t>
        </is>
      </c>
    </row>
    <row r="7">
      <c r="B7" s="14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26" t="n">
        <v>1.01</v>
      </c>
      <c r="P7" s="26" t="n"/>
      <c r="R7" s="16" t="n"/>
      <c r="S7" s="16" t="n"/>
      <c r="T7" s="16" t="n"/>
      <c r="U7" s="16" t="n"/>
      <c r="V7" s="16" t="n"/>
      <c r="W7" s="26" t="n">
        <v>420</v>
      </c>
      <c r="X7" s="11" t="n"/>
      <c r="Y7" s="17" t="n"/>
      <c r="Z7" s="17" t="n"/>
      <c r="AA7" s="16" t="n"/>
      <c r="AB7" s="16" t="n"/>
      <c r="AC7" s="16" t="n"/>
      <c r="AD7" s="17" t="n"/>
      <c r="AE7" s="17" t="n"/>
      <c r="AF7" s="17" t="n"/>
      <c r="AG7" s="17" t="n"/>
      <c r="AH7" s="17" t="n"/>
      <c r="AI7" s="17" t="n"/>
      <c r="AJ7" s="16" t="n"/>
      <c r="AK7" s="16" t="n"/>
      <c r="AL7" s="16" t="n"/>
      <c r="AM7" s="16" t="n"/>
      <c r="AQ7" s="12" t="n"/>
      <c r="AR7" s="12" t="n"/>
      <c r="AS7" s="5" t="n"/>
      <c r="AT7" s="12" t="n"/>
      <c r="AU7" s="12" t="n"/>
      <c r="AV7" s="5" t="n"/>
      <c r="AW7" s="5" t="n"/>
      <c r="BR7" s="9" t="n"/>
      <c r="BS7" s="10" t="n"/>
      <c r="BT7" s="9" t="n"/>
      <c r="BU7" s="9" t="n"/>
      <c r="BW7" s="10" t="n"/>
      <c r="BX7" s="10" t="n"/>
      <c r="BZ7" s="10" t="n"/>
      <c r="CA7" s="10" t="n"/>
      <c r="CB7" s="10" t="n"/>
      <c r="CC7" s="10" t="n"/>
      <c r="CD7" s="10" t="n"/>
      <c r="CE7" s="10" t="n"/>
      <c r="CF7" s="10" t="n"/>
    </row>
    <row r="8">
      <c r="B8" s="14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26" t="n">
        <v>1.01</v>
      </c>
      <c r="P8" s="26" t="n"/>
      <c r="R8" s="16" t="n"/>
      <c r="S8" s="16" t="n"/>
      <c r="T8" s="16" t="n"/>
      <c r="U8" s="16" t="n"/>
      <c r="V8" s="16" t="n"/>
      <c r="W8" s="26" t="n">
        <v>420</v>
      </c>
      <c r="X8" s="11" t="n"/>
      <c r="Y8" s="17" t="n"/>
      <c r="Z8" s="17" t="n"/>
      <c r="AA8" s="16" t="n"/>
      <c r="AB8" s="16" t="n"/>
      <c r="AC8" s="16" t="n"/>
      <c r="AD8" s="17" t="n"/>
      <c r="AE8" s="17" t="n"/>
      <c r="AF8" s="17" t="n"/>
      <c r="AG8" s="17" t="n"/>
      <c r="AH8" s="17" t="n"/>
      <c r="AI8" s="17" t="n"/>
      <c r="AJ8" s="16" t="n"/>
      <c r="AK8" s="16" t="n"/>
      <c r="AL8" s="16" t="n"/>
      <c r="AM8" s="16" t="n"/>
      <c r="AQ8" s="12" t="n"/>
      <c r="AR8" s="12" t="n"/>
      <c r="AS8" s="5" t="n"/>
      <c r="AT8" s="12" t="n"/>
      <c r="AU8" s="12" t="n"/>
      <c r="AV8" s="5" t="n"/>
      <c r="AW8" s="5" t="n"/>
      <c r="BR8" s="9" t="n"/>
      <c r="BS8" s="10" t="n"/>
      <c r="BT8" s="9" t="n"/>
      <c r="BU8" s="9" t="n"/>
      <c r="BW8" s="10" t="n"/>
      <c r="BX8" s="10" t="n"/>
      <c r="BZ8" s="10" t="n"/>
      <c r="CA8" s="10" t="n"/>
      <c r="CB8" s="10" t="n"/>
      <c r="CC8" s="10" t="n"/>
      <c r="CD8" s="10" t="n"/>
      <c r="CE8" s="10" t="n"/>
      <c r="CF8" s="10" t="n"/>
    </row>
    <row r="9">
      <c r="B9" s="14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26" t="n">
        <v>1.01</v>
      </c>
      <c r="P9" s="26" t="n"/>
      <c r="R9" s="16" t="n"/>
      <c r="S9" s="16" t="n"/>
      <c r="T9" s="16" t="n"/>
      <c r="U9" s="16" t="n"/>
      <c r="V9" s="16" t="n"/>
      <c r="W9" s="26" t="n">
        <v>420</v>
      </c>
      <c r="X9" s="11" t="n"/>
      <c r="Y9" s="17" t="n"/>
      <c r="Z9" s="17" t="n"/>
      <c r="AA9" s="16" t="n"/>
      <c r="AB9" s="16" t="n"/>
      <c r="AC9" s="16" t="n"/>
      <c r="AD9" s="17" t="n"/>
      <c r="AE9" s="17" t="n"/>
      <c r="AF9" s="17" t="n"/>
      <c r="AG9" s="17" t="n"/>
      <c r="AH9" s="17" t="n"/>
      <c r="AI9" s="17" t="n"/>
      <c r="AJ9" s="16" t="n"/>
      <c r="AK9" s="16" t="n"/>
      <c r="AL9" s="16" t="n"/>
      <c r="AM9" s="16" t="n"/>
      <c r="AQ9" s="12" t="n"/>
      <c r="AR9" s="12" t="n"/>
      <c r="AS9" s="5" t="n"/>
      <c r="AT9" s="12" t="n"/>
      <c r="AU9" s="12" t="n"/>
      <c r="AV9" s="5" t="n"/>
      <c r="AW9" s="5" t="n"/>
      <c r="BR9" s="9" t="n"/>
      <c r="BS9" s="10" t="n"/>
      <c r="BT9" s="9" t="n"/>
      <c r="BU9" s="9" t="n"/>
      <c r="BW9" s="10" t="n"/>
      <c r="BX9" s="10" t="n"/>
      <c r="BZ9" s="10" t="n"/>
      <c r="CA9" s="10" t="n"/>
      <c r="CB9" s="10" t="n"/>
      <c r="CC9" s="10" t="n"/>
      <c r="CD9" s="10" t="n"/>
      <c r="CE9" s="10" t="n"/>
      <c r="CF9" s="10" t="n"/>
    </row>
    <row r="10">
      <c r="B10" s="14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26" t="n">
        <v>1.01</v>
      </c>
      <c r="P10" s="26" t="n"/>
      <c r="R10" s="16" t="n"/>
      <c r="S10" s="16" t="n"/>
      <c r="T10" s="16" t="n"/>
      <c r="U10" s="16" t="n"/>
      <c r="V10" s="16" t="n"/>
      <c r="W10" s="26" t="n">
        <v>420</v>
      </c>
      <c r="X10" s="11" t="n"/>
      <c r="Y10" s="17" t="n"/>
      <c r="Z10" s="17" t="n"/>
      <c r="AA10" s="16" t="n"/>
      <c r="AB10" s="16" t="n"/>
      <c r="AC10" s="16" t="n"/>
      <c r="AD10" s="17" t="n"/>
      <c r="AE10" s="17" t="n"/>
      <c r="AF10" s="17" t="n"/>
      <c r="AG10" s="17" t="n"/>
      <c r="AH10" s="17" t="n"/>
      <c r="AI10" s="17" t="n"/>
      <c r="AJ10" s="16" t="n"/>
      <c r="AK10" s="16" t="n"/>
      <c r="AL10" s="16" t="n"/>
      <c r="AM10" s="16" t="n"/>
      <c r="AQ10" s="12" t="n"/>
      <c r="AR10" s="12" t="n"/>
      <c r="AS10" s="5" t="n"/>
      <c r="AT10" s="12" t="n"/>
      <c r="AU10" s="12" t="n"/>
      <c r="AV10" s="5" t="n"/>
      <c r="AW10" s="5" t="n"/>
      <c r="BR10" s="9" t="n"/>
      <c r="BS10" s="10" t="n"/>
      <c r="BT10" s="9" t="n"/>
      <c r="BU10" s="9" t="n"/>
      <c r="BW10" s="10" t="n"/>
      <c r="BX10" s="10" t="n"/>
      <c r="BZ10" s="10" t="n"/>
      <c r="CA10" s="10" t="n"/>
      <c r="CB10" s="10" t="n"/>
      <c r="CC10" s="10" t="n"/>
      <c r="CD10" s="10" t="n"/>
      <c r="CE10" s="10" t="n"/>
      <c r="CF10" s="10" t="n"/>
    </row>
    <row r="11">
      <c r="B11" s="14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26" t="n">
        <v>1.01</v>
      </c>
      <c r="P11" s="26" t="n"/>
      <c r="R11" s="16" t="n"/>
      <c r="S11" s="16" t="n"/>
      <c r="T11" s="16" t="n"/>
      <c r="U11" s="16" t="n"/>
      <c r="V11" s="16" t="n"/>
      <c r="W11" s="26" t="n">
        <v>420</v>
      </c>
      <c r="X11" s="11" t="n"/>
      <c r="Y11" s="17" t="n"/>
      <c r="Z11" s="17" t="n"/>
      <c r="AA11" s="16" t="n"/>
      <c r="AB11" s="16" t="n"/>
      <c r="AC11" s="16" t="n"/>
      <c r="AD11" s="17" t="n"/>
      <c r="AE11" s="17" t="n"/>
      <c r="AF11" s="17" t="n"/>
      <c r="AG11" s="17" t="n"/>
      <c r="AH11" s="17" t="n"/>
      <c r="AI11" s="17" t="n"/>
      <c r="AJ11" s="16" t="n"/>
      <c r="AK11" s="16" t="n"/>
      <c r="AL11" s="16" t="n"/>
      <c r="AM11" s="16" t="n"/>
      <c r="AQ11" s="12" t="n"/>
      <c r="AR11" s="12" t="n"/>
      <c r="AS11" s="5" t="n"/>
      <c r="AT11" s="12" t="n"/>
      <c r="AU11" s="12" t="n"/>
      <c r="AV11" s="5" t="n"/>
      <c r="AW11" s="5" t="n"/>
      <c r="BR11" s="9" t="n"/>
      <c r="BS11" s="10" t="n"/>
      <c r="BT11" s="9" t="n"/>
      <c r="BU11" s="9" t="n"/>
      <c r="BW11" s="10" t="n"/>
      <c r="BX11" s="10" t="n"/>
      <c r="BZ11" s="10" t="n"/>
      <c r="CA11" s="10" t="n"/>
      <c r="CB11" s="10" t="n"/>
      <c r="CC11" s="10" t="n"/>
      <c r="CD11" s="10" t="n"/>
      <c r="CE11" s="10" t="n"/>
      <c r="CF11" s="10" t="n"/>
    </row>
    <row r="12">
      <c r="B12" s="14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26" t="n">
        <v>1.01</v>
      </c>
      <c r="P12" s="26" t="n"/>
      <c r="R12" s="16" t="n"/>
      <c r="S12" s="16" t="n"/>
      <c r="T12" s="16" t="n"/>
      <c r="U12" s="16" t="n"/>
      <c r="V12" s="16" t="n"/>
      <c r="W12" s="26" t="n">
        <v>420</v>
      </c>
      <c r="X12" s="11" t="n"/>
      <c r="Y12" s="17" t="n"/>
      <c r="Z12" s="17" t="n"/>
      <c r="AA12" s="16" t="n"/>
      <c r="AB12" s="16" t="n"/>
      <c r="AC12" s="16" t="n"/>
      <c r="AD12" s="17" t="n"/>
      <c r="AE12" s="17" t="n"/>
      <c r="AF12" s="17" t="n"/>
      <c r="AG12" s="17" t="n"/>
      <c r="AH12" s="17" t="n"/>
      <c r="AI12" s="17" t="n"/>
      <c r="AJ12" s="16" t="n"/>
      <c r="AK12" s="16" t="n"/>
      <c r="AL12" s="16" t="n"/>
      <c r="AM12" s="16" t="n"/>
      <c r="AQ12" s="12" t="n"/>
      <c r="AR12" s="12" t="n"/>
      <c r="AS12" s="5" t="n"/>
      <c r="AT12" s="12" t="n"/>
      <c r="AU12" s="12" t="n"/>
      <c r="AV12" s="5" t="n"/>
      <c r="AW12" s="5" t="n"/>
      <c r="BR12" s="9" t="n"/>
      <c r="BS12" s="10" t="n"/>
      <c r="BT12" s="9" t="n"/>
      <c r="BU12" s="9" t="n"/>
      <c r="BW12" s="10" t="n"/>
      <c r="BX12" s="10" t="n"/>
      <c r="BZ12" s="10" t="n"/>
      <c r="CA12" s="10" t="n"/>
      <c r="CB12" s="10" t="n"/>
      <c r="CC12" s="10" t="n"/>
      <c r="CD12" s="10" t="n"/>
      <c r="CE12" s="10" t="n"/>
      <c r="CF12" s="10" t="n"/>
    </row>
    <row r="13">
      <c r="B13" s="14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26" t="n">
        <v>1.01</v>
      </c>
      <c r="P13" s="26" t="n"/>
      <c r="R13" s="16" t="n"/>
      <c r="S13" s="16" t="n"/>
      <c r="T13" s="16" t="n"/>
      <c r="U13" s="16" t="n"/>
      <c r="V13" s="16" t="n"/>
      <c r="W13" s="26" t="n">
        <v>420</v>
      </c>
      <c r="X13" s="11" t="n"/>
      <c r="Y13" s="17" t="n"/>
      <c r="Z13" s="17" t="n"/>
      <c r="AA13" s="16" t="n"/>
      <c r="AB13" s="16" t="n"/>
      <c r="AC13" s="16" t="n"/>
      <c r="AD13" s="17" t="n"/>
      <c r="AE13" s="17" t="n"/>
      <c r="AF13" s="17" t="n"/>
      <c r="AG13" s="17" t="n"/>
      <c r="AH13" s="17" t="n"/>
      <c r="AI13" s="17" t="n"/>
      <c r="AJ13" s="16" t="n"/>
      <c r="AK13" s="16" t="n"/>
      <c r="AL13" s="16" t="n"/>
      <c r="AM13" s="16" t="n"/>
      <c r="AQ13" s="12" t="n"/>
      <c r="AR13" s="12" t="n"/>
      <c r="AS13" s="5" t="n"/>
      <c r="AT13" s="12" t="n"/>
      <c r="AU13" s="12" t="n"/>
      <c r="AV13" s="5" t="n"/>
      <c r="AW13" s="5" t="n"/>
      <c r="BR13" s="9" t="n"/>
      <c r="BS13" s="10" t="n"/>
      <c r="BT13" s="9" t="n"/>
      <c r="BU13" s="9" t="n"/>
      <c r="BW13" s="10" t="n"/>
      <c r="BX13" s="10" t="n"/>
      <c r="BZ13" s="10" t="n"/>
      <c r="CA13" s="10" t="n"/>
      <c r="CB13" s="10" t="n"/>
      <c r="CC13" s="10" t="n"/>
      <c r="CD13" s="10" t="n"/>
      <c r="CE13" s="10" t="n"/>
      <c r="CF13" s="10" t="n"/>
    </row>
    <row r="14">
      <c r="B14" s="14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26" t="n">
        <v>1.01</v>
      </c>
      <c r="P14" s="26" t="n"/>
      <c r="R14" s="16" t="n"/>
      <c r="S14" s="16" t="n"/>
      <c r="T14" s="16" t="n"/>
      <c r="U14" s="16" t="n"/>
      <c r="V14" s="16" t="n"/>
      <c r="W14" s="26" t="n">
        <v>420</v>
      </c>
      <c r="X14" s="11" t="n"/>
      <c r="Y14" s="17" t="n"/>
      <c r="Z14" s="17" t="n"/>
      <c r="AA14" s="16" t="n"/>
      <c r="AB14" s="16" t="n"/>
      <c r="AC14" s="16" t="n"/>
      <c r="AD14" s="17" t="n"/>
      <c r="AE14" s="17" t="n"/>
      <c r="AF14" s="17" t="n"/>
      <c r="AG14" s="17" t="n"/>
      <c r="AH14" s="17" t="n"/>
      <c r="AI14" s="17" t="n"/>
      <c r="AJ14" s="16" t="n"/>
      <c r="AK14" s="16" t="n"/>
      <c r="AL14" s="16" t="n"/>
      <c r="AM14" s="16" t="n"/>
      <c r="AQ14" s="12" t="n"/>
      <c r="AR14" s="12" t="n"/>
      <c r="AS14" s="5" t="n"/>
      <c r="AT14" s="12" t="n"/>
      <c r="AU14" s="12" t="n"/>
      <c r="AV14" s="5" t="n"/>
      <c r="AW14" s="5" t="n"/>
      <c r="BR14" s="9" t="n"/>
      <c r="BS14" s="10" t="n"/>
      <c r="BT14" s="9" t="n"/>
      <c r="BU14" s="9" t="n"/>
      <c r="BW14" s="10" t="n"/>
      <c r="BX14" s="10" t="n"/>
      <c r="BZ14" s="10" t="n"/>
      <c r="CA14" s="10" t="n"/>
      <c r="CB14" s="10" t="n"/>
      <c r="CC14" s="10" t="n"/>
      <c r="CD14" s="10" t="n"/>
      <c r="CE14" s="10" t="n"/>
      <c r="CF14" s="10" t="n"/>
    </row>
    <row r="15">
      <c r="B15" s="14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26" t="n">
        <v>1.01</v>
      </c>
      <c r="P15" s="26" t="n"/>
      <c r="R15" s="16" t="n"/>
      <c r="S15" s="16" t="n"/>
      <c r="T15" s="16" t="n"/>
      <c r="U15" s="16" t="n"/>
      <c r="V15" s="16" t="n"/>
      <c r="W15" s="26" t="n">
        <v>420</v>
      </c>
      <c r="X15" s="11" t="n"/>
      <c r="Y15" s="17" t="n"/>
      <c r="Z15" s="17" t="n"/>
      <c r="AA15" s="16" t="n"/>
      <c r="AB15" s="16" t="n"/>
      <c r="AC15" s="16" t="n"/>
      <c r="AD15" s="17" t="n"/>
      <c r="AE15" s="17" t="n"/>
      <c r="AF15" s="17" t="n"/>
      <c r="AG15" s="17" t="n"/>
      <c r="AH15" s="17" t="n"/>
      <c r="AI15" s="17" t="n"/>
      <c r="AJ15" s="16" t="n"/>
      <c r="AK15" s="16" t="n"/>
      <c r="AL15" s="16" t="n"/>
      <c r="AM15" s="16" t="n"/>
      <c r="AQ15" s="12" t="n"/>
      <c r="AR15" s="12" t="n"/>
      <c r="AS15" s="5" t="n"/>
      <c r="AT15" s="12" t="n"/>
      <c r="AU15" s="12" t="n"/>
      <c r="AV15" s="5" t="n"/>
      <c r="AW15" s="5" t="n"/>
      <c r="BR15" s="9" t="n"/>
      <c r="BS15" s="10" t="n"/>
      <c r="BT15" s="9" t="n"/>
      <c r="BU15" s="9" t="n"/>
      <c r="BW15" s="10" t="n"/>
      <c r="BX15" s="10" t="n"/>
      <c r="BZ15" s="10" t="n"/>
      <c r="CA15" s="10" t="n"/>
      <c r="CB15" s="10" t="n"/>
      <c r="CC15" s="10" t="n"/>
      <c r="CD15" s="10" t="n"/>
      <c r="CE15" s="10" t="n"/>
      <c r="CF15" s="10" t="n"/>
    </row>
    <row r="16">
      <c r="B16" s="14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26" t="n">
        <v>1.01</v>
      </c>
      <c r="P16" s="26" t="n"/>
      <c r="R16" s="16" t="n"/>
      <c r="S16" s="16" t="n"/>
      <c r="T16" s="16" t="n"/>
      <c r="U16" s="16" t="n"/>
      <c r="V16" s="16" t="n"/>
      <c r="W16" s="26" t="n">
        <v>420</v>
      </c>
      <c r="X16" s="11" t="n"/>
      <c r="Y16" s="17" t="n"/>
      <c r="Z16" s="17" t="n"/>
      <c r="AA16" s="16" t="n"/>
      <c r="AB16" s="16" t="n"/>
      <c r="AC16" s="16" t="n"/>
      <c r="AD16" s="17" t="n"/>
      <c r="AE16" s="17" t="n"/>
      <c r="AF16" s="17" t="n"/>
      <c r="AG16" s="17" t="n"/>
      <c r="AH16" s="17" t="n"/>
      <c r="AI16" s="17" t="n"/>
      <c r="AJ16" s="16" t="n"/>
      <c r="AK16" s="16" t="n"/>
      <c r="AL16" s="16" t="n"/>
      <c r="AM16" s="16" t="n"/>
      <c r="AQ16" s="12" t="n"/>
      <c r="AR16" s="12" t="n"/>
      <c r="AS16" s="5" t="n"/>
      <c r="AT16" s="12" t="n"/>
      <c r="AU16" s="12" t="n"/>
      <c r="AV16" s="5" t="n"/>
      <c r="AW16" s="5" t="n"/>
      <c r="BR16" s="9" t="n"/>
      <c r="BS16" s="10" t="n"/>
      <c r="BT16" s="9" t="n"/>
      <c r="BU16" s="9" t="n"/>
      <c r="BW16" s="10" t="n"/>
      <c r="BX16" s="10" t="n"/>
      <c r="BZ16" s="10" t="n"/>
      <c r="CA16" s="10" t="n"/>
      <c r="CB16" s="10" t="n"/>
      <c r="CC16" s="10" t="n"/>
      <c r="CD16" s="10" t="n"/>
      <c r="CE16" s="10" t="n"/>
      <c r="CF16" s="10" t="n"/>
    </row>
    <row r="17">
      <c r="B17" s="14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26" t="n">
        <v>1.01</v>
      </c>
      <c r="P17" s="26" t="n"/>
      <c r="R17" s="16" t="n"/>
      <c r="S17" s="16" t="n"/>
      <c r="T17" s="16" t="n"/>
      <c r="U17" s="16" t="n"/>
      <c r="V17" s="16" t="n"/>
      <c r="W17" s="26" t="n">
        <v>420</v>
      </c>
      <c r="X17" s="11" t="n"/>
      <c r="Y17" s="17" t="n"/>
      <c r="Z17" s="17" t="n"/>
      <c r="AA17" s="16" t="n"/>
      <c r="AB17" s="16" t="n"/>
      <c r="AC17" s="16" t="n"/>
      <c r="AD17" s="17" t="n"/>
      <c r="AE17" s="17" t="n"/>
      <c r="AF17" s="17" t="n"/>
      <c r="AG17" s="17" t="n"/>
      <c r="AH17" s="17" t="n"/>
      <c r="AI17" s="17" t="n"/>
      <c r="AJ17" s="16" t="n"/>
      <c r="AK17" s="16" t="n"/>
      <c r="AL17" s="16" t="n"/>
      <c r="AM17" s="16" t="n"/>
      <c r="AQ17" s="12" t="n"/>
      <c r="AR17" s="12" t="n"/>
      <c r="AS17" s="5" t="n"/>
      <c r="AT17" s="12" t="n"/>
      <c r="AU17" s="12" t="n"/>
      <c r="AV17" s="5" t="n"/>
      <c r="AW17" s="5" t="n"/>
      <c r="BR17" s="9" t="n"/>
      <c r="BS17" s="10" t="n"/>
      <c r="BT17" s="9" t="n"/>
      <c r="BU17" s="9" t="n"/>
      <c r="BW17" s="10" t="n"/>
      <c r="BX17" s="10" t="n"/>
      <c r="BZ17" s="10" t="n"/>
      <c r="CA17" s="10" t="n"/>
      <c r="CB17" s="10" t="n"/>
      <c r="CC17" s="10" t="n"/>
      <c r="CD17" s="10" t="n"/>
      <c r="CE17" s="10" t="n"/>
      <c r="CF17" s="10" t="n"/>
    </row>
    <row r="18">
      <c r="B18" s="14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26" t="n">
        <v>1.01</v>
      </c>
      <c r="P18" s="26" t="n"/>
      <c r="R18" s="16" t="n"/>
      <c r="S18" s="16" t="n"/>
      <c r="T18" s="16" t="n"/>
      <c r="U18" s="16" t="n"/>
      <c r="V18" s="16" t="n"/>
      <c r="W18" s="26" t="n">
        <v>420</v>
      </c>
      <c r="X18" s="11" t="n"/>
      <c r="Y18" s="17" t="n"/>
      <c r="Z18" s="17" t="n"/>
      <c r="AA18" s="16" t="n"/>
      <c r="AB18" s="16" t="n"/>
      <c r="AC18" s="16" t="n"/>
      <c r="AD18" s="17" t="n"/>
      <c r="AE18" s="17" t="n"/>
      <c r="AF18" s="17" t="n"/>
      <c r="AG18" s="17" t="n"/>
      <c r="AH18" s="17" t="n"/>
      <c r="AI18" s="17" t="n"/>
      <c r="AJ18" s="16" t="n"/>
      <c r="AK18" s="16" t="n"/>
      <c r="AL18" s="16" t="n"/>
      <c r="AM18" s="16" t="n"/>
      <c r="AQ18" s="12" t="n"/>
      <c r="AR18" s="12" t="n"/>
      <c r="AS18" s="5" t="n"/>
      <c r="AT18" s="12" t="n"/>
      <c r="AU18" s="12" t="n"/>
      <c r="AV18" s="5" t="n"/>
      <c r="AW18" s="5" t="n"/>
      <c r="BR18" s="9" t="n"/>
      <c r="BS18" s="10" t="n"/>
      <c r="BT18" s="9" t="n"/>
      <c r="BU18" s="9" t="n"/>
      <c r="BW18" s="10" t="n"/>
      <c r="BX18" s="10" t="n"/>
      <c r="BZ18" s="10" t="n"/>
      <c r="CA18" s="10" t="n"/>
      <c r="CB18" s="10" t="n"/>
      <c r="CC18" s="10" t="n"/>
      <c r="CD18" s="10" t="n"/>
      <c r="CE18" s="10" t="n"/>
      <c r="CF18" s="10" t="n"/>
    </row>
    <row r="19">
      <c r="B19" s="14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26" t="n">
        <v>1.01</v>
      </c>
      <c r="P19" s="26" t="n"/>
      <c r="R19" s="16" t="n"/>
      <c r="S19" s="16" t="n"/>
      <c r="T19" s="16" t="n"/>
      <c r="U19" s="16" t="n"/>
      <c r="V19" s="16" t="n"/>
      <c r="W19" s="26" t="n">
        <v>420</v>
      </c>
      <c r="X19" s="11" t="n"/>
      <c r="Y19" s="17" t="n"/>
      <c r="Z19" s="17" t="n"/>
      <c r="AA19" s="16" t="n"/>
      <c r="AB19" s="16" t="n"/>
      <c r="AC19" s="16" t="n"/>
      <c r="AD19" s="17" t="n"/>
      <c r="AE19" s="17" t="n"/>
      <c r="AF19" s="17" t="n"/>
      <c r="AG19" s="17" t="n"/>
      <c r="AH19" s="17" t="n"/>
      <c r="AI19" s="17" t="n"/>
      <c r="AJ19" s="16" t="n"/>
      <c r="AK19" s="16" t="n"/>
      <c r="AL19" s="16" t="n"/>
      <c r="AM19" s="16" t="n"/>
      <c r="AQ19" s="12" t="n"/>
      <c r="AR19" s="12" t="n"/>
      <c r="AS19" s="5" t="n"/>
      <c r="AT19" s="12" t="n"/>
      <c r="AU19" s="12" t="n"/>
      <c r="AV19" s="5" t="n"/>
      <c r="AW19" s="5" t="n"/>
      <c r="BR19" s="9" t="n"/>
      <c r="BS19" s="10" t="n"/>
      <c r="BT19" s="9" t="n"/>
      <c r="BU19" s="9" t="n"/>
      <c r="BW19" s="10" t="n"/>
      <c r="BX19" s="10" t="n"/>
      <c r="BZ19" s="10" t="n"/>
      <c r="CA19" s="10" t="n"/>
      <c r="CB19" s="10" t="n"/>
      <c r="CC19" s="10" t="n"/>
      <c r="CD19" s="10" t="n"/>
      <c r="CE19" s="10" t="n"/>
      <c r="CF19" s="10" t="n"/>
    </row>
    <row r="20">
      <c r="B20" s="14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26" t="n">
        <v>1.01</v>
      </c>
      <c r="P20" s="26" t="n"/>
      <c r="R20" s="16" t="n"/>
      <c r="S20" s="16" t="n"/>
      <c r="T20" s="16" t="n"/>
      <c r="U20" s="16" t="n"/>
      <c r="V20" s="16" t="n"/>
      <c r="W20" s="26" t="n">
        <v>420</v>
      </c>
      <c r="X20" s="11" t="n"/>
      <c r="Y20" s="17" t="n"/>
      <c r="Z20" s="17" t="n"/>
      <c r="AA20" s="16" t="n"/>
      <c r="AB20" s="16" t="n"/>
      <c r="AC20" s="16" t="n"/>
      <c r="AD20" s="17" t="n"/>
      <c r="AE20" s="17" t="n"/>
      <c r="AF20" s="17" t="n"/>
      <c r="AG20" s="17" t="n"/>
      <c r="AH20" s="17" t="n"/>
      <c r="AI20" s="17" t="n"/>
      <c r="AJ20" s="16" t="n"/>
      <c r="AK20" s="16" t="n"/>
      <c r="AL20" s="16" t="n"/>
      <c r="AM20" s="16" t="n"/>
      <c r="AQ20" s="12" t="n"/>
      <c r="AR20" s="12" t="n"/>
      <c r="AS20" s="5" t="n"/>
      <c r="AT20" s="12" t="n"/>
      <c r="AU20" s="12" t="n"/>
      <c r="AV20" s="5" t="n"/>
      <c r="AW20" s="5" t="n"/>
      <c r="BR20" s="9" t="n"/>
      <c r="BS20" s="10" t="n"/>
      <c r="BT20" s="9" t="n"/>
      <c r="BU20" s="9" t="n"/>
      <c r="BW20" s="10" t="n"/>
      <c r="BX20" s="10" t="n"/>
      <c r="BZ20" s="10" t="n"/>
      <c r="CA20" s="10" t="n"/>
      <c r="CB20" s="10" t="n"/>
      <c r="CC20" s="10" t="n"/>
      <c r="CD20" s="10" t="n"/>
      <c r="CE20" s="10" t="n"/>
      <c r="CF20" s="10" t="n"/>
    </row>
    <row r="21">
      <c r="B21" s="14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26" t="n">
        <v>1.01</v>
      </c>
      <c r="P21" s="26" t="n"/>
      <c r="R21" s="16" t="n"/>
      <c r="S21" s="16" t="n"/>
      <c r="T21" s="16" t="n"/>
      <c r="U21" s="16" t="n"/>
      <c r="V21" s="16" t="n"/>
      <c r="W21" s="26" t="n">
        <v>420</v>
      </c>
      <c r="X21" s="11" t="n"/>
      <c r="Y21" s="17" t="n"/>
      <c r="Z21" s="17" t="n"/>
      <c r="AA21" s="16" t="n"/>
      <c r="AB21" s="16" t="n"/>
      <c r="AC21" s="16" t="n"/>
      <c r="AD21" s="17" t="n"/>
      <c r="AE21" s="17" t="n"/>
      <c r="AF21" s="17" t="n"/>
      <c r="AG21" s="17" t="n"/>
      <c r="AH21" s="17" t="n"/>
      <c r="AI21" s="17" t="n"/>
      <c r="AJ21" s="16" t="n"/>
      <c r="AK21" s="16" t="n"/>
      <c r="AL21" s="16" t="n"/>
      <c r="AM21" s="16" t="n"/>
      <c r="AQ21" s="12" t="n"/>
      <c r="AR21" s="12" t="n"/>
      <c r="AS21" s="5" t="n"/>
      <c r="AT21" s="12" t="n"/>
      <c r="AU21" s="12" t="n"/>
      <c r="AV21" s="5" t="n"/>
      <c r="AW21" s="5" t="n"/>
      <c r="BR21" s="9" t="n"/>
      <c r="BS21" s="10" t="n"/>
      <c r="BT21" s="9" t="n"/>
      <c r="BU21" s="9" t="n"/>
      <c r="BW21" s="10" t="n"/>
      <c r="BX21" s="10" t="n"/>
      <c r="BZ21" s="10" t="n"/>
      <c r="CA21" s="10" t="n"/>
      <c r="CB21" s="10" t="n"/>
      <c r="CC21" s="10" t="n"/>
      <c r="CD21" s="10" t="n"/>
      <c r="CE21" s="10" t="n"/>
      <c r="CF21" s="10" t="n"/>
    </row>
    <row r="22">
      <c r="B22" s="14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26" t="n">
        <v>1.01</v>
      </c>
      <c r="P22" s="26" t="n"/>
      <c r="R22" s="16" t="n"/>
      <c r="S22" s="16" t="n"/>
      <c r="T22" s="16" t="n"/>
      <c r="U22" s="16" t="n"/>
      <c r="V22" s="16" t="n"/>
      <c r="W22" s="26" t="n">
        <v>420</v>
      </c>
      <c r="X22" s="11" t="n"/>
      <c r="Y22" s="17" t="n"/>
      <c r="Z22" s="17" t="n"/>
      <c r="AA22" s="16" t="n"/>
      <c r="AB22" s="16" t="n"/>
      <c r="AC22" s="16" t="n"/>
      <c r="AD22" s="17" t="n"/>
      <c r="AE22" s="17" t="n"/>
      <c r="AF22" s="17" t="n"/>
      <c r="AG22" s="17" t="n"/>
      <c r="AH22" s="17" t="n"/>
      <c r="AI22" s="17" t="n"/>
      <c r="AJ22" s="16" t="n"/>
      <c r="AK22" s="16" t="n"/>
      <c r="AL22" s="16" t="n"/>
      <c r="AM22" s="16" t="n"/>
      <c r="AQ22" s="12" t="n"/>
      <c r="AR22" s="12" t="n"/>
      <c r="AS22" s="5" t="n"/>
      <c r="AT22" s="12" t="n"/>
      <c r="AU22" s="12" t="n"/>
      <c r="AV22" s="5" t="n"/>
      <c r="AW22" s="5" t="n"/>
      <c r="BR22" s="9" t="n"/>
      <c r="BS22" s="10" t="n"/>
      <c r="BT22" s="9" t="n"/>
      <c r="BU22" s="9" t="n"/>
      <c r="BW22" s="10" t="n"/>
      <c r="BX22" s="10" t="n"/>
      <c r="BZ22" s="10" t="n"/>
      <c r="CA22" s="10" t="n"/>
      <c r="CB22" s="10" t="n"/>
      <c r="CC22" s="10" t="n"/>
      <c r="CD22" s="10" t="n"/>
      <c r="CE22" s="10" t="n"/>
      <c r="CF22" s="10" t="n"/>
    </row>
    <row r="23">
      <c r="B23" s="14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26" t="n">
        <v>1.01</v>
      </c>
      <c r="P23" s="26" t="n"/>
      <c r="R23" s="16" t="n"/>
      <c r="S23" s="16" t="n"/>
      <c r="T23" s="16" t="n"/>
      <c r="U23" s="16" t="n"/>
      <c r="V23" s="16" t="n"/>
      <c r="W23" s="26" t="n">
        <v>420</v>
      </c>
      <c r="X23" s="11" t="n"/>
      <c r="Y23" s="17" t="n"/>
      <c r="Z23" s="17" t="n"/>
      <c r="AA23" s="16" t="n"/>
      <c r="AB23" s="16" t="n"/>
      <c r="AC23" s="16" t="n"/>
      <c r="AD23" s="17" t="n"/>
      <c r="AE23" s="17" t="n"/>
      <c r="AF23" s="17" t="n"/>
      <c r="AG23" s="17" t="n"/>
      <c r="AH23" s="17" t="n"/>
      <c r="AI23" s="17" t="n"/>
      <c r="AJ23" s="16" t="n"/>
      <c r="AK23" s="16" t="n"/>
      <c r="AL23" s="16" t="n"/>
      <c r="AM23" s="16" t="n"/>
      <c r="AQ23" s="12" t="n"/>
      <c r="AR23" s="12" t="n"/>
      <c r="AS23" s="5" t="n"/>
      <c r="AT23" s="12" t="n"/>
      <c r="AU23" s="12" t="n"/>
      <c r="AV23" s="5" t="n"/>
      <c r="AW23" s="5" t="n"/>
      <c r="BR23" s="9" t="n"/>
      <c r="BS23" s="10" t="n"/>
      <c r="BT23" s="9" t="n"/>
      <c r="BU23" s="9" t="n"/>
      <c r="BW23" s="10" t="n"/>
      <c r="BX23" s="10" t="n"/>
      <c r="BZ23" s="10" t="n"/>
      <c r="CA23" s="10" t="n"/>
      <c r="CB23" s="10" t="n"/>
      <c r="CC23" s="10" t="n"/>
      <c r="CD23" s="10" t="n"/>
      <c r="CE23" s="10" t="n"/>
      <c r="CF23" s="10" t="n"/>
    </row>
    <row r="24">
      <c r="B24" s="14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26" t="n">
        <v>1.01</v>
      </c>
      <c r="P24" s="26" t="n"/>
      <c r="R24" s="16" t="n"/>
      <c r="S24" s="16" t="n"/>
      <c r="T24" s="16" t="n"/>
      <c r="U24" s="16" t="n"/>
      <c r="V24" s="16" t="n"/>
      <c r="W24" s="26" t="n">
        <v>420</v>
      </c>
      <c r="X24" s="11" t="n"/>
      <c r="Y24" s="17" t="n"/>
      <c r="Z24" s="17" t="n"/>
      <c r="AA24" s="16" t="n"/>
      <c r="AB24" s="16" t="n"/>
      <c r="AC24" s="16" t="n"/>
      <c r="AD24" s="17" t="n"/>
      <c r="AE24" s="17" t="n"/>
      <c r="AF24" s="17" t="n"/>
      <c r="AG24" s="17" t="n"/>
      <c r="AH24" s="17" t="n"/>
      <c r="AI24" s="17" t="n"/>
      <c r="AJ24" s="16" t="n"/>
      <c r="AK24" s="16" t="n"/>
      <c r="AL24" s="16" t="n"/>
      <c r="AM24" s="16" t="n"/>
      <c r="AQ24" s="12" t="n"/>
      <c r="AR24" s="12" t="n"/>
      <c r="AS24" s="5" t="n"/>
      <c r="AT24" s="12" t="n"/>
      <c r="AU24" s="12" t="n"/>
      <c r="AV24" s="5" t="n"/>
      <c r="AW24" s="5" t="n"/>
      <c r="BR24" s="9" t="n"/>
      <c r="BS24" s="10" t="n"/>
      <c r="BT24" s="9" t="n"/>
      <c r="BU24" s="9" t="n"/>
      <c r="BW24" s="10" t="n"/>
      <c r="BX24" s="10" t="n"/>
      <c r="BZ24" s="10" t="n"/>
      <c r="CA24" s="10" t="n"/>
      <c r="CB24" s="10" t="n"/>
      <c r="CC24" s="10" t="n"/>
      <c r="CD24" s="10" t="n"/>
      <c r="CE24" s="10" t="n"/>
      <c r="CF24" s="10" t="n"/>
    </row>
    <row r="25">
      <c r="B25" s="14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26" t="n">
        <v>1.01</v>
      </c>
      <c r="P25" s="26" t="n"/>
      <c r="R25" s="16" t="n"/>
      <c r="S25" s="16" t="n"/>
      <c r="T25" s="16" t="n"/>
      <c r="U25" s="16" t="n"/>
      <c r="V25" s="16" t="n"/>
      <c r="W25" s="26" t="n">
        <v>420</v>
      </c>
      <c r="X25" s="11" t="n"/>
      <c r="Y25" s="17" t="n"/>
      <c r="Z25" s="17" t="n"/>
      <c r="AA25" s="16" t="n"/>
      <c r="AB25" s="16" t="n"/>
      <c r="AC25" s="16" t="n"/>
      <c r="AD25" s="17" t="n"/>
      <c r="AE25" s="17" t="n"/>
      <c r="AF25" s="17" t="n"/>
      <c r="AG25" s="17" t="n"/>
      <c r="AH25" s="17" t="n"/>
      <c r="AI25" s="17" t="n"/>
      <c r="AJ25" s="16" t="n"/>
      <c r="AK25" s="16" t="n"/>
      <c r="AL25" s="16" t="n"/>
      <c r="AM25" s="16" t="n"/>
      <c r="AQ25" s="12" t="n"/>
      <c r="AR25" s="12" t="n"/>
      <c r="AS25" s="5" t="n"/>
      <c r="AT25" s="12" t="n"/>
      <c r="AU25" s="12" t="n"/>
      <c r="AV25" s="5" t="n"/>
      <c r="AW25" s="5" t="n"/>
      <c r="BR25" s="9" t="n"/>
      <c r="BS25" s="10" t="n"/>
      <c r="BT25" s="9" t="n"/>
      <c r="BU25" s="9" t="n"/>
      <c r="BW25" s="10" t="n"/>
      <c r="BX25" s="10" t="n"/>
      <c r="BZ25" s="10" t="n"/>
      <c r="CA25" s="10" t="n"/>
      <c r="CB25" s="10" t="n"/>
      <c r="CC25" s="10" t="n"/>
      <c r="CD25" s="10" t="n"/>
      <c r="CE25" s="10" t="n"/>
      <c r="CF25" s="10" t="n"/>
    </row>
    <row r="26">
      <c r="B26" s="14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26" t="n">
        <v>1.01</v>
      </c>
      <c r="P26" s="26" t="n"/>
      <c r="R26" s="16" t="n"/>
      <c r="S26" s="16" t="n"/>
      <c r="T26" s="16" t="n"/>
      <c r="U26" s="16" t="n"/>
      <c r="V26" s="16" t="n"/>
      <c r="W26" s="26" t="n">
        <v>420</v>
      </c>
      <c r="X26" s="11" t="n"/>
      <c r="Y26" s="17" t="n"/>
      <c r="Z26" s="17" t="n"/>
      <c r="AA26" s="16" t="n"/>
      <c r="AB26" s="16" t="n"/>
      <c r="AC26" s="16" t="n"/>
      <c r="AD26" s="17" t="n"/>
      <c r="AE26" s="17" t="n"/>
      <c r="AF26" s="17" t="n"/>
      <c r="AG26" s="17" t="n"/>
      <c r="AH26" s="17" t="n"/>
      <c r="AI26" s="17" t="n"/>
      <c r="AJ26" s="16" t="n"/>
      <c r="AK26" s="16" t="n"/>
      <c r="AL26" s="16" t="n"/>
      <c r="AM26" s="16" t="n"/>
      <c r="AQ26" s="12" t="n"/>
      <c r="AR26" s="12" t="n"/>
      <c r="AS26" s="5" t="n"/>
      <c r="AT26" s="12" t="n"/>
      <c r="AU26" s="12" t="n"/>
      <c r="AV26" s="5" t="n"/>
      <c r="AW26" s="5" t="n"/>
      <c r="BR26" s="9" t="n"/>
      <c r="BS26" s="10" t="n"/>
      <c r="BT26" s="9" t="n"/>
      <c r="BU26" s="9" t="n"/>
      <c r="BW26" s="10" t="n"/>
      <c r="BX26" s="10" t="n"/>
      <c r="BZ26" s="10" t="n"/>
      <c r="CA26" s="10" t="n"/>
      <c r="CB26" s="10" t="n"/>
      <c r="CC26" s="10" t="n"/>
      <c r="CD26" s="10" t="n"/>
      <c r="CE26" s="10" t="n"/>
      <c r="CF26" s="10" t="n"/>
    </row>
    <row r="27">
      <c r="B27" s="14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26" t="n">
        <v>1.01</v>
      </c>
      <c r="P27" s="26" t="n"/>
      <c r="R27" s="16" t="n"/>
      <c r="S27" s="16" t="n"/>
      <c r="T27" s="16" t="n"/>
      <c r="U27" s="16" t="n"/>
      <c r="V27" s="16" t="n"/>
      <c r="W27" s="26" t="n">
        <v>420</v>
      </c>
      <c r="X27" s="11" t="n"/>
      <c r="Y27" s="17" t="n"/>
      <c r="Z27" s="17" t="n"/>
      <c r="AA27" s="16" t="n"/>
      <c r="AB27" s="16" t="n"/>
      <c r="AC27" s="16" t="n"/>
      <c r="AD27" s="17" t="n"/>
      <c r="AE27" s="17" t="n"/>
      <c r="AF27" s="17" t="n"/>
      <c r="AG27" s="17" t="n"/>
      <c r="AH27" s="17" t="n"/>
      <c r="AI27" s="17" t="n"/>
      <c r="AJ27" s="16" t="n"/>
      <c r="AK27" s="16" t="n"/>
      <c r="AL27" s="16" t="n"/>
      <c r="AM27" s="16" t="n"/>
      <c r="AQ27" s="12" t="n"/>
      <c r="AR27" s="12" t="n"/>
      <c r="AS27" s="5" t="n"/>
      <c r="AT27" s="12" t="n"/>
      <c r="AU27" s="12" t="n"/>
      <c r="AV27" s="5" t="n"/>
      <c r="AW27" s="5" t="n"/>
      <c r="BR27" s="9" t="n"/>
      <c r="BS27" s="10" t="n"/>
      <c r="BT27" s="9" t="n"/>
      <c r="BU27" s="9" t="n"/>
      <c r="BW27" s="10" t="n"/>
      <c r="BX27" s="10" t="n"/>
      <c r="BZ27" s="10" t="n"/>
      <c r="CA27" s="10" t="n"/>
      <c r="CB27" s="10" t="n"/>
      <c r="CC27" s="10" t="n"/>
      <c r="CD27" s="10" t="n"/>
      <c r="CE27" s="10" t="n"/>
      <c r="CF27" s="10" t="n"/>
    </row>
    <row r="28">
      <c r="B28" s="14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26" t="n">
        <v>1.01</v>
      </c>
      <c r="P28" s="26" t="n"/>
      <c r="R28" s="16" t="n"/>
      <c r="S28" s="16" t="n"/>
      <c r="T28" s="16" t="n"/>
      <c r="U28" s="16" t="n"/>
      <c r="V28" s="16" t="n"/>
      <c r="W28" s="26" t="n">
        <v>420</v>
      </c>
      <c r="X28" s="11" t="n"/>
      <c r="Y28" s="17" t="n"/>
      <c r="Z28" s="17" t="n"/>
      <c r="AA28" s="16" t="n"/>
      <c r="AB28" s="16" t="n"/>
      <c r="AC28" s="16" t="n"/>
      <c r="AD28" s="17" t="n"/>
      <c r="AE28" s="17" t="n"/>
      <c r="AF28" s="17" t="n"/>
      <c r="AG28" s="17" t="n"/>
      <c r="AH28" s="17" t="n"/>
      <c r="AI28" s="17" t="n"/>
      <c r="AJ28" s="16" t="n"/>
      <c r="AK28" s="16" t="n"/>
      <c r="AL28" s="16" t="n"/>
      <c r="AM28" s="16" t="n"/>
      <c r="AQ28" s="12" t="n"/>
      <c r="AR28" s="12" t="n"/>
      <c r="AS28" s="5" t="n"/>
      <c r="AT28" s="12" t="n"/>
      <c r="AU28" s="12" t="n"/>
      <c r="AV28" s="5" t="n"/>
      <c r="AW28" s="5" t="n"/>
      <c r="BR28" s="9" t="n"/>
      <c r="BS28" s="10" t="n"/>
      <c r="BT28" s="9" t="n"/>
      <c r="BU28" s="9" t="n"/>
      <c r="BW28" s="10" t="n"/>
      <c r="BX28" s="10" t="n"/>
      <c r="BZ28" s="10" t="n"/>
      <c r="CA28" s="10" t="n"/>
      <c r="CB28" s="10" t="n"/>
      <c r="CC28" s="10" t="n"/>
      <c r="CD28" s="10" t="n"/>
      <c r="CE28" s="10" t="n"/>
      <c r="CF28" s="10" t="n"/>
    </row>
    <row r="29">
      <c r="B29" s="14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26" t="n">
        <v>1.01</v>
      </c>
      <c r="P29" s="26" t="n"/>
      <c r="R29" s="16" t="n"/>
      <c r="S29" s="16" t="n"/>
      <c r="T29" s="16" t="n"/>
      <c r="U29" s="16" t="n"/>
      <c r="V29" s="16" t="n"/>
      <c r="W29" s="26" t="n">
        <v>420</v>
      </c>
      <c r="X29" s="11" t="n"/>
      <c r="Y29" s="17" t="n"/>
      <c r="Z29" s="17" t="n"/>
      <c r="AA29" s="16" t="n"/>
      <c r="AB29" s="16" t="n"/>
      <c r="AC29" s="16" t="n"/>
      <c r="AD29" s="17" t="n"/>
      <c r="AE29" s="17" t="n"/>
      <c r="AF29" s="17" t="n"/>
      <c r="AG29" s="17" t="n"/>
      <c r="AH29" s="17" t="n"/>
      <c r="AI29" s="17" t="n"/>
      <c r="AJ29" s="16" t="n"/>
      <c r="AK29" s="16" t="n"/>
      <c r="AL29" s="16" t="n"/>
      <c r="AM29" s="16" t="n"/>
      <c r="AQ29" s="12" t="n"/>
      <c r="AR29" s="12" t="n"/>
      <c r="AS29" s="5" t="n"/>
      <c r="AT29" s="12" t="n"/>
      <c r="AU29" s="12" t="n"/>
      <c r="AV29" s="5" t="n"/>
      <c r="AW29" s="5" t="n"/>
      <c r="BR29" s="9" t="n"/>
      <c r="BS29" s="10" t="n"/>
      <c r="BT29" s="9" t="n"/>
      <c r="BU29" s="9" t="n"/>
      <c r="BW29" s="10" t="n"/>
      <c r="BX29" s="10" t="n"/>
      <c r="BZ29" s="10" t="n"/>
      <c r="CA29" s="10" t="n"/>
      <c r="CB29" s="10" t="n"/>
      <c r="CC29" s="10" t="n"/>
      <c r="CD29" s="10" t="n"/>
      <c r="CE29" s="10" t="n"/>
      <c r="CF29" s="10" t="n"/>
    </row>
    <row r="30">
      <c r="B30" s="14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26" t="n">
        <v>1.01</v>
      </c>
      <c r="P30" s="26" t="n"/>
      <c r="R30" s="16" t="n"/>
      <c r="S30" s="16" t="n"/>
      <c r="T30" s="16" t="n"/>
      <c r="U30" s="16" t="n"/>
      <c r="V30" s="16" t="n"/>
      <c r="W30" s="26" t="n">
        <v>420</v>
      </c>
      <c r="X30" s="11" t="n"/>
      <c r="Y30" s="17" t="n"/>
      <c r="Z30" s="17" t="n"/>
      <c r="AA30" s="16" t="n"/>
      <c r="AB30" s="16" t="n"/>
      <c r="AC30" s="16" t="n"/>
      <c r="AD30" s="17" t="n"/>
      <c r="AE30" s="17" t="n"/>
      <c r="AF30" s="17" t="n"/>
      <c r="AG30" s="17" t="n"/>
      <c r="AH30" s="17" t="n"/>
      <c r="AI30" s="17" t="n"/>
      <c r="AJ30" s="16" t="n"/>
      <c r="AK30" s="16" t="n"/>
      <c r="AL30" s="16" t="n"/>
      <c r="AM30" s="16" t="n"/>
      <c r="AQ30" s="12" t="n"/>
      <c r="AR30" s="12" t="n"/>
      <c r="AS30" s="5" t="n"/>
      <c r="AT30" s="12" t="n"/>
      <c r="AU30" s="12" t="n"/>
      <c r="AV30" s="5" t="n"/>
      <c r="AW30" s="5" t="n"/>
      <c r="BR30" s="9" t="n"/>
      <c r="BS30" s="10" t="n"/>
      <c r="BT30" s="9" t="n"/>
      <c r="BU30" s="9" t="n"/>
      <c r="BW30" s="10" t="n"/>
      <c r="BX30" s="10" t="n"/>
      <c r="BZ30" s="10" t="n"/>
      <c r="CA30" s="10" t="n"/>
      <c r="CB30" s="10" t="n"/>
      <c r="CC30" s="10" t="n"/>
      <c r="CD30" s="10" t="n"/>
      <c r="CE30" s="10" t="n"/>
      <c r="CF30" s="10" t="n"/>
    </row>
    <row r="31">
      <c r="B31" s="14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26" t="n">
        <v>1.01</v>
      </c>
      <c r="P31" s="26" t="n"/>
      <c r="R31" s="16" t="n"/>
      <c r="S31" s="16" t="n"/>
      <c r="T31" s="16" t="n"/>
      <c r="U31" s="16" t="n"/>
      <c r="V31" s="16" t="n"/>
      <c r="W31" s="26" t="n">
        <v>420</v>
      </c>
      <c r="X31" s="11" t="n"/>
      <c r="Y31" s="17" t="n"/>
      <c r="Z31" s="17" t="n"/>
      <c r="AA31" s="16" t="n"/>
      <c r="AB31" s="16" t="n"/>
      <c r="AC31" s="16" t="n"/>
      <c r="AD31" s="17" t="n"/>
      <c r="AE31" s="17" t="n"/>
      <c r="AF31" s="17" t="n"/>
      <c r="AG31" s="17" t="n"/>
      <c r="AH31" s="17" t="n"/>
      <c r="AI31" s="17" t="n"/>
      <c r="AJ31" s="16" t="n"/>
      <c r="AK31" s="16" t="n"/>
      <c r="AL31" s="16" t="n"/>
      <c r="AM31" s="16" t="n"/>
      <c r="AQ31" s="12" t="n"/>
      <c r="AR31" s="12" t="n"/>
      <c r="AS31" s="5" t="n"/>
      <c r="AT31" s="12" t="n"/>
      <c r="AU31" s="12" t="n"/>
      <c r="AV31" s="5" t="n"/>
      <c r="AW31" s="5" t="n"/>
      <c r="BR31" s="9" t="n"/>
      <c r="BS31" s="10" t="n"/>
      <c r="BT31" s="9" t="n"/>
      <c r="BU31" s="9" t="n"/>
      <c r="BW31" s="10" t="n"/>
      <c r="BX31" s="10" t="n"/>
      <c r="BZ31" s="10" t="n"/>
      <c r="CA31" s="10" t="n"/>
      <c r="CB31" s="10" t="n"/>
      <c r="CC31" s="10" t="n"/>
      <c r="CD31" s="10" t="n"/>
      <c r="CE31" s="10" t="n"/>
      <c r="CF31" s="10" t="n"/>
    </row>
    <row r="32">
      <c r="B32" s="14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26" t="n">
        <v>1.01</v>
      </c>
      <c r="P32" s="26" t="n"/>
      <c r="R32" s="16" t="n"/>
      <c r="S32" s="16" t="n"/>
      <c r="T32" s="16" t="n"/>
      <c r="U32" s="16" t="n"/>
      <c r="V32" s="16" t="n"/>
      <c r="W32" s="26" t="n">
        <v>420</v>
      </c>
      <c r="X32" s="11" t="n"/>
      <c r="Y32" s="17" t="n"/>
      <c r="Z32" s="17" t="n"/>
      <c r="AA32" s="16" t="n"/>
      <c r="AB32" s="16" t="n"/>
      <c r="AC32" s="16" t="n"/>
      <c r="AD32" s="17" t="n"/>
      <c r="AE32" s="17" t="n"/>
      <c r="AF32" s="17" t="n"/>
      <c r="AG32" s="17" t="n"/>
      <c r="AH32" s="17" t="n"/>
      <c r="AI32" s="17" t="n"/>
      <c r="AJ32" s="16" t="n"/>
      <c r="AK32" s="16" t="n"/>
      <c r="AL32" s="16" t="n"/>
      <c r="AM32" s="16" t="n"/>
      <c r="AQ32" s="12" t="n"/>
      <c r="AR32" s="12" t="n"/>
      <c r="AS32" s="5" t="n"/>
      <c r="AT32" s="12" t="n"/>
      <c r="AU32" s="12" t="n"/>
      <c r="AV32" s="5" t="n"/>
      <c r="AW32" s="5" t="n"/>
      <c r="BR32" s="9" t="n"/>
      <c r="BS32" s="10" t="n"/>
      <c r="BT32" s="9" t="n"/>
      <c r="BU32" s="9" t="n"/>
      <c r="BW32" s="10" t="n"/>
      <c r="BX32" s="10" t="n"/>
      <c r="BZ32" s="10" t="n"/>
      <c r="CA32" s="10" t="n"/>
      <c r="CB32" s="10" t="n"/>
      <c r="CC32" s="10" t="n"/>
      <c r="CD32" s="10" t="n"/>
      <c r="CE32" s="10" t="n"/>
      <c r="CF32" s="10" t="n"/>
    </row>
    <row r="33">
      <c r="B33" s="14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26" t="n">
        <v>1.01</v>
      </c>
      <c r="P33" s="26" t="n"/>
      <c r="R33" s="16" t="n"/>
      <c r="S33" s="16" t="n"/>
      <c r="T33" s="16" t="n"/>
      <c r="U33" s="16" t="n"/>
      <c r="V33" s="16" t="n"/>
      <c r="W33" s="26" t="n">
        <v>420</v>
      </c>
      <c r="X33" s="11" t="n"/>
      <c r="Y33" s="17" t="n"/>
      <c r="Z33" s="17" t="n"/>
      <c r="AA33" s="16" t="n"/>
      <c r="AB33" s="16" t="n"/>
      <c r="AC33" s="16" t="n"/>
      <c r="AD33" s="17" t="n"/>
      <c r="AE33" s="17" t="n"/>
      <c r="AF33" s="17" t="n"/>
      <c r="AG33" s="17" t="n"/>
      <c r="AH33" s="17" t="n"/>
      <c r="AI33" s="17" t="n"/>
      <c r="AJ33" s="16" t="n"/>
      <c r="AK33" s="16" t="n"/>
      <c r="AL33" s="16" t="n"/>
      <c r="AM33" s="16" t="n"/>
      <c r="AQ33" s="12" t="n"/>
      <c r="AR33" s="12" t="n"/>
      <c r="AS33" s="5" t="n"/>
      <c r="AT33" s="12" t="n"/>
      <c r="AU33" s="12" t="n"/>
      <c r="AV33" s="5" t="n"/>
      <c r="AW33" s="5" t="n"/>
      <c r="BR33" s="9" t="n"/>
      <c r="BS33" s="10" t="n"/>
      <c r="BT33" s="9" t="n"/>
      <c r="BU33" s="9" t="n"/>
      <c r="BW33" s="10" t="n"/>
      <c r="BX33" s="10" t="n"/>
      <c r="BZ33" s="10" t="n"/>
      <c r="CA33" s="10" t="n"/>
      <c r="CB33" s="10" t="n"/>
      <c r="CC33" s="10" t="n"/>
      <c r="CD33" s="10" t="n"/>
      <c r="CE33" s="10" t="n"/>
      <c r="CF33" s="10" t="n"/>
    </row>
    <row r="34">
      <c r="B34" s="14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26" t="n">
        <v>1.01</v>
      </c>
      <c r="P34" s="26" t="n"/>
      <c r="R34" s="16" t="n"/>
      <c r="S34" s="16" t="n"/>
      <c r="T34" s="16" t="n"/>
      <c r="U34" s="16" t="n"/>
      <c r="V34" s="16" t="n"/>
      <c r="W34" s="26" t="n">
        <v>420</v>
      </c>
      <c r="X34" s="11" t="n"/>
      <c r="Y34" s="17" t="n"/>
      <c r="Z34" s="17" t="n"/>
      <c r="AA34" s="16" t="n"/>
      <c r="AB34" s="16" t="n"/>
      <c r="AC34" s="16" t="n"/>
      <c r="AD34" s="17" t="n"/>
      <c r="AE34" s="17" t="n"/>
      <c r="AF34" s="17" t="n"/>
      <c r="AG34" s="17" t="n"/>
      <c r="AH34" s="17" t="n"/>
      <c r="AI34" s="17" t="n"/>
      <c r="AJ34" s="16" t="n"/>
      <c r="AK34" s="16" t="n"/>
      <c r="AL34" s="16" t="n"/>
      <c r="AM34" s="16" t="n"/>
      <c r="AQ34" s="12" t="n"/>
      <c r="AR34" s="12" t="n"/>
      <c r="AS34" s="5" t="n"/>
      <c r="AT34" s="12" t="n"/>
      <c r="AU34" s="12" t="n"/>
      <c r="AV34" s="5" t="n"/>
      <c r="AW34" s="5" t="n"/>
      <c r="BR34" s="9" t="n"/>
      <c r="BS34" s="10" t="n"/>
      <c r="BT34" s="9" t="n"/>
      <c r="BU34" s="9" t="n"/>
      <c r="BW34" s="10" t="n"/>
      <c r="BX34" s="10" t="n"/>
      <c r="BZ34" s="10" t="n"/>
      <c r="CA34" s="10" t="n"/>
      <c r="CB34" s="10" t="n"/>
      <c r="CC34" s="10" t="n"/>
      <c r="CD34" s="10" t="n"/>
      <c r="CE34" s="10" t="n"/>
      <c r="CF34" s="10" t="n"/>
    </row>
    <row r="35">
      <c r="B35" s="14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26" t="n">
        <v>1.01</v>
      </c>
      <c r="P35" s="26" t="n"/>
      <c r="R35" s="16" t="n"/>
      <c r="S35" s="16" t="n"/>
      <c r="T35" s="16" t="n"/>
      <c r="U35" s="16" t="n"/>
      <c r="V35" s="16" t="n"/>
      <c r="W35" s="26" t="n">
        <v>420</v>
      </c>
      <c r="X35" s="11" t="n"/>
      <c r="Y35" s="17" t="n"/>
      <c r="Z35" s="17" t="n"/>
      <c r="AA35" s="16" t="n"/>
      <c r="AB35" s="16" t="n"/>
      <c r="AC35" s="16" t="n"/>
      <c r="AD35" s="17" t="n"/>
      <c r="AE35" s="17" t="n"/>
      <c r="AF35" s="17" t="n"/>
      <c r="AG35" s="17" t="n"/>
      <c r="AH35" s="17" t="n"/>
      <c r="AI35" s="17" t="n"/>
      <c r="AJ35" s="16" t="n"/>
      <c r="AK35" s="16" t="n"/>
      <c r="AL35" s="16" t="n"/>
      <c r="AM35" s="16" t="n"/>
      <c r="AQ35" s="12" t="n"/>
      <c r="AR35" s="12" t="n"/>
      <c r="AS35" s="5" t="n"/>
      <c r="AT35" s="12" t="n"/>
      <c r="AU35" s="12" t="n"/>
      <c r="AV35" s="5" t="n"/>
      <c r="AW35" s="5" t="n"/>
      <c r="BR35" s="9" t="n"/>
      <c r="BS35" s="10" t="n"/>
      <c r="BT35" s="9" t="n"/>
      <c r="BU35" s="9" t="n"/>
      <c r="BW35" s="10" t="n"/>
      <c r="BX35" s="10" t="n"/>
      <c r="BZ35" s="10" t="n"/>
      <c r="CA35" s="10" t="n"/>
      <c r="CB35" s="10" t="n"/>
      <c r="CC35" s="10" t="n"/>
      <c r="CD35" s="10" t="n"/>
      <c r="CE35" s="10" t="n"/>
      <c r="CF35" s="10" t="n"/>
    </row>
    <row r="36">
      <c r="B36" s="14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26" t="n">
        <v>1.01</v>
      </c>
      <c r="P36" s="26" t="n"/>
      <c r="R36" s="16" t="n"/>
      <c r="S36" s="16" t="n"/>
      <c r="T36" s="16" t="n"/>
      <c r="U36" s="16" t="n"/>
      <c r="V36" s="16" t="n"/>
      <c r="W36" s="26" t="n">
        <v>420</v>
      </c>
      <c r="X36" s="11" t="n"/>
      <c r="Y36" s="17" t="n"/>
      <c r="Z36" s="17" t="n"/>
      <c r="AA36" s="16" t="n"/>
      <c r="AB36" s="16" t="n"/>
      <c r="AC36" s="16" t="n"/>
      <c r="AD36" s="17" t="n"/>
      <c r="AE36" s="17" t="n"/>
      <c r="AF36" s="17" t="n"/>
      <c r="AG36" s="17" t="n"/>
      <c r="AH36" s="17" t="n"/>
      <c r="AI36" s="17" t="n"/>
      <c r="AJ36" s="16" t="n"/>
      <c r="AK36" s="16" t="n"/>
      <c r="AL36" s="16" t="n"/>
      <c r="AM36" s="16" t="n"/>
      <c r="AQ36" s="12" t="n"/>
      <c r="AR36" s="12" t="n"/>
      <c r="AS36" s="5" t="n"/>
      <c r="AT36" s="12" t="n"/>
      <c r="AU36" s="12" t="n"/>
      <c r="AV36" s="5" t="n"/>
      <c r="AW36" s="5" t="n"/>
      <c r="BR36" s="9" t="n"/>
      <c r="BS36" s="10" t="n"/>
      <c r="BT36" s="9" t="n"/>
      <c r="BU36" s="9" t="n"/>
      <c r="BW36" s="10" t="n"/>
      <c r="BX36" s="10" t="n"/>
      <c r="BZ36" s="10" t="n"/>
      <c r="CA36" s="10" t="n"/>
      <c r="CB36" s="10" t="n"/>
      <c r="CC36" s="10" t="n"/>
      <c r="CD36" s="10" t="n"/>
      <c r="CE36" s="10" t="n"/>
      <c r="CF36" s="10" t="n"/>
    </row>
    <row r="37">
      <c r="B37" s="14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26" t="n">
        <v>1.01</v>
      </c>
      <c r="P37" s="26" t="n"/>
      <c r="R37" s="16" t="n"/>
      <c r="S37" s="16" t="n"/>
      <c r="T37" s="16" t="n"/>
      <c r="U37" s="16" t="n"/>
      <c r="V37" s="16" t="n"/>
      <c r="W37" s="26" t="n">
        <v>420</v>
      </c>
      <c r="X37" s="11" t="n"/>
      <c r="Y37" s="17" t="n"/>
      <c r="Z37" s="17" t="n"/>
      <c r="AA37" s="16" t="n"/>
      <c r="AB37" s="16" t="n"/>
      <c r="AC37" s="16" t="n"/>
      <c r="AD37" s="17" t="n"/>
      <c r="AE37" s="17" t="n"/>
      <c r="AF37" s="17" t="n"/>
      <c r="AG37" s="17" t="n"/>
      <c r="AH37" s="17" t="n"/>
      <c r="AI37" s="17" t="n"/>
      <c r="AJ37" s="16" t="n"/>
      <c r="AK37" s="16" t="n"/>
      <c r="AL37" s="16" t="n"/>
      <c r="AM37" s="16" t="n"/>
      <c r="AQ37" s="12" t="n"/>
      <c r="AR37" s="12" t="n"/>
      <c r="AS37" s="5" t="n"/>
      <c r="AT37" s="12" t="n"/>
      <c r="AU37" s="12" t="n"/>
      <c r="AV37" s="5" t="n"/>
      <c r="AW37" s="5" t="n"/>
      <c r="BR37" s="9" t="n"/>
      <c r="BS37" s="10" t="n"/>
      <c r="BT37" s="9" t="n"/>
      <c r="BU37" s="9" t="n"/>
      <c r="BW37" s="10" t="n"/>
      <c r="BX37" s="10" t="n"/>
      <c r="BZ37" s="10" t="n"/>
      <c r="CA37" s="10" t="n"/>
      <c r="CB37" s="10" t="n"/>
      <c r="CC37" s="10" t="n"/>
      <c r="CD37" s="10" t="n"/>
      <c r="CE37" s="10" t="n"/>
      <c r="CF37" s="10" t="n"/>
    </row>
    <row r="38">
      <c r="B38" s="14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26" t="n">
        <v>1.01</v>
      </c>
      <c r="P38" s="26" t="n"/>
      <c r="R38" s="16" t="n"/>
      <c r="S38" s="16" t="n"/>
      <c r="T38" s="16" t="n"/>
      <c r="U38" s="16" t="n"/>
      <c r="V38" s="16" t="n"/>
      <c r="W38" s="26" t="n">
        <v>420</v>
      </c>
      <c r="X38" s="11" t="n"/>
      <c r="Y38" s="17" t="n"/>
      <c r="Z38" s="17" t="n"/>
      <c r="AA38" s="16" t="n"/>
      <c r="AB38" s="16" t="n"/>
      <c r="AC38" s="16" t="n"/>
      <c r="AD38" s="17" t="n"/>
      <c r="AE38" s="17" t="n"/>
      <c r="AF38" s="17" t="n"/>
      <c r="AG38" s="17" t="n"/>
      <c r="AH38" s="17" t="n"/>
      <c r="AI38" s="17" t="n"/>
      <c r="AJ38" s="16" t="n"/>
      <c r="AK38" s="16" t="n"/>
      <c r="AL38" s="16" t="n"/>
      <c r="AM38" s="16" t="n"/>
      <c r="AQ38" s="12" t="n"/>
      <c r="AR38" s="12" t="n"/>
      <c r="AS38" s="5" t="n"/>
      <c r="AT38" s="12" t="n"/>
      <c r="AU38" s="12" t="n"/>
      <c r="AV38" s="5" t="n"/>
      <c r="AW38" s="5" t="n"/>
      <c r="BR38" s="9" t="n"/>
      <c r="BS38" s="10" t="n"/>
      <c r="BT38" s="9" t="n"/>
      <c r="BU38" s="9" t="n"/>
      <c r="BW38" s="10" t="n"/>
      <c r="BX38" s="10" t="n"/>
      <c r="BZ38" s="10" t="n"/>
      <c r="CA38" s="10" t="n"/>
      <c r="CB38" s="10" t="n"/>
      <c r="CC38" s="10" t="n"/>
      <c r="CD38" s="10" t="n"/>
      <c r="CE38" s="10" t="n"/>
      <c r="CF38" s="10" t="n"/>
    </row>
    <row r="39">
      <c r="B39" s="14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26" t="n">
        <v>1.01</v>
      </c>
      <c r="P39" s="26" t="n"/>
      <c r="R39" s="16" t="n"/>
      <c r="S39" s="16" t="n"/>
      <c r="T39" s="16" t="n"/>
      <c r="U39" s="16" t="n"/>
      <c r="V39" s="16" t="n"/>
      <c r="W39" s="26" t="n">
        <v>420</v>
      </c>
      <c r="X39" s="11" t="n"/>
      <c r="Y39" s="17" t="n"/>
      <c r="Z39" s="17" t="n"/>
      <c r="AA39" s="16" t="n"/>
      <c r="AB39" s="16" t="n"/>
      <c r="AC39" s="16" t="n"/>
      <c r="AD39" s="17" t="n"/>
      <c r="AE39" s="17" t="n"/>
      <c r="AF39" s="17" t="n"/>
      <c r="AG39" s="17" t="n"/>
      <c r="AH39" s="17" t="n"/>
      <c r="AI39" s="17" t="n"/>
      <c r="AJ39" s="16" t="n"/>
      <c r="AK39" s="16" t="n"/>
      <c r="AL39" s="16" t="n"/>
      <c r="AM39" s="16" t="n"/>
      <c r="AQ39" s="12" t="n"/>
      <c r="AR39" s="12" t="n"/>
      <c r="AS39" s="5" t="n"/>
      <c r="AT39" s="12" t="n"/>
      <c r="AU39" s="12" t="n"/>
      <c r="AV39" s="5" t="n"/>
      <c r="AW39" s="5" t="n"/>
      <c r="BR39" s="9" t="n"/>
      <c r="BS39" s="10" t="n"/>
      <c r="BT39" s="9" t="n"/>
      <c r="BU39" s="9" t="n"/>
      <c r="BW39" s="10" t="n"/>
      <c r="BX39" s="10" t="n"/>
      <c r="BZ39" s="10" t="n"/>
      <c r="CA39" s="10" t="n"/>
      <c r="CB39" s="10" t="n"/>
      <c r="CC39" s="10" t="n"/>
      <c r="CD39" s="10" t="n"/>
      <c r="CE39" s="10" t="n"/>
      <c r="CF39" s="10" t="n"/>
    </row>
    <row r="40">
      <c r="B40" s="14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26" t="n">
        <v>1.01</v>
      </c>
      <c r="P40" s="26" t="n"/>
      <c r="R40" s="16" t="n"/>
      <c r="S40" s="16" t="n"/>
      <c r="T40" s="16" t="n"/>
      <c r="U40" s="16" t="n"/>
      <c r="V40" s="16" t="n"/>
      <c r="W40" s="26" t="n">
        <v>420</v>
      </c>
      <c r="X40" s="11" t="n"/>
      <c r="Y40" s="17" t="n"/>
      <c r="Z40" s="17" t="n"/>
      <c r="AA40" s="16" t="n"/>
      <c r="AB40" s="16" t="n"/>
      <c r="AC40" s="16" t="n"/>
      <c r="AD40" s="17" t="n"/>
      <c r="AE40" s="17" t="n"/>
      <c r="AF40" s="17" t="n"/>
      <c r="AG40" s="17" t="n"/>
      <c r="AH40" s="17" t="n"/>
      <c r="AI40" s="17" t="n"/>
      <c r="AJ40" s="16" t="n"/>
      <c r="AK40" s="16" t="n"/>
      <c r="AL40" s="16" t="n"/>
      <c r="AM40" s="16" t="n"/>
      <c r="AQ40" s="12" t="n"/>
      <c r="AR40" s="12" t="n"/>
      <c r="AS40" s="5" t="n"/>
      <c r="AT40" s="12" t="n"/>
      <c r="AU40" s="12" t="n"/>
      <c r="AV40" s="5" t="n"/>
      <c r="AW40" s="5" t="n"/>
      <c r="BR40" s="9" t="n"/>
      <c r="BS40" s="10" t="n"/>
      <c r="BT40" s="9" t="n"/>
      <c r="BU40" s="9" t="n"/>
      <c r="BW40" s="10" t="n"/>
      <c r="BX40" s="10" t="n"/>
      <c r="BZ40" s="10" t="n"/>
      <c r="CA40" s="10" t="n"/>
      <c r="CB40" s="10" t="n"/>
      <c r="CC40" s="10" t="n"/>
      <c r="CD40" s="10" t="n"/>
      <c r="CE40" s="10" t="n"/>
      <c r="CF40" s="10" t="n"/>
    </row>
    <row r="41">
      <c r="B41" s="14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26" t="n">
        <v>1.01</v>
      </c>
      <c r="P41" s="26" t="n"/>
      <c r="R41" s="16" t="n"/>
      <c r="S41" s="16" t="n"/>
      <c r="T41" s="16" t="n"/>
      <c r="U41" s="16" t="n"/>
      <c r="V41" s="16" t="n"/>
      <c r="W41" s="26" t="n">
        <v>420</v>
      </c>
      <c r="X41" s="11" t="n"/>
      <c r="Y41" s="17" t="n"/>
      <c r="Z41" s="17" t="n"/>
      <c r="AA41" s="16" t="n"/>
      <c r="AB41" s="16" t="n"/>
      <c r="AC41" s="16" t="n"/>
      <c r="AD41" s="17" t="n"/>
      <c r="AE41" s="17" t="n"/>
      <c r="AF41" s="17" t="n"/>
      <c r="AG41" s="17" t="n"/>
      <c r="AH41" s="17" t="n"/>
      <c r="AI41" s="17" t="n"/>
      <c r="AJ41" s="16" t="n"/>
      <c r="AK41" s="16" t="n"/>
      <c r="AL41" s="16" t="n"/>
      <c r="AM41" s="16" t="n"/>
      <c r="AQ41" s="12" t="n"/>
      <c r="AR41" s="12" t="n"/>
      <c r="AS41" s="5" t="n"/>
      <c r="AT41" s="12" t="n"/>
      <c r="AU41" s="12" t="n"/>
      <c r="AV41" s="5" t="n"/>
      <c r="AW41" s="5" t="n"/>
      <c r="BR41" s="9" t="n"/>
      <c r="BS41" s="10" t="n"/>
      <c r="BT41" s="9" t="n"/>
      <c r="BU41" s="9" t="n"/>
      <c r="BW41" s="10" t="n"/>
      <c r="BX41" s="10" t="n"/>
      <c r="BZ41" s="10" t="n"/>
      <c r="CA41" s="10" t="n"/>
      <c r="CB41" s="10" t="n"/>
      <c r="CC41" s="10" t="n"/>
      <c r="CD41" s="10" t="n"/>
      <c r="CE41" s="10" t="n"/>
      <c r="CF41" s="10" t="n"/>
    </row>
    <row r="42">
      <c r="B42" s="14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26" t="n">
        <v>1.01</v>
      </c>
      <c r="P42" s="26" t="n"/>
      <c r="R42" s="16" t="n"/>
      <c r="S42" s="16" t="n"/>
      <c r="T42" s="16" t="n"/>
      <c r="U42" s="16" t="n"/>
      <c r="V42" s="16" t="n"/>
      <c r="W42" s="26" t="n">
        <v>420</v>
      </c>
      <c r="X42" s="11" t="n"/>
      <c r="Y42" s="17" t="n"/>
      <c r="Z42" s="17" t="n"/>
      <c r="AA42" s="16" t="n"/>
      <c r="AB42" s="16" t="n"/>
      <c r="AC42" s="16" t="n"/>
      <c r="AD42" s="17" t="n"/>
      <c r="AE42" s="17" t="n"/>
      <c r="AF42" s="17" t="n"/>
      <c r="AG42" s="17" t="n"/>
      <c r="AH42" s="17" t="n"/>
      <c r="AI42" s="17" t="n"/>
      <c r="AJ42" s="16" t="n"/>
      <c r="AK42" s="16" t="n"/>
      <c r="AL42" s="16" t="n"/>
      <c r="AM42" s="16" t="n"/>
      <c r="AQ42" s="12" t="n"/>
      <c r="AR42" s="12" t="n"/>
      <c r="AS42" s="5" t="n"/>
      <c r="AT42" s="12" t="n"/>
      <c r="AU42" s="12" t="n"/>
      <c r="AV42" s="5" t="n"/>
      <c r="AW42" s="5" t="n"/>
      <c r="BR42" s="9" t="n"/>
      <c r="BS42" s="10" t="n"/>
      <c r="BT42" s="9" t="n"/>
      <c r="BU42" s="9" t="n"/>
      <c r="BW42" s="10" t="n"/>
      <c r="BX42" s="10" t="n"/>
      <c r="BZ42" s="10" t="n"/>
      <c r="CA42" s="10" t="n"/>
      <c r="CB42" s="10" t="n"/>
      <c r="CC42" s="10" t="n"/>
      <c r="CD42" s="10" t="n"/>
      <c r="CE42" s="10" t="n"/>
      <c r="CF42" s="10" t="n"/>
    </row>
    <row r="43">
      <c r="B43" s="14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26" t="n">
        <v>1.01</v>
      </c>
      <c r="P43" s="26" t="n"/>
      <c r="R43" s="16" t="n"/>
      <c r="S43" s="16" t="n"/>
      <c r="T43" s="16" t="n"/>
      <c r="U43" s="16" t="n"/>
      <c r="V43" s="16" t="n"/>
      <c r="W43" s="26" t="n">
        <v>420</v>
      </c>
      <c r="X43" s="11" t="n"/>
      <c r="Y43" s="17" t="n"/>
      <c r="Z43" s="17" t="n"/>
      <c r="AA43" s="16" t="n"/>
      <c r="AB43" s="16" t="n"/>
      <c r="AC43" s="16" t="n"/>
      <c r="AD43" s="17" t="n"/>
      <c r="AE43" s="17" t="n"/>
      <c r="AF43" s="17" t="n"/>
      <c r="AG43" s="17" t="n"/>
      <c r="AH43" s="17" t="n"/>
      <c r="AI43" s="17" t="n"/>
      <c r="AJ43" s="16" t="n"/>
      <c r="AK43" s="16" t="n"/>
      <c r="AL43" s="16" t="n"/>
      <c r="AM43" s="16" t="n"/>
      <c r="AQ43" s="12" t="n"/>
      <c r="AR43" s="12" t="n"/>
      <c r="AS43" s="5" t="n"/>
      <c r="AT43" s="12" t="n"/>
      <c r="AU43" s="12" t="n"/>
      <c r="AV43" s="5" t="n"/>
      <c r="AW43" s="5" t="n"/>
      <c r="BR43" s="9" t="n"/>
      <c r="BS43" s="10" t="n"/>
      <c r="BT43" s="9" t="n"/>
      <c r="BU43" s="9" t="n"/>
      <c r="BW43" s="10" t="n"/>
      <c r="BX43" s="10" t="n"/>
      <c r="BZ43" s="10" t="n"/>
      <c r="CA43" s="10" t="n"/>
      <c r="CB43" s="10" t="n"/>
      <c r="CC43" s="10" t="n"/>
      <c r="CD43" s="10" t="n"/>
      <c r="CE43" s="10" t="n"/>
      <c r="CF43" s="10" t="n"/>
    </row>
    <row r="44">
      <c r="B44" s="14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26" t="n">
        <v>1.01</v>
      </c>
      <c r="P44" s="26" t="n"/>
      <c r="R44" s="16" t="n"/>
      <c r="S44" s="16" t="n"/>
      <c r="T44" s="16" t="n"/>
      <c r="U44" s="16" t="n"/>
      <c r="V44" s="16" t="n"/>
      <c r="W44" s="26" t="n">
        <v>420</v>
      </c>
      <c r="X44" s="11" t="n"/>
      <c r="Y44" s="17" t="n"/>
      <c r="Z44" s="17" t="n"/>
      <c r="AA44" s="16" t="n"/>
      <c r="AB44" s="16" t="n"/>
      <c r="AC44" s="16" t="n"/>
      <c r="AD44" s="17" t="n"/>
      <c r="AE44" s="17" t="n"/>
      <c r="AF44" s="17" t="n"/>
      <c r="AG44" s="17" t="n"/>
      <c r="AH44" s="17" t="n"/>
      <c r="AI44" s="17" t="n"/>
      <c r="AJ44" s="16" t="n"/>
      <c r="AK44" s="16" t="n"/>
      <c r="AL44" s="16" t="n"/>
      <c r="AM44" s="16" t="n"/>
      <c r="AQ44" s="12" t="n"/>
      <c r="AR44" s="12" t="n"/>
      <c r="AS44" s="5" t="n"/>
      <c r="AT44" s="12" t="n"/>
      <c r="AU44" s="12" t="n"/>
      <c r="AV44" s="5" t="n"/>
      <c r="AW44" s="5" t="n"/>
      <c r="BR44" s="9" t="n"/>
      <c r="BS44" s="10" t="n"/>
      <c r="BT44" s="9" t="n"/>
      <c r="BU44" s="9" t="n"/>
      <c r="BW44" s="10" t="n"/>
      <c r="BX44" s="10" t="n"/>
      <c r="BZ44" s="10" t="n"/>
      <c r="CA44" s="10" t="n"/>
      <c r="CB44" s="10" t="n"/>
      <c r="CC44" s="10" t="n"/>
      <c r="CD44" s="10" t="n"/>
      <c r="CE44" s="10" t="n"/>
      <c r="CF44" s="10" t="n"/>
    </row>
    <row r="45">
      <c r="B45" s="14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26" t="n">
        <v>1.01</v>
      </c>
      <c r="P45" s="26" t="n"/>
      <c r="R45" s="16" t="n"/>
      <c r="S45" s="16" t="n"/>
      <c r="T45" s="16" t="n"/>
      <c r="U45" s="16" t="n"/>
      <c r="V45" s="16" t="n"/>
      <c r="W45" s="26" t="n">
        <v>420</v>
      </c>
      <c r="X45" s="11" t="n"/>
      <c r="Y45" s="17" t="n"/>
      <c r="Z45" s="17" t="n"/>
      <c r="AA45" s="16" t="n"/>
      <c r="AB45" s="16" t="n"/>
      <c r="AC45" s="16" t="n"/>
      <c r="AD45" s="17" t="n"/>
      <c r="AE45" s="17" t="n"/>
      <c r="AF45" s="17" t="n"/>
      <c r="AG45" s="17" t="n"/>
      <c r="AH45" s="17" t="n"/>
      <c r="AI45" s="17" t="n"/>
      <c r="AJ45" s="16" t="n"/>
      <c r="AK45" s="16" t="n"/>
      <c r="AL45" s="16" t="n"/>
      <c r="AM45" s="16" t="n"/>
      <c r="AQ45" s="12" t="n"/>
      <c r="AR45" s="12" t="n"/>
      <c r="AS45" s="5" t="n"/>
      <c r="AT45" s="12" t="n"/>
      <c r="AU45" s="12" t="n"/>
      <c r="AV45" s="5" t="n"/>
      <c r="AW45" s="5" t="n"/>
      <c r="BR45" s="9" t="n"/>
      <c r="BS45" s="10" t="n"/>
      <c r="BT45" s="9" t="n"/>
      <c r="BU45" s="9" t="n"/>
      <c r="BW45" s="10" t="n"/>
      <c r="BX45" s="10" t="n"/>
      <c r="BZ45" s="10" t="n"/>
      <c r="CA45" s="10" t="n"/>
      <c r="CB45" s="10" t="n"/>
      <c r="CC45" s="10" t="n"/>
      <c r="CD45" s="10" t="n"/>
      <c r="CE45" s="10" t="n"/>
      <c r="CF45" s="10" t="n"/>
    </row>
    <row r="46">
      <c r="B46" s="14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26" t="n">
        <v>1.01</v>
      </c>
      <c r="P46" s="26" t="n"/>
      <c r="R46" s="16" t="n"/>
      <c r="S46" s="16" t="n"/>
      <c r="T46" s="16" t="n"/>
      <c r="U46" s="16" t="n"/>
      <c r="V46" s="16" t="n"/>
      <c r="W46" s="26" t="n">
        <v>420</v>
      </c>
      <c r="X46" s="11" t="n"/>
      <c r="Y46" s="17" t="n"/>
      <c r="Z46" s="17" t="n"/>
      <c r="AA46" s="16" t="n"/>
      <c r="AB46" s="16" t="n"/>
      <c r="AC46" s="16" t="n"/>
      <c r="AD46" s="17" t="n"/>
      <c r="AE46" s="17" t="n"/>
      <c r="AF46" s="17" t="n"/>
      <c r="AG46" s="17" t="n"/>
      <c r="AH46" s="17" t="n"/>
      <c r="AI46" s="17" t="n"/>
      <c r="AJ46" s="16" t="n"/>
      <c r="AK46" s="16" t="n"/>
      <c r="AL46" s="16" t="n"/>
      <c r="AM46" s="16" t="n"/>
      <c r="AQ46" s="12" t="n"/>
      <c r="AR46" s="12" t="n"/>
      <c r="AS46" s="5" t="n"/>
      <c r="AT46" s="12" t="n"/>
      <c r="AU46" s="12" t="n"/>
      <c r="AV46" s="5" t="n"/>
      <c r="AW46" s="5" t="n"/>
      <c r="BR46" s="9" t="n"/>
      <c r="BS46" s="10" t="n"/>
      <c r="BT46" s="9" t="n"/>
      <c r="BU46" s="9" t="n"/>
      <c r="BW46" s="10" t="n"/>
      <c r="BX46" s="10" t="n"/>
      <c r="BZ46" s="10" t="n"/>
      <c r="CA46" s="10" t="n"/>
      <c r="CB46" s="10" t="n"/>
      <c r="CC46" s="10" t="n"/>
      <c r="CD46" s="10" t="n"/>
      <c r="CE46" s="10" t="n"/>
      <c r="CF46" s="10" t="n"/>
    </row>
    <row r="47">
      <c r="B47" s="14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26" t="n">
        <v>1.01</v>
      </c>
      <c r="P47" s="26" t="n"/>
      <c r="R47" s="16" t="n"/>
      <c r="S47" s="16" t="n"/>
      <c r="T47" s="16" t="n"/>
      <c r="U47" s="16" t="n"/>
      <c r="V47" s="16" t="n"/>
      <c r="W47" s="26" t="n">
        <v>420</v>
      </c>
      <c r="X47" s="11" t="n"/>
      <c r="Y47" s="17" t="n"/>
      <c r="Z47" s="17" t="n"/>
      <c r="AA47" s="16" t="n"/>
      <c r="AB47" s="16" t="n"/>
      <c r="AC47" s="16" t="n"/>
      <c r="AD47" s="17" t="n"/>
      <c r="AE47" s="17" t="n"/>
      <c r="AF47" s="17" t="n"/>
      <c r="AG47" s="17" t="n"/>
      <c r="AH47" s="17" t="n"/>
      <c r="AI47" s="17" t="n"/>
      <c r="AJ47" s="16" t="n"/>
      <c r="AK47" s="16" t="n"/>
      <c r="AL47" s="16" t="n"/>
      <c r="AM47" s="16" t="n"/>
      <c r="AQ47" s="12" t="n"/>
      <c r="AR47" s="12" t="n"/>
      <c r="AS47" s="5" t="n"/>
      <c r="AT47" s="12" t="n"/>
      <c r="AU47" s="12" t="n"/>
      <c r="AV47" s="5" t="n"/>
      <c r="AW47" s="5" t="n"/>
      <c r="BR47" s="9" t="n"/>
      <c r="BS47" s="10" t="n"/>
      <c r="BT47" s="9" t="n"/>
      <c r="BU47" s="9" t="n"/>
      <c r="BW47" s="10" t="n"/>
      <c r="BX47" s="10" t="n"/>
      <c r="BZ47" s="10" t="n"/>
      <c r="CA47" s="10" t="n"/>
      <c r="CB47" s="10" t="n"/>
      <c r="CC47" s="10" t="n"/>
      <c r="CD47" s="10" t="n"/>
      <c r="CE47" s="10" t="n"/>
      <c r="CF47" s="10" t="n"/>
    </row>
    <row r="48">
      <c r="B48" s="14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26" t="n">
        <v>1.01</v>
      </c>
      <c r="P48" s="26" t="n"/>
      <c r="R48" s="16" t="n"/>
      <c r="S48" s="16" t="n"/>
      <c r="T48" s="16" t="n"/>
      <c r="U48" s="16" t="n"/>
      <c r="V48" s="16" t="n"/>
      <c r="W48" s="26" t="n">
        <v>420</v>
      </c>
      <c r="X48" s="11" t="n"/>
      <c r="Y48" s="17" t="n"/>
      <c r="Z48" s="17" t="n"/>
      <c r="AA48" s="16" t="n"/>
      <c r="AB48" s="16" t="n"/>
      <c r="AC48" s="16" t="n"/>
      <c r="AD48" s="17" t="n"/>
      <c r="AE48" s="17" t="n"/>
      <c r="AF48" s="17" t="n"/>
      <c r="AG48" s="17" t="n"/>
      <c r="AH48" s="17" t="n"/>
      <c r="AI48" s="17" t="n"/>
      <c r="AJ48" s="16" t="n"/>
      <c r="AK48" s="16" t="n"/>
      <c r="AL48" s="16" t="n"/>
      <c r="AM48" s="16" t="n"/>
      <c r="AQ48" s="12" t="n"/>
      <c r="AR48" s="12" t="n"/>
      <c r="AS48" s="5" t="n"/>
      <c r="AT48" s="12" t="n"/>
      <c r="AU48" s="12" t="n"/>
      <c r="AV48" s="5" t="n"/>
      <c r="AW48" s="5" t="n"/>
      <c r="BR48" s="9" t="n"/>
      <c r="BS48" s="10" t="n"/>
      <c r="BT48" s="9" t="n"/>
      <c r="BU48" s="9" t="n"/>
      <c r="BW48" s="10" t="n"/>
      <c r="BX48" s="10" t="n"/>
      <c r="BZ48" s="10" t="n"/>
      <c r="CA48" s="10" t="n"/>
      <c r="CB48" s="10" t="n"/>
      <c r="CC48" s="10" t="n"/>
      <c r="CD48" s="10" t="n"/>
      <c r="CE48" s="10" t="n"/>
      <c r="CF48" s="10" t="n"/>
    </row>
    <row r="49">
      <c r="B49" s="14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26" t="n">
        <v>1.01</v>
      </c>
      <c r="P49" s="26" t="n"/>
      <c r="R49" s="16" t="n"/>
      <c r="S49" s="16" t="n"/>
      <c r="T49" s="16" t="n"/>
      <c r="U49" s="16" t="n"/>
      <c r="V49" s="16" t="n"/>
      <c r="W49" s="26" t="n">
        <v>420</v>
      </c>
      <c r="X49" s="11" t="n"/>
      <c r="Y49" s="17" t="n"/>
      <c r="Z49" s="17" t="n"/>
      <c r="AA49" s="16" t="n"/>
      <c r="AB49" s="16" t="n"/>
      <c r="AC49" s="16" t="n"/>
      <c r="AD49" s="17" t="n"/>
      <c r="AE49" s="17" t="n"/>
      <c r="AF49" s="17" t="n"/>
      <c r="AG49" s="17" t="n"/>
      <c r="AH49" s="17" t="n"/>
      <c r="AI49" s="17" t="n"/>
      <c r="AJ49" s="16" t="n"/>
      <c r="AK49" s="16" t="n"/>
      <c r="AL49" s="16" t="n"/>
      <c r="AM49" s="16" t="n"/>
      <c r="AQ49" s="12" t="n"/>
      <c r="AR49" s="12" t="n"/>
      <c r="AS49" s="5" t="n"/>
      <c r="AT49" s="12" t="n"/>
      <c r="AU49" s="12" t="n"/>
      <c r="AV49" s="5" t="n"/>
      <c r="AW49" s="5" t="n"/>
      <c r="BR49" s="9" t="n"/>
      <c r="BS49" s="10" t="n"/>
      <c r="BT49" s="9" t="n"/>
      <c r="BU49" s="9" t="n"/>
      <c r="BW49" s="10" t="n"/>
      <c r="BX49" s="10" t="n"/>
      <c r="BZ49" s="10" t="n"/>
      <c r="CA49" s="10" t="n"/>
      <c r="CB49" s="10" t="n"/>
      <c r="CC49" s="10" t="n"/>
      <c r="CD49" s="10" t="n"/>
      <c r="CE49" s="10" t="n"/>
      <c r="CF49" s="10" t="n"/>
    </row>
    <row r="50">
      <c r="B50" s="14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26" t="n">
        <v>1.01</v>
      </c>
      <c r="P50" s="26" t="n"/>
      <c r="R50" s="16" t="n"/>
      <c r="S50" s="16" t="n"/>
      <c r="T50" s="16" t="n"/>
      <c r="U50" s="16" t="n"/>
      <c r="V50" s="16" t="n"/>
      <c r="W50" s="26" t="n">
        <v>420</v>
      </c>
      <c r="X50" s="11" t="n"/>
      <c r="Y50" s="17" t="n"/>
      <c r="Z50" s="17" t="n"/>
      <c r="AA50" s="16" t="n"/>
      <c r="AB50" s="16" t="n"/>
      <c r="AC50" s="16" t="n"/>
      <c r="AD50" s="17" t="n"/>
      <c r="AE50" s="17" t="n"/>
      <c r="AF50" s="17" t="n"/>
      <c r="AG50" s="17" t="n"/>
      <c r="AH50" s="17" t="n"/>
      <c r="AI50" s="17" t="n"/>
      <c r="AJ50" s="16" t="n"/>
      <c r="AK50" s="16" t="n"/>
      <c r="AL50" s="16" t="n"/>
      <c r="AM50" s="16" t="n"/>
      <c r="AQ50" s="12" t="n"/>
      <c r="AR50" s="12" t="n"/>
      <c r="AS50" s="5" t="n"/>
      <c r="AT50" s="12" t="n"/>
      <c r="AU50" s="12" t="n"/>
      <c r="AV50" s="5" t="n"/>
      <c r="AW50" s="5" t="n"/>
      <c r="BR50" s="9" t="n"/>
      <c r="BS50" s="10" t="n"/>
      <c r="BT50" s="9" t="n"/>
      <c r="BU50" s="9" t="n"/>
      <c r="BW50" s="10" t="n"/>
      <c r="BX50" s="10" t="n"/>
      <c r="BZ50" s="10" t="n"/>
      <c r="CA50" s="10" t="n"/>
      <c r="CB50" s="10" t="n"/>
      <c r="CC50" s="10" t="n"/>
      <c r="CD50" s="10" t="n"/>
      <c r="CE50" s="10" t="n"/>
      <c r="CF50" s="10" t="n"/>
    </row>
    <row r="51">
      <c r="B51" s="14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26" t="n">
        <v>1.01</v>
      </c>
      <c r="P51" s="26" t="n"/>
      <c r="R51" s="16" t="n"/>
      <c r="S51" s="16" t="n"/>
      <c r="T51" s="16" t="n"/>
      <c r="U51" s="16" t="n"/>
      <c r="V51" s="16" t="n"/>
      <c r="W51" s="26" t="n">
        <v>420</v>
      </c>
      <c r="X51" s="11" t="n"/>
      <c r="Y51" s="17" t="n"/>
      <c r="Z51" s="17" t="n"/>
      <c r="AA51" s="16" t="n"/>
      <c r="AB51" s="16" t="n"/>
      <c r="AC51" s="16" t="n"/>
      <c r="AD51" s="17" t="n"/>
      <c r="AE51" s="17" t="n"/>
      <c r="AF51" s="17" t="n"/>
      <c r="AG51" s="17" t="n"/>
      <c r="AH51" s="17" t="n"/>
      <c r="AI51" s="17" t="n"/>
      <c r="AJ51" s="16" t="n"/>
      <c r="AK51" s="16" t="n"/>
      <c r="AL51" s="16" t="n"/>
      <c r="AM51" s="16" t="n"/>
      <c r="AQ51" s="12" t="n"/>
      <c r="AR51" s="12" t="n"/>
      <c r="AS51" s="5" t="n"/>
      <c r="AT51" s="12" t="n"/>
      <c r="AU51" s="12" t="n"/>
      <c r="AV51" s="5" t="n"/>
      <c r="AW51" s="5" t="n"/>
      <c r="BR51" s="9" t="n"/>
      <c r="BS51" s="10" t="n"/>
      <c r="BT51" s="9" t="n"/>
      <c r="BU51" s="9" t="n"/>
      <c r="BW51" s="10" t="n"/>
      <c r="BX51" s="10" t="n"/>
      <c r="BZ51" s="10" t="n"/>
      <c r="CA51" s="10" t="n"/>
      <c r="CB51" s="10" t="n"/>
      <c r="CC51" s="10" t="n"/>
      <c r="CD51" s="10" t="n"/>
      <c r="CE51" s="10" t="n"/>
      <c r="CF51" s="10" t="n"/>
    </row>
    <row r="52">
      <c r="B52" s="14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26" t="n">
        <v>1.01</v>
      </c>
      <c r="P52" s="26" t="n"/>
      <c r="R52" s="16" t="n"/>
      <c r="S52" s="16" t="n"/>
      <c r="T52" s="16" t="n"/>
      <c r="U52" s="16" t="n"/>
      <c r="V52" s="16" t="n"/>
      <c r="W52" s="26" t="n">
        <v>420</v>
      </c>
      <c r="X52" s="11" t="n"/>
      <c r="Y52" s="17" t="n"/>
      <c r="Z52" s="17" t="n"/>
      <c r="AA52" s="16" t="n"/>
      <c r="AB52" s="16" t="n"/>
      <c r="AC52" s="16" t="n"/>
      <c r="AD52" s="17" t="n"/>
      <c r="AE52" s="17" t="n"/>
      <c r="AF52" s="17" t="n"/>
      <c r="AG52" s="17" t="n"/>
      <c r="AH52" s="17" t="n"/>
      <c r="AI52" s="17" t="n"/>
      <c r="AJ52" s="16" t="n"/>
      <c r="AK52" s="16" t="n"/>
      <c r="AL52" s="16" t="n"/>
      <c r="AM52" s="16" t="n"/>
      <c r="AQ52" s="12" t="n"/>
      <c r="AR52" s="12" t="n"/>
      <c r="AS52" s="5" t="n"/>
      <c r="AT52" s="12" t="n"/>
      <c r="AU52" s="12" t="n"/>
      <c r="AV52" s="5" t="n"/>
      <c r="AW52" s="5" t="n"/>
      <c r="BR52" s="9" t="n"/>
      <c r="BS52" s="10" t="n"/>
      <c r="BT52" s="9" t="n"/>
      <c r="BU52" s="9" t="n"/>
      <c r="BW52" s="10" t="n"/>
      <c r="BX52" s="10" t="n"/>
      <c r="BZ52" s="10" t="n"/>
      <c r="CA52" s="10" t="n"/>
      <c r="CB52" s="10" t="n"/>
      <c r="CC52" s="10" t="n"/>
      <c r="CD52" s="10" t="n"/>
      <c r="CE52" s="10" t="n"/>
      <c r="CF52" s="10" t="n"/>
    </row>
    <row r="53">
      <c r="B53" s="14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26" t="n">
        <v>1.01</v>
      </c>
      <c r="P53" s="26" t="n"/>
      <c r="R53" s="16" t="n"/>
      <c r="S53" s="16" t="n"/>
      <c r="T53" s="16" t="n"/>
      <c r="U53" s="16" t="n"/>
      <c r="V53" s="16" t="n"/>
      <c r="W53" s="26" t="n">
        <v>420</v>
      </c>
      <c r="X53" s="11" t="n"/>
      <c r="Y53" s="17" t="n"/>
      <c r="Z53" s="17" t="n"/>
      <c r="AA53" s="16" t="n"/>
      <c r="AB53" s="16" t="n"/>
      <c r="AC53" s="16" t="n"/>
      <c r="AD53" s="17" t="n"/>
      <c r="AE53" s="17" t="n"/>
      <c r="AF53" s="17" t="n"/>
      <c r="AG53" s="17" t="n"/>
      <c r="AH53" s="17" t="n"/>
      <c r="AI53" s="17" t="n"/>
      <c r="AJ53" s="16" t="n"/>
      <c r="AK53" s="16" t="n"/>
      <c r="AL53" s="16" t="n"/>
      <c r="AM53" s="16" t="n"/>
      <c r="AQ53" s="12" t="n"/>
      <c r="AR53" s="12" t="n"/>
      <c r="AS53" s="5" t="n"/>
      <c r="AT53" s="12" t="n"/>
      <c r="AU53" s="12" t="n"/>
      <c r="AV53" s="5" t="n"/>
      <c r="AW53" s="5" t="n"/>
      <c r="BR53" s="9" t="n"/>
      <c r="BS53" s="10" t="n"/>
      <c r="BT53" s="9" t="n"/>
      <c r="BU53" s="9" t="n"/>
      <c r="BW53" s="10" t="n"/>
      <c r="BX53" s="10" t="n"/>
      <c r="BZ53" s="10" t="n"/>
      <c r="CA53" s="10" t="n"/>
      <c r="CB53" s="10" t="n"/>
      <c r="CC53" s="10" t="n"/>
      <c r="CD53" s="10" t="n"/>
      <c r="CE53" s="10" t="n"/>
      <c r="CF53" s="10" t="n"/>
    </row>
    <row r="54">
      <c r="B54" s="14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26" t="n">
        <v>1.01</v>
      </c>
      <c r="P54" s="26" t="n"/>
      <c r="R54" s="16" t="n"/>
      <c r="S54" s="16" t="n"/>
      <c r="T54" s="16" t="n"/>
      <c r="U54" s="16" t="n"/>
      <c r="V54" s="16" t="n"/>
      <c r="W54" s="26" t="n">
        <v>420</v>
      </c>
      <c r="X54" s="11" t="n"/>
      <c r="Y54" s="17" t="n"/>
      <c r="Z54" s="17" t="n"/>
      <c r="AA54" s="16" t="n"/>
      <c r="AB54" s="16" t="n"/>
      <c r="AC54" s="16" t="n"/>
      <c r="AD54" s="17" t="n"/>
      <c r="AE54" s="17" t="n"/>
      <c r="AF54" s="17" t="n"/>
      <c r="AG54" s="17" t="n"/>
      <c r="AH54" s="17" t="n"/>
      <c r="AI54" s="17" t="n"/>
      <c r="AJ54" s="16" t="n"/>
      <c r="AK54" s="16" t="n"/>
      <c r="AL54" s="16" t="n"/>
      <c r="AM54" s="16" t="n"/>
      <c r="AQ54" s="12" t="n"/>
      <c r="AR54" s="12" t="n"/>
      <c r="AS54" s="5" t="n"/>
      <c r="AT54" s="12" t="n"/>
      <c r="AU54" s="12" t="n"/>
      <c r="AV54" s="5" t="n"/>
      <c r="AW54" s="5" t="n"/>
      <c r="BR54" s="9" t="n"/>
      <c r="BS54" s="10" t="n"/>
      <c r="BT54" s="9" t="n"/>
      <c r="BU54" s="9" t="n"/>
      <c r="BW54" s="10" t="n"/>
      <c r="BX54" s="10" t="n"/>
      <c r="BZ54" s="10" t="n"/>
      <c r="CA54" s="10" t="n"/>
      <c r="CB54" s="10" t="n"/>
      <c r="CC54" s="10" t="n"/>
      <c r="CD54" s="10" t="n"/>
      <c r="CE54" s="10" t="n"/>
      <c r="CF54" s="10" t="n"/>
    </row>
    <row r="55">
      <c r="B55" s="14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26" t="n">
        <v>1.01</v>
      </c>
      <c r="P55" s="26" t="n"/>
      <c r="R55" s="16" t="n"/>
      <c r="S55" s="16" t="n"/>
      <c r="T55" s="16" t="n"/>
      <c r="U55" s="16" t="n"/>
      <c r="V55" s="16" t="n"/>
      <c r="W55" s="26" t="n">
        <v>420</v>
      </c>
      <c r="X55" s="11" t="n"/>
      <c r="Y55" s="17" t="n"/>
      <c r="Z55" s="17" t="n"/>
      <c r="AA55" s="16" t="n"/>
      <c r="AB55" s="16" t="n"/>
      <c r="AC55" s="16" t="n"/>
      <c r="AD55" s="17" t="n"/>
      <c r="AE55" s="17" t="n"/>
      <c r="AF55" s="17" t="n"/>
      <c r="AG55" s="17" t="n"/>
      <c r="AH55" s="17" t="n"/>
      <c r="AI55" s="17" t="n"/>
      <c r="AJ55" s="16" t="n"/>
      <c r="AK55" s="16" t="n"/>
      <c r="AL55" s="16" t="n"/>
      <c r="AM55" s="16" t="n"/>
      <c r="AQ55" s="12" t="n"/>
      <c r="AR55" s="12" t="n"/>
      <c r="AS55" s="5" t="n"/>
      <c r="AT55" s="12" t="n"/>
      <c r="AU55" s="12" t="n"/>
      <c r="AV55" s="5" t="n"/>
      <c r="AW55" s="5" t="n"/>
      <c r="BR55" s="9" t="n"/>
      <c r="BS55" s="10" t="n"/>
      <c r="BT55" s="9" t="n"/>
      <c r="BU55" s="9" t="n"/>
      <c r="BW55" s="10" t="n"/>
      <c r="BX55" s="10" t="n"/>
      <c r="BZ55" s="10" t="n"/>
      <c r="CA55" s="10" t="n"/>
      <c r="CB55" s="10" t="n"/>
      <c r="CC55" s="10" t="n"/>
      <c r="CD55" s="10" t="n"/>
      <c r="CE55" s="10" t="n"/>
      <c r="CF55" s="10" t="n"/>
    </row>
    <row r="56">
      <c r="B56" s="14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26" t="n">
        <v>1.01</v>
      </c>
      <c r="P56" s="26" t="n"/>
      <c r="R56" s="16" t="n"/>
      <c r="S56" s="16" t="n"/>
      <c r="T56" s="16" t="n"/>
      <c r="U56" s="16" t="n"/>
      <c r="V56" s="16" t="n"/>
      <c r="W56" s="26" t="n">
        <v>420</v>
      </c>
      <c r="X56" s="11" t="n"/>
      <c r="Y56" s="17" t="n"/>
      <c r="Z56" s="17" t="n"/>
      <c r="AA56" s="16" t="n"/>
      <c r="AB56" s="16" t="n"/>
      <c r="AC56" s="16" t="n"/>
      <c r="AD56" s="17" t="n"/>
      <c r="AE56" s="17" t="n"/>
      <c r="AF56" s="17" t="n"/>
      <c r="AG56" s="17" t="n"/>
      <c r="AH56" s="17" t="n"/>
      <c r="AI56" s="17" t="n"/>
      <c r="AJ56" s="16" t="n"/>
      <c r="AK56" s="16" t="n"/>
      <c r="AL56" s="16" t="n"/>
      <c r="AM56" s="16" t="n"/>
      <c r="AQ56" s="12" t="n"/>
      <c r="AR56" s="12" t="n"/>
      <c r="AS56" s="5" t="n"/>
      <c r="AT56" s="12" t="n"/>
      <c r="AU56" s="12" t="n"/>
      <c r="AV56" s="5" t="n"/>
      <c r="AW56" s="5" t="n"/>
      <c r="BR56" s="9" t="n"/>
      <c r="BS56" s="10" t="n"/>
      <c r="BT56" s="9" t="n"/>
      <c r="BU56" s="9" t="n"/>
      <c r="BW56" s="10" t="n"/>
      <c r="BX56" s="10" t="n"/>
      <c r="BZ56" s="10" t="n"/>
      <c r="CA56" s="10" t="n"/>
      <c r="CB56" s="10" t="n"/>
      <c r="CC56" s="10" t="n"/>
      <c r="CD56" s="10" t="n"/>
      <c r="CE56" s="10" t="n"/>
      <c r="CF56" s="10" t="n"/>
    </row>
    <row r="57">
      <c r="B57" s="14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26" t="n">
        <v>1.01</v>
      </c>
      <c r="P57" s="26" t="n"/>
      <c r="R57" s="17" t="n"/>
      <c r="S57" s="17" t="n"/>
      <c r="T57" s="16" t="n"/>
      <c r="U57" s="16" t="n"/>
      <c r="V57" s="16" t="n"/>
      <c r="W57" s="26" t="n">
        <v>420</v>
      </c>
      <c r="X57" s="11" t="n"/>
      <c r="Y57" s="17" t="n"/>
      <c r="Z57" s="17" t="n"/>
      <c r="AA57" s="16" t="n"/>
      <c r="AB57" s="16" t="n"/>
      <c r="AC57" s="17" t="n"/>
      <c r="AD57" s="17" t="n"/>
      <c r="AE57" s="17" t="n"/>
      <c r="AF57" s="17" t="n"/>
      <c r="AG57" s="17" t="n"/>
      <c r="AH57" s="17" t="n"/>
      <c r="AI57" s="17" t="n"/>
      <c r="AJ57" s="16" t="n"/>
      <c r="AK57" s="16" t="n"/>
      <c r="AL57" s="16" t="n"/>
      <c r="AM57" s="16" t="n"/>
      <c r="AQ57" s="12" t="n"/>
      <c r="AR57" s="12" t="n"/>
      <c r="AS57" s="5" t="n"/>
      <c r="AT57" s="12" t="n"/>
      <c r="AU57" s="12" t="n"/>
      <c r="AV57" s="5" t="n"/>
      <c r="AW57" s="5" t="n"/>
      <c r="BR57" s="9" t="n"/>
      <c r="BS57" s="10" t="n"/>
      <c r="BT57" s="9" t="n"/>
      <c r="BU57" s="9" t="n"/>
      <c r="BW57" s="10" t="n"/>
      <c r="BX57" s="10" t="n"/>
      <c r="BZ57" s="10" t="n"/>
      <c r="CA57" s="10" t="n"/>
      <c r="CB57" s="10" t="n"/>
      <c r="CC57" s="10" t="n"/>
      <c r="CD57" s="10" t="n"/>
      <c r="CE57" s="10" t="n"/>
      <c r="CF57" s="10" t="n"/>
    </row>
    <row r="58">
      <c r="B58" s="14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26" t="n">
        <v>1.01</v>
      </c>
      <c r="P58" s="26" t="n"/>
      <c r="R58" s="17" t="n"/>
      <c r="S58" s="17" t="n"/>
      <c r="T58" s="16" t="n"/>
      <c r="U58" s="16" t="n"/>
      <c r="V58" s="16" t="n"/>
      <c r="W58" s="26" t="n">
        <v>420</v>
      </c>
      <c r="X58" s="11" t="n"/>
      <c r="Y58" s="17" t="n"/>
      <c r="Z58" s="17" t="n"/>
      <c r="AA58" s="16" t="n"/>
      <c r="AB58" s="16" t="n"/>
      <c r="AC58" s="17" t="n"/>
      <c r="AD58" s="17" t="n"/>
      <c r="AE58" s="17" t="n"/>
      <c r="AF58" s="17" t="n"/>
      <c r="AG58" s="17" t="n"/>
      <c r="AH58" s="17" t="n"/>
      <c r="AI58" s="17" t="n"/>
      <c r="AJ58" s="16" t="n"/>
      <c r="AK58" s="16" t="n"/>
      <c r="AL58" s="16" t="n"/>
      <c r="AM58" s="16" t="n"/>
      <c r="AQ58" s="12" t="n"/>
      <c r="AR58" s="12" t="n"/>
      <c r="AS58" s="5" t="n"/>
      <c r="AT58" s="12" t="n"/>
      <c r="AU58" s="12" t="n"/>
      <c r="AV58" s="5" t="n"/>
      <c r="AW58" s="5" t="n"/>
      <c r="BR58" s="9" t="n"/>
      <c r="BS58" s="10" t="n"/>
      <c r="BT58" s="9" t="n"/>
      <c r="BU58" s="9" t="n"/>
      <c r="BW58" s="10" t="n"/>
      <c r="BX58" s="10" t="n"/>
      <c r="BZ58" s="10" t="n"/>
      <c r="CA58" s="10" t="n"/>
      <c r="CB58" s="10" t="n"/>
      <c r="CC58" s="10" t="n"/>
      <c r="CD58" s="10" t="n"/>
      <c r="CE58" s="10" t="n"/>
      <c r="CF58" s="10" t="n"/>
    </row>
    <row r="59">
      <c r="B59" s="14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26" t="n">
        <v>1.01</v>
      </c>
      <c r="P59" s="26" t="n"/>
      <c r="R59" s="17" t="n"/>
      <c r="S59" s="17" t="n"/>
      <c r="T59" s="16" t="n"/>
      <c r="U59" s="16" t="n"/>
      <c r="V59" s="16" t="n"/>
      <c r="W59" s="26" t="n">
        <v>420</v>
      </c>
      <c r="X59" s="11" t="n"/>
      <c r="Y59" s="17" t="n"/>
      <c r="Z59" s="17" t="n"/>
      <c r="AA59" s="16" t="n"/>
      <c r="AB59" s="16" t="n"/>
      <c r="AC59" s="17" t="n"/>
      <c r="AD59" s="17" t="n"/>
      <c r="AE59" s="17" t="n"/>
      <c r="AF59" s="17" t="n"/>
      <c r="AG59" s="17" t="n"/>
      <c r="AH59" s="17" t="n"/>
      <c r="AI59" s="17" t="n"/>
      <c r="AJ59" s="16" t="n"/>
      <c r="AK59" s="16" t="n"/>
      <c r="AL59" s="16" t="n"/>
      <c r="AM59" s="16" t="n"/>
      <c r="AQ59" s="12" t="n"/>
      <c r="AR59" s="12" t="n"/>
      <c r="AS59" s="5" t="n"/>
      <c r="AT59" s="12" t="n"/>
      <c r="AU59" s="12" t="n"/>
      <c r="AV59" s="5" t="n"/>
      <c r="AW59" s="5" t="n"/>
      <c r="BR59" s="9" t="n"/>
      <c r="BS59" s="10" t="n"/>
      <c r="BT59" s="9" t="n"/>
      <c r="BU59" s="9" t="n"/>
      <c r="BW59" s="10" t="n"/>
      <c r="BX59" s="10" t="n"/>
      <c r="BZ59" s="10" t="n"/>
      <c r="CA59" s="10" t="n"/>
      <c r="CB59" s="10" t="n"/>
      <c r="CC59" s="10" t="n"/>
      <c r="CD59" s="10" t="n"/>
      <c r="CE59" s="10" t="n"/>
      <c r="CF59" s="10" t="n"/>
    </row>
    <row r="60">
      <c r="B60" s="14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26" t="n">
        <v>1.01</v>
      </c>
      <c r="P60" s="26" t="n"/>
      <c r="R60" s="17" t="n"/>
      <c r="S60" s="17" t="n"/>
      <c r="T60" s="16" t="n"/>
      <c r="U60" s="16" t="n"/>
      <c r="V60" s="16" t="n"/>
      <c r="W60" s="26" t="n">
        <v>420</v>
      </c>
      <c r="X60" s="11" t="n"/>
      <c r="Y60" s="17" t="n"/>
      <c r="Z60" s="17" t="n"/>
      <c r="AA60" s="16" t="n"/>
      <c r="AB60" s="16" t="n"/>
      <c r="AC60" s="17" t="n"/>
      <c r="AD60" s="17" t="n"/>
      <c r="AE60" s="17" t="n"/>
      <c r="AF60" s="17" t="n"/>
      <c r="AG60" s="17" t="n"/>
      <c r="AH60" s="17" t="n"/>
      <c r="AI60" s="17" t="n"/>
      <c r="AJ60" s="16" t="n"/>
      <c r="AK60" s="16" t="n"/>
      <c r="AL60" s="16" t="n"/>
      <c r="AM60" s="16" t="n"/>
      <c r="AQ60" s="12" t="n"/>
      <c r="AR60" s="12" t="n"/>
      <c r="AS60" s="5" t="n"/>
      <c r="AT60" s="12" t="n"/>
      <c r="AU60" s="12" t="n"/>
      <c r="AV60" s="5" t="n"/>
      <c r="AW60" s="5" t="n"/>
      <c r="BR60" s="9" t="n"/>
      <c r="BS60" s="10" t="n"/>
      <c r="BT60" s="9" t="n"/>
      <c r="BU60" s="9" t="n"/>
      <c r="BW60" s="10" t="n"/>
      <c r="BX60" s="10" t="n"/>
      <c r="BZ60" s="10" t="n"/>
      <c r="CA60" s="10" t="n"/>
      <c r="CB60" s="10" t="n"/>
      <c r="CC60" s="10" t="n"/>
      <c r="CD60" s="10" t="n"/>
      <c r="CE60" s="10" t="n"/>
      <c r="CF60" s="10" t="n"/>
    </row>
    <row r="61">
      <c r="B61" s="14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26" t="n">
        <v>1.01</v>
      </c>
      <c r="P61" s="26" t="n"/>
      <c r="R61" s="17" t="n"/>
      <c r="S61" s="17" t="n"/>
      <c r="T61" s="16" t="n"/>
      <c r="U61" s="16" t="n"/>
      <c r="V61" s="16" t="n"/>
      <c r="W61" s="26" t="n">
        <v>420</v>
      </c>
      <c r="X61" s="11" t="n"/>
      <c r="Y61" s="17" t="n"/>
      <c r="Z61" s="17" t="n"/>
      <c r="AA61" s="16" t="n"/>
      <c r="AB61" s="16" t="n"/>
      <c r="AC61" s="17" t="n"/>
      <c r="AD61" s="17" t="n"/>
      <c r="AE61" s="17" t="n"/>
      <c r="AF61" s="17" t="n"/>
      <c r="AG61" s="17" t="n"/>
      <c r="AH61" s="17" t="n"/>
      <c r="AI61" s="17" t="n"/>
      <c r="AJ61" s="16" t="n"/>
      <c r="AK61" s="16" t="n"/>
      <c r="AL61" s="16" t="n"/>
      <c r="AM61" s="16" t="n"/>
      <c r="AQ61" s="12" t="n"/>
      <c r="AR61" s="12" t="n"/>
      <c r="AS61" s="5" t="n"/>
      <c r="AT61" s="12" t="n"/>
      <c r="AU61" s="12" t="n"/>
      <c r="AV61" s="5" t="n"/>
      <c r="AW61" s="5" t="n"/>
      <c r="BR61" s="9" t="n"/>
      <c r="BS61" s="10" t="n"/>
      <c r="BT61" s="9" t="n"/>
      <c r="BU61" s="9" t="n"/>
      <c r="BW61" s="10" t="n"/>
      <c r="BX61" s="10" t="n"/>
      <c r="BZ61" s="10" t="n"/>
      <c r="CA61" s="10" t="n"/>
      <c r="CB61" s="10" t="n"/>
      <c r="CC61" s="10" t="n"/>
      <c r="CD61" s="10" t="n"/>
      <c r="CE61" s="10" t="n"/>
      <c r="CF61" s="10" t="n"/>
    </row>
    <row r="62">
      <c r="B62" s="14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26" t="n">
        <v>1.01</v>
      </c>
      <c r="P62" s="26" t="n"/>
      <c r="R62" s="17" t="n"/>
      <c r="S62" s="17" t="n"/>
      <c r="T62" s="16" t="n"/>
      <c r="U62" s="16" t="n"/>
      <c r="V62" s="16" t="n"/>
      <c r="W62" s="26" t="n">
        <v>420</v>
      </c>
      <c r="X62" s="11" t="n"/>
      <c r="Y62" s="17" t="n"/>
      <c r="Z62" s="17" t="n"/>
      <c r="AA62" s="16" t="n"/>
      <c r="AB62" s="16" t="n"/>
      <c r="AC62" s="17" t="n"/>
      <c r="AD62" s="17" t="n"/>
      <c r="AE62" s="17" t="n"/>
      <c r="AF62" s="17" t="n"/>
      <c r="AG62" s="17" t="n"/>
      <c r="AH62" s="17" t="n"/>
      <c r="AI62" s="17" t="n"/>
      <c r="AJ62" s="16" t="n"/>
      <c r="AK62" s="16" t="n"/>
      <c r="AL62" s="16" t="n"/>
      <c r="AM62" s="16" t="n"/>
      <c r="AQ62" s="12" t="n"/>
      <c r="AR62" s="12" t="n"/>
      <c r="AS62" s="5" t="n"/>
      <c r="AT62" s="12" t="n"/>
      <c r="AU62" s="12" t="n"/>
      <c r="AV62" s="5" t="n"/>
      <c r="AW62" s="5" t="n"/>
      <c r="BR62" s="9" t="n"/>
      <c r="BS62" s="10" t="n"/>
      <c r="BT62" s="9" t="n"/>
      <c r="BU62" s="9" t="n"/>
      <c r="BW62" s="10" t="n"/>
      <c r="BX62" s="10" t="n"/>
      <c r="BZ62" s="10" t="n"/>
      <c r="CA62" s="10" t="n"/>
      <c r="CB62" s="10" t="n"/>
      <c r="CC62" s="10" t="n"/>
      <c r="CD62" s="10" t="n"/>
      <c r="CE62" s="10" t="n"/>
      <c r="CF62" s="10" t="n"/>
    </row>
    <row r="63">
      <c r="B63" s="14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26" t="n">
        <v>1.01</v>
      </c>
      <c r="P63" s="26" t="n"/>
      <c r="R63" s="17" t="n"/>
      <c r="S63" s="17" t="n"/>
      <c r="T63" s="16" t="n"/>
      <c r="U63" s="16" t="n"/>
      <c r="V63" s="16" t="n"/>
      <c r="W63" s="26" t="n">
        <v>420</v>
      </c>
      <c r="X63" s="11" t="n"/>
      <c r="Y63" s="17" t="n"/>
      <c r="Z63" s="17" t="n"/>
      <c r="AA63" s="16" t="n"/>
      <c r="AB63" s="16" t="n"/>
      <c r="AC63" s="17" t="n"/>
      <c r="AD63" s="17" t="n"/>
      <c r="AE63" s="17" t="n"/>
      <c r="AF63" s="17" t="n"/>
      <c r="AG63" s="17" t="n"/>
      <c r="AH63" s="17" t="n"/>
      <c r="AI63" s="17" t="n"/>
      <c r="AJ63" s="16" t="n"/>
      <c r="AK63" s="16" t="n"/>
      <c r="AL63" s="16" t="n"/>
      <c r="AM63" s="16" t="n"/>
      <c r="AQ63" s="12" t="n"/>
      <c r="AR63" s="12" t="n"/>
      <c r="AS63" s="5" t="n"/>
      <c r="AT63" s="12" t="n"/>
      <c r="AU63" s="12" t="n"/>
      <c r="AV63" s="5" t="n"/>
      <c r="AW63" s="5" t="n"/>
      <c r="BR63" s="9" t="n"/>
      <c r="BS63" s="10" t="n"/>
      <c r="BT63" s="9" t="n"/>
      <c r="BU63" s="9" t="n"/>
      <c r="BW63" s="10" t="n"/>
      <c r="BX63" s="10" t="n"/>
      <c r="BZ63" s="10" t="n"/>
      <c r="CA63" s="10" t="n"/>
      <c r="CB63" s="10" t="n"/>
      <c r="CC63" s="10" t="n"/>
      <c r="CD63" s="10" t="n"/>
      <c r="CE63" s="10" t="n"/>
      <c r="CF63" s="10" t="n"/>
    </row>
    <row r="64">
      <c r="B64" s="14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26" t="n">
        <v>1.01</v>
      </c>
      <c r="P64" s="26" t="n"/>
      <c r="R64" s="17" t="n"/>
      <c r="S64" s="17" t="n"/>
      <c r="T64" s="16" t="n"/>
      <c r="U64" s="16" t="n"/>
      <c r="V64" s="16" t="n"/>
      <c r="W64" s="26" t="n">
        <v>420</v>
      </c>
      <c r="X64" s="11" t="n"/>
      <c r="Y64" s="17" t="n"/>
      <c r="Z64" s="17" t="n"/>
      <c r="AA64" s="16" t="n"/>
      <c r="AB64" s="16" t="n"/>
      <c r="AC64" s="17" t="n"/>
      <c r="AD64" s="17" t="n"/>
      <c r="AE64" s="17" t="n"/>
      <c r="AF64" s="17" t="n"/>
      <c r="AG64" s="17" t="n"/>
      <c r="AH64" s="17" t="n"/>
      <c r="AI64" s="17" t="n"/>
      <c r="AJ64" s="16" t="n"/>
      <c r="AK64" s="16" t="n"/>
      <c r="AL64" s="16" t="n"/>
      <c r="AM64" s="16" t="n"/>
      <c r="AQ64" s="12" t="n"/>
      <c r="AR64" s="12" t="n"/>
      <c r="AS64" s="5" t="n"/>
      <c r="AT64" s="12" t="n"/>
      <c r="AU64" s="12" t="n"/>
      <c r="AV64" s="5" t="n"/>
      <c r="AW64" s="5" t="n"/>
      <c r="BR64" s="9" t="n"/>
      <c r="BS64" s="10" t="n"/>
      <c r="BT64" s="9" t="n"/>
      <c r="BU64" s="9" t="n"/>
      <c r="BW64" s="10" t="n"/>
      <c r="BX64" s="10" t="n"/>
      <c r="BZ64" s="10" t="n"/>
      <c r="CA64" s="10" t="n"/>
      <c r="CB64" s="10" t="n"/>
      <c r="CC64" s="10" t="n"/>
      <c r="CD64" s="10" t="n"/>
      <c r="CE64" s="10" t="n"/>
      <c r="CF64" s="10" t="n"/>
    </row>
    <row r="65">
      <c r="B65" s="14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26" t="n">
        <v>1.01</v>
      </c>
      <c r="P65" s="26" t="n"/>
      <c r="R65" s="17" t="n"/>
      <c r="S65" s="17" t="n"/>
      <c r="T65" s="16" t="n"/>
      <c r="U65" s="16" t="n"/>
      <c r="V65" s="16" t="n"/>
      <c r="W65" s="26" t="n">
        <v>420</v>
      </c>
      <c r="X65" s="11" t="n"/>
      <c r="Y65" s="17" t="n"/>
      <c r="Z65" s="17" t="n"/>
      <c r="AA65" s="16" t="n"/>
      <c r="AB65" s="16" t="n"/>
      <c r="AC65" s="17" t="n"/>
      <c r="AD65" s="17" t="n"/>
      <c r="AE65" s="17" t="n"/>
      <c r="AF65" s="17" t="n"/>
      <c r="AG65" s="17" t="n"/>
      <c r="AH65" s="17" t="n"/>
      <c r="AI65" s="17" t="n"/>
      <c r="AJ65" s="16" t="n"/>
      <c r="AK65" s="16" t="n"/>
      <c r="AL65" s="16" t="n"/>
      <c r="AM65" s="16" t="n"/>
      <c r="AQ65" s="12" t="n"/>
      <c r="AR65" s="12" t="n"/>
      <c r="AS65" s="5" t="n"/>
      <c r="AT65" s="12" t="n"/>
      <c r="AU65" s="12" t="n"/>
      <c r="AV65" s="5" t="n"/>
      <c r="AW65" s="5" t="n"/>
      <c r="BR65" s="9" t="n"/>
      <c r="BS65" s="10" t="n"/>
      <c r="BT65" s="9" t="n"/>
      <c r="BU65" s="9" t="n"/>
      <c r="BW65" s="10" t="n"/>
      <c r="BX65" s="10" t="n"/>
      <c r="BZ65" s="10" t="n"/>
      <c r="CA65" s="10" t="n"/>
      <c r="CB65" s="10" t="n"/>
      <c r="CC65" s="10" t="n"/>
      <c r="CD65" s="10" t="n"/>
      <c r="CE65" s="10" t="n"/>
      <c r="CF65" s="10" t="n"/>
    </row>
    <row r="66">
      <c r="AQ66" s="5" t="n"/>
      <c r="AR66" s="5" t="n"/>
      <c r="AS66" s="5" t="n"/>
      <c r="AT66" s="5" t="n"/>
      <c r="AU66" s="5" t="n"/>
      <c r="AV66" s="5" t="n"/>
      <c r="AW66" s="5" t="n"/>
      <c r="BR66" s="8" t="n"/>
      <c r="BT66" s="8" t="n"/>
      <c r="BU66" s="8" t="n"/>
    </row>
    <row r="67">
      <c r="AQ67" s="5" t="n"/>
      <c r="AR67" s="5" t="n"/>
      <c r="AS67" s="5" t="n"/>
      <c r="AT67" s="5" t="n"/>
      <c r="AU67" s="5" t="n"/>
      <c r="AV67" s="5" t="n"/>
      <c r="AW67" s="5" t="n"/>
      <c r="BR67" s="8" t="n"/>
      <c r="BT67" s="8" t="n"/>
      <c r="BU67" s="8" t="n"/>
    </row>
    <row r="68">
      <c r="AQ68" s="5" t="n"/>
      <c r="AR68" s="5" t="n"/>
      <c r="AS68" s="5" t="n"/>
      <c r="AT68" s="5" t="n"/>
      <c r="AU68" s="5" t="n"/>
      <c r="AV68" s="5" t="n"/>
      <c r="AW68" s="5" t="n"/>
      <c r="BR68" s="8" t="n"/>
      <c r="BT68" s="8" t="n"/>
      <c r="BU68" s="8" t="n"/>
    </row>
    <row r="69">
      <c r="AQ69" s="5" t="n"/>
      <c r="AR69" s="5" t="n"/>
      <c r="AS69" s="5" t="n"/>
      <c r="AT69" s="5" t="n"/>
      <c r="AU69" s="5" t="n"/>
      <c r="AV69" s="5" t="n"/>
      <c r="AW69" s="5" t="n"/>
      <c r="BR69" s="8" t="n"/>
      <c r="BT69" s="8" t="n"/>
      <c r="BU69" s="8" t="n"/>
    </row>
    <row r="70">
      <c r="AQ70" s="5" t="n"/>
      <c r="AR70" s="5" t="n"/>
      <c r="AS70" s="5" t="n"/>
      <c r="AT70" s="5" t="n"/>
      <c r="AU70" s="5" t="n"/>
      <c r="AV70" s="5" t="n"/>
      <c r="AW70" s="5" t="n"/>
      <c r="BR70" s="8" t="n"/>
      <c r="BT70" s="8" t="n"/>
      <c r="BU70" s="8" t="n"/>
    </row>
    <row r="71">
      <c r="AQ71" s="5" t="n"/>
      <c r="AR71" s="5" t="n"/>
      <c r="AS71" s="5" t="n"/>
      <c r="AT71" s="5" t="n"/>
      <c r="AU71" s="5" t="n"/>
      <c r="AV71" s="5" t="n"/>
      <c r="AW71" s="5" t="n"/>
      <c r="BR71" s="8" t="n"/>
      <c r="BT71" s="8" t="n"/>
      <c r="BU71" s="8" t="n"/>
    </row>
    <row r="72">
      <c r="AQ72" s="5" t="n"/>
      <c r="AR72" s="5" t="n"/>
      <c r="AS72" s="5" t="n"/>
      <c r="AT72" s="5" t="n"/>
      <c r="AU72" s="5" t="n"/>
      <c r="AV72" s="5" t="n"/>
      <c r="AW72" s="5" t="n"/>
      <c r="BR72" s="8" t="n"/>
      <c r="BT72" s="8" t="n"/>
      <c r="BU72" s="8" t="n"/>
    </row>
    <row r="73">
      <c r="AQ73" s="5" t="n"/>
      <c r="AR73" s="5" t="n"/>
      <c r="AS73" s="5" t="n"/>
      <c r="AT73" s="5" t="n"/>
      <c r="AU73" s="5" t="n"/>
      <c r="AV73" s="5" t="n"/>
      <c r="AW73" s="5" t="n"/>
      <c r="BR73" s="8" t="n"/>
      <c r="BT73" s="8" t="n"/>
      <c r="BU73" s="8" t="n"/>
    </row>
    <row r="74">
      <c r="AQ74" s="5" t="n"/>
      <c r="AR74" s="5" t="n"/>
      <c r="AS74" s="5" t="n"/>
      <c r="AT74" s="5" t="n"/>
      <c r="AU74" s="5" t="n"/>
      <c r="AV74" s="5" t="n"/>
      <c r="AW74" s="5" t="n"/>
      <c r="BR74" s="8" t="n"/>
      <c r="BT74" s="8" t="n"/>
      <c r="BU74" s="8" t="n"/>
    </row>
    <row r="75">
      <c r="AQ75" s="5" t="n"/>
      <c r="AR75" s="5" t="n"/>
      <c r="AS75" s="5" t="n"/>
      <c r="AT75" s="5" t="n"/>
      <c r="AU75" s="5" t="n"/>
      <c r="AV75" s="5" t="n"/>
      <c r="AW75" s="5" t="n"/>
      <c r="BR75" s="8" t="n"/>
      <c r="BT75" s="8" t="n"/>
      <c r="BU75" s="8" t="n"/>
    </row>
    <row r="76">
      <c r="AQ76" s="5" t="n"/>
      <c r="AR76" s="5" t="n"/>
      <c r="AS76" s="5" t="n"/>
      <c r="AT76" s="5" t="n"/>
      <c r="AU76" s="5" t="n"/>
      <c r="AV76" s="5" t="n"/>
      <c r="AW76" s="5" t="n"/>
      <c r="BR76" s="8" t="n"/>
      <c r="BT76" s="8" t="n"/>
      <c r="BU76" s="8" t="n"/>
    </row>
    <row r="77">
      <c r="AQ77" s="5" t="n"/>
      <c r="AR77" s="5" t="n"/>
      <c r="AS77" s="5" t="n"/>
      <c r="AT77" s="5" t="n"/>
      <c r="AU77" s="5" t="n"/>
      <c r="AV77" s="5" t="n"/>
      <c r="AW77" s="5" t="n"/>
      <c r="BR77" s="8" t="n"/>
      <c r="BT77" s="8" t="n"/>
      <c r="BU77" s="8" t="n"/>
    </row>
    <row r="78">
      <c r="AQ78" s="5" t="n"/>
      <c r="AR78" s="5" t="n"/>
      <c r="AS78" s="5" t="n"/>
      <c r="AT78" s="5" t="n"/>
      <c r="AU78" s="5" t="n"/>
      <c r="AV78" s="5" t="n"/>
      <c r="AW78" s="5" t="n"/>
      <c r="BR78" s="8" t="n"/>
      <c r="BT78" s="8" t="n"/>
      <c r="BU78" s="8" t="n"/>
    </row>
    <row r="79">
      <c r="AQ79" s="5" t="n"/>
      <c r="AR79" s="5" t="n"/>
      <c r="AS79" s="5" t="n"/>
      <c r="AT79" s="5" t="n"/>
      <c r="AU79" s="5" t="n"/>
      <c r="AV79" s="5" t="n"/>
      <c r="AW79" s="5" t="n"/>
      <c r="BR79" s="8" t="n"/>
      <c r="BT79" s="8" t="n"/>
      <c r="BU79" s="8" t="n"/>
    </row>
    <row r="80">
      <c r="AQ80" s="5" t="n"/>
      <c r="AR80" s="5" t="n"/>
      <c r="AS80" s="5" t="n"/>
      <c r="AT80" s="5" t="n"/>
      <c r="AU80" s="5" t="n"/>
      <c r="AV80" s="5" t="n"/>
      <c r="AW80" s="5" t="n"/>
      <c r="BR80" s="8" t="n"/>
      <c r="BT80" s="8" t="n"/>
      <c r="BU80" s="8" t="n"/>
    </row>
    <row r="81">
      <c r="AQ81" s="5" t="n"/>
      <c r="AR81" s="5" t="n"/>
      <c r="AS81" s="5" t="n"/>
      <c r="AT81" s="5" t="n"/>
      <c r="AU81" s="5" t="n"/>
      <c r="AV81" s="5" t="n"/>
      <c r="AW81" s="5" t="n"/>
      <c r="BR81" s="8" t="n"/>
      <c r="BT81" s="8" t="n"/>
      <c r="BU81" s="8" t="n"/>
    </row>
    <row r="82">
      <c r="AQ82" s="5" t="n"/>
      <c r="AR82" s="5" t="n"/>
      <c r="AS82" s="5" t="n"/>
      <c r="AT82" s="5" t="n"/>
      <c r="AU82" s="5" t="n"/>
      <c r="AV82" s="5" t="n"/>
      <c r="AW82" s="5" t="n"/>
      <c r="BR82" s="8" t="n"/>
      <c r="BT82" s="8" t="n"/>
      <c r="BU82" s="8" t="n"/>
    </row>
    <row r="83">
      <c r="AQ83" s="5" t="n"/>
      <c r="AR83" s="5" t="n"/>
      <c r="AS83" s="5" t="n"/>
      <c r="AT83" s="5" t="n"/>
      <c r="AU83" s="5" t="n"/>
      <c r="AV83" s="5" t="n"/>
      <c r="AW83" s="5" t="n"/>
      <c r="BR83" s="8" t="n"/>
      <c r="BT83" s="8" t="n"/>
      <c r="BU83" s="8" t="n"/>
    </row>
    <row r="84">
      <c r="AQ84" s="5" t="n"/>
      <c r="AR84" s="5" t="n"/>
      <c r="AS84" s="5" t="n"/>
      <c r="AT84" s="5" t="n"/>
      <c r="AU84" s="5" t="n"/>
      <c r="AV84" s="5" t="n"/>
      <c r="AW84" s="5" t="n"/>
      <c r="BR84" s="8" t="n"/>
      <c r="BT84" s="8" t="n"/>
      <c r="BU84" s="8" t="n"/>
    </row>
    <row r="85">
      <c r="AQ85" s="5" t="n"/>
      <c r="AR85" s="5" t="n"/>
      <c r="AS85" s="5" t="n"/>
      <c r="AT85" s="5" t="n"/>
      <c r="AU85" s="5" t="n"/>
      <c r="AV85" s="5" t="n"/>
      <c r="AW85" s="5" t="n"/>
      <c r="BR85" s="8" t="n"/>
      <c r="BT85" s="8" t="n"/>
      <c r="BU85" s="8" t="n"/>
    </row>
    <row r="86">
      <c r="AQ86" s="5" t="n"/>
      <c r="AR86" s="5" t="n"/>
      <c r="AS86" s="5" t="n"/>
      <c r="AT86" s="5" t="n"/>
      <c r="AU86" s="5" t="n"/>
      <c r="AV86" s="5" t="n"/>
      <c r="AW86" s="5" t="n"/>
      <c r="BR86" s="8" t="n"/>
      <c r="BT86" s="8" t="n"/>
      <c r="BU86" s="8" t="n"/>
    </row>
    <row r="87">
      <c r="AQ87" s="5" t="n"/>
      <c r="AR87" s="5" t="n"/>
      <c r="AS87" s="5" t="n"/>
      <c r="AT87" s="5" t="n"/>
      <c r="AU87" s="5" t="n"/>
      <c r="AV87" s="5" t="n"/>
      <c r="AW87" s="5" t="n"/>
      <c r="BR87" s="8" t="n"/>
      <c r="BT87" s="8" t="n"/>
      <c r="BU87" s="8" t="n"/>
    </row>
    <row r="88">
      <c r="AQ88" s="5" t="n"/>
      <c r="AR88" s="5" t="n"/>
      <c r="AS88" s="5" t="n"/>
      <c r="AT88" s="5" t="n"/>
      <c r="AU88" s="5" t="n"/>
      <c r="AV88" s="5" t="n"/>
      <c r="AW88" s="5" t="n"/>
      <c r="BR88" s="8" t="n"/>
      <c r="BT88" s="8" t="n"/>
      <c r="BU88" s="8" t="n"/>
    </row>
    <row r="89">
      <c r="AQ89" s="5" t="n"/>
      <c r="AR89" s="5" t="n"/>
      <c r="AS89" s="5" t="n"/>
      <c r="AT89" s="5" t="n"/>
      <c r="AU89" s="5" t="n"/>
      <c r="AV89" s="5" t="n"/>
      <c r="AW89" s="5" t="n"/>
      <c r="BR89" s="8" t="n"/>
      <c r="BT89" s="8" t="n"/>
      <c r="BU89" s="8" t="n"/>
    </row>
    <row r="90">
      <c r="AQ90" s="5" t="n"/>
      <c r="AR90" s="5" t="n"/>
      <c r="AS90" s="5" t="n"/>
      <c r="AT90" s="5" t="n"/>
      <c r="AU90" s="5" t="n"/>
      <c r="AV90" s="5" t="n"/>
      <c r="AW90" s="5" t="n"/>
      <c r="BR90" s="8" t="n"/>
      <c r="BT90" s="8" t="n"/>
      <c r="BU90" s="8" t="n"/>
    </row>
    <row r="91">
      <c r="AQ91" s="5" t="n"/>
      <c r="AR91" s="5" t="n"/>
      <c r="AS91" s="5" t="n"/>
      <c r="AT91" s="5" t="n"/>
      <c r="AU91" s="5" t="n"/>
      <c r="AV91" s="5" t="n"/>
      <c r="AW91" s="5" t="n"/>
      <c r="BR91" s="8" t="n"/>
      <c r="BT91" s="8" t="n"/>
      <c r="BU91" s="8" t="n"/>
    </row>
    <row r="92">
      <c r="AQ92" s="5" t="n"/>
      <c r="AR92" s="5" t="n"/>
      <c r="AS92" s="5" t="n"/>
      <c r="AT92" s="5" t="n"/>
      <c r="AU92" s="5" t="n"/>
      <c r="AV92" s="5" t="n"/>
      <c r="AW92" s="5" t="n"/>
      <c r="BR92" s="8" t="n"/>
      <c r="BT92" s="8" t="n"/>
      <c r="BU92" s="8" t="n"/>
    </row>
    <row r="93">
      <c r="AQ93" s="5" t="n"/>
      <c r="AR93" s="5" t="n"/>
      <c r="AS93" s="5" t="n"/>
      <c r="AT93" s="5" t="n"/>
      <c r="AU93" s="5" t="n"/>
      <c r="AV93" s="5" t="n"/>
      <c r="AW93" s="5" t="n"/>
      <c r="BR93" s="8" t="n"/>
      <c r="BT93" s="8" t="n"/>
      <c r="BU93" s="8" t="n"/>
    </row>
    <row r="94">
      <c r="AQ94" s="5" t="n"/>
      <c r="AR94" s="5" t="n"/>
      <c r="AS94" s="5" t="n"/>
      <c r="AT94" s="5" t="n"/>
      <c r="AU94" s="5" t="n"/>
      <c r="AV94" s="5" t="n"/>
      <c r="AW94" s="5" t="n"/>
      <c r="BR94" s="8" t="n"/>
      <c r="BT94" s="8" t="n"/>
      <c r="BU94" s="8" t="n"/>
    </row>
    <row r="95">
      <c r="AQ95" s="5" t="n"/>
      <c r="AR95" s="5" t="n"/>
      <c r="AS95" s="5" t="n"/>
      <c r="AT95" s="5" t="n"/>
      <c r="AU95" s="5" t="n"/>
      <c r="AV95" s="5" t="n"/>
      <c r="AW95" s="5" t="n"/>
      <c r="BR95" s="8" t="n"/>
      <c r="BT95" s="8" t="n"/>
      <c r="BU95" s="8" t="n"/>
    </row>
    <row r="96">
      <c r="AQ96" s="5" t="n"/>
      <c r="AR96" s="5" t="n"/>
      <c r="AS96" s="5" t="n"/>
      <c r="AT96" s="5" t="n"/>
      <c r="AU96" s="5" t="n"/>
      <c r="AV96" s="5" t="n"/>
      <c r="AW96" s="5" t="n"/>
      <c r="BR96" s="8" t="n"/>
      <c r="BT96" s="8" t="n"/>
      <c r="BU96" s="8" t="n"/>
    </row>
    <row r="97">
      <c r="AQ97" s="5" t="n"/>
      <c r="AR97" s="5" t="n"/>
      <c r="AS97" s="5" t="n"/>
      <c r="AT97" s="5" t="n"/>
      <c r="AU97" s="5" t="n"/>
      <c r="AV97" s="5" t="n"/>
      <c r="AW97" s="5" t="n"/>
      <c r="BR97" s="8" t="n"/>
      <c r="BT97" s="8" t="n"/>
      <c r="BU97" s="8" t="n"/>
    </row>
    <row r="98">
      <c r="AQ98" s="5" t="n"/>
      <c r="AR98" s="5" t="n"/>
      <c r="AS98" s="5" t="n"/>
      <c r="AT98" s="5" t="n"/>
      <c r="AU98" s="5" t="n"/>
      <c r="AV98" s="5" t="n"/>
      <c r="AW98" s="5" t="n"/>
      <c r="BR98" s="8" t="n"/>
      <c r="BT98" s="8" t="n"/>
      <c r="BU98" s="8" t="n"/>
    </row>
    <row r="99">
      <c r="AQ99" s="5" t="n"/>
      <c r="AR99" s="5" t="n"/>
      <c r="AS99" s="5" t="n"/>
      <c r="AT99" s="5" t="n"/>
      <c r="AU99" s="5" t="n"/>
      <c r="AV99" s="5" t="n"/>
      <c r="AW99" s="5" t="n"/>
      <c r="BR99" s="8" t="n"/>
      <c r="BT99" s="8" t="n"/>
      <c r="BU99" s="8" t="n"/>
    </row>
    <row r="100">
      <c r="AQ100" s="5" t="n"/>
      <c r="AR100" s="5" t="n"/>
      <c r="AS100" s="5" t="n"/>
      <c r="AT100" s="5" t="n"/>
      <c r="AU100" s="5" t="n"/>
      <c r="AV100" s="5" t="n"/>
      <c r="AW100" s="5" t="n"/>
      <c r="BR100" s="8" t="n"/>
      <c r="BT100" s="8" t="n"/>
      <c r="BU100" s="8" t="n"/>
    </row>
    <row r="101">
      <c r="AQ101" s="5" t="n"/>
      <c r="AR101" s="5" t="n"/>
      <c r="AS101" s="5" t="n"/>
      <c r="AT101" s="5" t="n"/>
      <c r="AU101" s="5" t="n"/>
      <c r="AV101" s="5" t="n"/>
      <c r="AW101" s="5" t="n"/>
      <c r="BR101" s="8" t="n"/>
      <c r="BT101" s="8" t="n"/>
      <c r="BU101" s="8" t="n"/>
    </row>
    <row r="102">
      <c r="AQ102" s="5" t="n"/>
      <c r="AR102" s="5" t="n"/>
      <c r="AS102" s="5" t="n"/>
      <c r="AT102" s="5" t="n"/>
      <c r="AU102" s="5" t="n"/>
      <c r="AV102" s="5" t="n"/>
      <c r="AW102" s="5" t="n"/>
      <c r="BR102" s="8" t="n"/>
      <c r="BT102" s="8" t="n"/>
      <c r="BU102" s="8" t="n"/>
    </row>
    <row r="103">
      <c r="AQ103" s="5" t="n"/>
      <c r="AR103" s="5" t="n"/>
      <c r="AS103" s="5" t="n"/>
      <c r="AT103" s="5" t="n"/>
      <c r="AU103" s="5" t="n"/>
      <c r="AV103" s="5" t="n"/>
      <c r="AW103" s="5" t="n"/>
      <c r="BR103" s="8" t="n"/>
      <c r="BT103" s="8" t="n"/>
      <c r="BU103" s="8" t="n"/>
    </row>
    <row r="104">
      <c r="AQ104" s="5" t="n"/>
      <c r="AR104" s="5" t="n"/>
      <c r="AS104" s="5" t="n"/>
      <c r="AT104" s="5" t="n"/>
      <c r="AU104" s="5" t="n"/>
      <c r="AV104" s="5" t="n"/>
      <c r="AW104" s="5" t="n"/>
    </row>
    <row r="105">
      <c r="AQ105" s="5" t="n"/>
      <c r="AR105" s="5" t="n"/>
      <c r="AS105" s="5" t="n"/>
      <c r="AT105" s="5" t="n"/>
      <c r="AU105" s="5" t="n"/>
      <c r="AV105" s="5" t="n"/>
      <c r="AW105" s="5" t="n"/>
    </row>
    <row r="106">
      <c r="AQ106" s="5" t="n"/>
      <c r="AR106" s="5" t="n"/>
      <c r="AS106" s="5" t="n"/>
      <c r="AT106" s="5" t="n"/>
      <c r="AU106" s="5" t="n"/>
      <c r="AV106" s="5" t="n"/>
      <c r="AW106" s="5" t="n"/>
    </row>
    <row r="107">
      <c r="AW107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zoomScale="81" workbookViewId="0">
      <selection activeCell="C16" sqref="C16"/>
    </sheetView>
  </sheetViews>
  <sheetFormatPr baseColWidth="10" defaultRowHeight="16"/>
  <cols>
    <col width="26.5" customWidth="1" min="1" max="1"/>
    <col width="14.5" bestFit="1" customWidth="1" min="2" max="2"/>
    <col width="15.33203125" bestFit="1" customWidth="1" min="3" max="3"/>
    <col width="17.83203125" bestFit="1" customWidth="1" min="4" max="4"/>
    <col width="15.83203125" bestFit="1" customWidth="1" min="5" max="5"/>
    <col width="17.1640625" bestFit="1" customWidth="1" min="6" max="6"/>
    <col width="14" bestFit="1" customWidth="1" min="7" max="7"/>
    <col width="12.5" bestFit="1" customWidth="1" min="8" max="8"/>
    <col width="14.5" bestFit="1" customWidth="1" min="9" max="9"/>
    <col width="10.83203125" bestFit="1" customWidth="1" min="10" max="10"/>
    <col width="12.6640625" bestFit="1" customWidth="1" min="11" max="11"/>
    <col width="5.1640625" bestFit="1" customWidth="1" min="12" max="12"/>
    <col width="9.1640625" bestFit="1" customWidth="1" min="13" max="13"/>
    <col width="10.5" bestFit="1" customWidth="1" min="14" max="14"/>
    <col width="13.1640625" bestFit="1" customWidth="1" min="15" max="15"/>
    <col width="2.6640625" customWidth="1" min="16" max="16"/>
    <col width="11.83203125" bestFit="1" customWidth="1" min="17" max="17"/>
  </cols>
  <sheetData>
    <row r="1">
      <c r="A1" s="21" t="inlineStr">
        <is>
          <t>Levelized cost for Synthetic Ethylene Production - $/GJ-ethylene - no chemicals CO2 sequestration</t>
        </is>
      </c>
      <c r="Q1" s="24" t="inlineStr">
        <is>
          <t>Assumptions</t>
        </is>
      </c>
    </row>
    <row r="2" ht="32" customHeight="1">
      <c r="A2" s="4" t="inlineStr">
        <is>
          <t>id_LC</t>
        </is>
      </c>
      <c r="B2" s="4" t="inlineStr">
        <is>
          <t>h2_consumption</t>
        </is>
      </c>
      <c r="C2" s="4" t="inlineStr">
        <is>
          <t>elec_consumption</t>
        </is>
      </c>
      <c r="D2" s="4" t="inlineStr">
        <is>
          <t>co2captured_consumption</t>
        </is>
      </c>
      <c r="E2" s="4" t="inlineStr">
        <is>
          <t>natgas_production</t>
        </is>
      </c>
      <c r="F2" s="4" t="inlineStr">
        <is>
          <t>gasoline_production</t>
        </is>
      </c>
      <c r="G2" s="4" t="inlineStr">
        <is>
          <t>investment_cost</t>
        </is>
      </c>
      <c r="H2" s="4" t="inlineStr">
        <is>
          <t>fixed_om_cost</t>
        </is>
      </c>
      <c r="I2" s="4" t="inlineStr">
        <is>
          <t>variable_om_cost</t>
        </is>
      </c>
      <c r="J2" s="22" t="inlineStr">
        <is>
          <t>modified capture cost</t>
        </is>
      </c>
      <c r="K2" s="22" t="inlineStr">
        <is>
          <t>modified emissions cost</t>
        </is>
      </c>
      <c r="L2" s="22" t="inlineStr">
        <is>
          <t>CI</t>
        </is>
      </c>
      <c r="M2" s="23" t="inlineStr">
        <is>
          <t>LCOE ($/t-ethylene)</t>
        </is>
      </c>
      <c r="N2" s="23" t="inlineStr">
        <is>
          <t>LCOE ($/GJ-ethylene)</t>
        </is>
      </c>
      <c r="O2" s="23" t="inlineStr">
        <is>
          <t>CHECK LCOE ($/GJ-ethylene)</t>
        </is>
      </c>
      <c r="Q2" t="inlineStr">
        <is>
          <t>Ethylene LHV</t>
        </is>
      </c>
      <c r="R2" t="n">
        <v>45.6</v>
      </c>
      <c r="S2" t="inlineStr">
        <is>
          <t>GJ/t-ethylene</t>
        </is>
      </c>
    </row>
    <row r="3">
      <c r="A3">
        <f>lc_detailed!AO3</f>
        <v/>
      </c>
      <c r="B3" s="25">
        <f>lc_detailed!AW3/$R$2</f>
        <v/>
      </c>
      <c r="C3" s="25">
        <f>lc_detailed!AX3/$R$2</f>
        <v/>
      </c>
      <c r="D3" s="25">
        <f>lc_detailed!AY3/$R$2</f>
        <v/>
      </c>
      <c r="E3" s="25">
        <f>lc_detailed!AZ3/$R$2</f>
        <v/>
      </c>
      <c r="F3" s="25">
        <f>lc_detailed!BA3/$R$2</f>
        <v/>
      </c>
      <c r="G3" s="25">
        <f>lc_detailed!BB3/$R$2</f>
        <v/>
      </c>
      <c r="H3" s="25">
        <f>lc_detailed!BC3/$R$2</f>
        <v/>
      </c>
      <c r="I3" s="25">
        <f>lc_detailed!BD3/$R$2</f>
        <v/>
      </c>
      <c r="J3" s="25">
        <f>lc_detailed!BL3/$R$2</f>
        <v/>
      </c>
      <c r="K3" s="25">
        <f>lc_detailed!BM3/$R$2</f>
        <v/>
      </c>
      <c r="L3" s="25">
        <f>lc_detailed!BK3</f>
        <v/>
      </c>
      <c r="M3" s="25">
        <f>lc_detailed!AT3</f>
        <v/>
      </c>
      <c r="N3" s="25">
        <f>M3/$R$2</f>
        <v/>
      </c>
      <c r="O3" s="25">
        <f>SUM(B3:K3)</f>
        <v/>
      </c>
    </row>
    <row r="4">
      <c r="A4">
        <f>lc_detailed!AO4</f>
        <v/>
      </c>
      <c r="B4" s="25">
        <f>lc_detailed!AW4/$R$2</f>
        <v/>
      </c>
      <c r="C4" s="25">
        <f>lc_detailed!AX4/$R$2</f>
        <v/>
      </c>
      <c r="D4" s="25">
        <f>lc_detailed!AY4/$R$2</f>
        <v/>
      </c>
      <c r="E4" s="25">
        <f>lc_detailed!AZ4/$R$2</f>
        <v/>
      </c>
      <c r="F4" s="25">
        <f>lc_detailed!BA4/$R$2</f>
        <v/>
      </c>
      <c r="G4" s="25">
        <f>lc_detailed!BB4/$R$2</f>
        <v/>
      </c>
      <c r="H4" s="25">
        <f>lc_detailed!BC4/$R$2</f>
        <v/>
      </c>
      <c r="I4" s="25">
        <f>lc_detailed!BD4/$R$2</f>
        <v/>
      </c>
      <c r="J4" s="25">
        <f>lc_detailed!BL4/$R$2</f>
        <v/>
      </c>
      <c r="K4" s="25">
        <f>lc_detailed!BM4/$R$2</f>
        <v/>
      </c>
      <c r="L4" s="25">
        <f>lc_detailed!BK4</f>
        <v/>
      </c>
      <c r="M4" s="25">
        <f>lc_detailed!AT4</f>
        <v/>
      </c>
      <c r="N4" s="25">
        <f>M4/$R$2</f>
        <v/>
      </c>
      <c r="O4" s="25">
        <f>SUM(B4:K4)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zoomScale="75" workbookViewId="0">
      <selection activeCell="E18" sqref="E18"/>
    </sheetView>
  </sheetViews>
  <sheetFormatPr baseColWidth="10" defaultRowHeight="16"/>
  <cols>
    <col width="13.5" customWidth="1" min="1" max="1"/>
    <col width="14.33203125" bestFit="1" customWidth="1" min="2" max="2"/>
    <col width="15.33203125" bestFit="1" customWidth="1" min="3" max="3"/>
    <col width="17.6640625" bestFit="1" customWidth="1" min="4" max="4"/>
    <col width="15.6640625" bestFit="1" customWidth="1" min="5" max="5"/>
    <col width="17.1640625" bestFit="1" customWidth="1" min="6" max="6"/>
    <col width="13.83203125" bestFit="1" customWidth="1" min="7" max="7"/>
    <col width="12.33203125" bestFit="1" customWidth="1" min="8" max="8"/>
    <col width="14.6640625" bestFit="1" customWidth="1" min="9" max="9"/>
    <col width="11" bestFit="1" customWidth="1" min="10" max="10"/>
    <col width="15.83203125" bestFit="1" customWidth="1" min="11" max="11"/>
    <col width="11.5" bestFit="1" customWidth="1" min="12" max="12"/>
    <col width="13" bestFit="1" customWidth="1" min="13" max="13"/>
    <col width="12" bestFit="1" customWidth="1" min="14" max="14"/>
    <col width="15.33203125" bestFit="1" customWidth="1" min="15" max="15"/>
    <col width="2.33203125" customWidth="1" min="16" max="16"/>
    <col width="12.33203125" bestFit="1" customWidth="1" min="17" max="17"/>
    <col width="6" bestFit="1" customWidth="1" min="18" max="18"/>
    <col width="12.33203125" bestFit="1" customWidth="1" min="19" max="19"/>
  </cols>
  <sheetData>
    <row r="1">
      <c r="A1" s="21" t="inlineStr">
        <is>
          <t>Levelized cost for Synthetic Ethylene Production - $/GJ-ethylene - chemicals CO2 sequestration</t>
        </is>
      </c>
      <c r="Q1" s="24" t="inlineStr">
        <is>
          <t>Assumptions</t>
        </is>
      </c>
    </row>
    <row r="2" ht="48" customHeight="1">
      <c r="A2" s="4" t="inlineStr">
        <is>
          <t>id_LC</t>
        </is>
      </c>
      <c r="B2" s="4" t="inlineStr">
        <is>
          <t>h2_consumption</t>
        </is>
      </c>
      <c r="C2" s="4" t="inlineStr">
        <is>
          <t>elec_consumption</t>
        </is>
      </c>
      <c r="D2" s="4" t="inlineStr">
        <is>
          <t>co2captured_consumption</t>
        </is>
      </c>
      <c r="E2" s="4" t="inlineStr">
        <is>
          <t>natgas_production</t>
        </is>
      </c>
      <c r="F2" s="4" t="inlineStr">
        <is>
          <t>gasoline_production</t>
        </is>
      </c>
      <c r="G2" s="4" t="inlineStr">
        <is>
          <t>investment_cost</t>
        </is>
      </c>
      <c r="H2" s="4" t="inlineStr">
        <is>
          <t>fixed_om_cost</t>
        </is>
      </c>
      <c r="I2" s="4" t="inlineStr">
        <is>
          <t>variable_om_cost</t>
        </is>
      </c>
      <c r="J2" s="22" t="inlineStr">
        <is>
          <t>modified capture cost</t>
        </is>
      </c>
      <c r="K2" s="22" t="inlineStr">
        <is>
          <t>modified emissions cost</t>
        </is>
      </c>
      <c r="L2" s="22" t="inlineStr">
        <is>
          <t>CI</t>
        </is>
      </c>
      <c r="M2" s="23" t="inlineStr">
        <is>
          <t>LCOE ($/t-ethylene)</t>
        </is>
      </c>
      <c r="N2" s="23" t="inlineStr">
        <is>
          <t>LCOE ($/GJ-ethylene)</t>
        </is>
      </c>
      <c r="O2" s="23" t="inlineStr">
        <is>
          <t>CHECK LCOE ($/GJ-ethylene)</t>
        </is>
      </c>
      <c r="Q2" t="inlineStr">
        <is>
          <t>Ethylene LHV</t>
        </is>
      </c>
      <c r="R2" t="n">
        <v>45.6</v>
      </c>
      <c r="S2" t="inlineStr">
        <is>
          <t>GJ/t-ethylene</t>
        </is>
      </c>
    </row>
    <row r="3">
      <c r="A3">
        <f>lc_detailed!AO3</f>
        <v/>
      </c>
      <c r="B3" s="25">
        <f>lc_detailed!AW3/$R$2</f>
        <v/>
      </c>
      <c r="C3" s="25">
        <f>lc_detailed!AX3/$R$2</f>
        <v/>
      </c>
      <c r="D3" s="25">
        <f>lc_detailed!AY3/$R$2</f>
        <v/>
      </c>
      <c r="E3" s="25">
        <f>lc_detailed!AZ3/$R$2</f>
        <v/>
      </c>
      <c r="F3" s="25">
        <f>lc_detailed!BA3/$R$2</f>
        <v/>
      </c>
      <c r="G3" s="25">
        <f>lc_detailed!BB3/$R$2</f>
        <v/>
      </c>
      <c r="H3" s="25">
        <f>lc_detailed!BC3/$R$2</f>
        <v/>
      </c>
      <c r="I3" s="25">
        <f>lc_detailed!BD3/$R$2</f>
        <v/>
      </c>
      <c r="J3" s="25">
        <f>lc_detailed!BF3/$R$2</f>
        <v/>
      </c>
      <c r="K3" s="25">
        <f>lc_detailed!BG3/$R$2</f>
        <v/>
      </c>
      <c r="L3" s="25">
        <f>lc_detailed!BH3</f>
        <v/>
      </c>
      <c r="M3" s="25">
        <f>lc_detailed!AQ3</f>
        <v/>
      </c>
      <c r="N3" s="25">
        <f>M3/$R$2</f>
        <v/>
      </c>
      <c r="O3" s="25">
        <f>SUM(B3:K3)</f>
        <v/>
      </c>
    </row>
    <row r="4">
      <c r="A4">
        <f>lc_detailed!AO4</f>
        <v/>
      </c>
      <c r="B4" s="25">
        <f>lc_detailed!AW4/$R$2</f>
        <v/>
      </c>
      <c r="C4" s="25">
        <f>lc_detailed!AX4/$R$2</f>
        <v/>
      </c>
      <c r="D4" s="25">
        <f>lc_detailed!AY4/$R$2</f>
        <v/>
      </c>
      <c r="E4" s="25">
        <f>lc_detailed!AZ4/$R$2</f>
        <v/>
      </c>
      <c r="F4" s="25">
        <f>lc_detailed!BA4/$R$2</f>
        <v/>
      </c>
      <c r="G4" s="25">
        <f>lc_detailed!BB4/$R$2</f>
        <v/>
      </c>
      <c r="H4" s="25">
        <f>lc_detailed!BC4/$R$2</f>
        <v/>
      </c>
      <c r="I4" s="25">
        <f>lc_detailed!BD4/$R$2</f>
        <v/>
      </c>
      <c r="J4" s="25">
        <f>lc_detailed!BF4/$R$2</f>
        <v/>
      </c>
      <c r="K4" s="25">
        <f>lc_detailed!BG4/$R$2</f>
        <v/>
      </c>
      <c r="L4" s="25">
        <f>lc_detailed!BH4</f>
        <v/>
      </c>
      <c r="M4" s="25">
        <f>lc_detailed!AQ4</f>
        <v/>
      </c>
      <c r="N4" s="25">
        <f>M4/$R$2</f>
        <v/>
      </c>
      <c r="O4" s="25">
        <f>SUM(B4:K4)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Abigail Cheng</dc:creator>
  <dcterms:created xsi:type="dcterms:W3CDTF">2026-04-05T17:24:30Z</dcterms:created>
  <dcterms:modified xsi:type="dcterms:W3CDTF">2026-04-11T21:18:11Z</dcterms:modified>
  <cp:lastModifiedBy>Abigail Cheng</cp:lastModifiedBy>
</cp:coreProperties>
</file>