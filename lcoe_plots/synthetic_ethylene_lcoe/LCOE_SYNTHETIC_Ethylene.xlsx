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ynthetic_ethylene_lcoe/"/>
    </mc:Choice>
  </mc:AlternateContent>
  <xr:revisionPtr revIDLastSave="0" documentId="13_ncr:1_{028B3B37-9581-DF4F-9A1E-60ADDC5D8560}" xr6:coauthVersionLast="47" xr6:coauthVersionMax="47" xr10:uidLastSave="{00000000-0000-0000-0000-000000000000}"/>
  <bookViews>
    <workbookView xWindow="29400" yWindow="500" windowWidth="38400" windowHeight="21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4" i="1"/>
  <c r="N5" i="1"/>
  <c r="N4" i="1"/>
  <c r="BY5" i="1"/>
  <c r="BY4" i="1"/>
  <c r="BW4" i="1"/>
  <c r="CA4" i="1" s="1"/>
  <c r="CB5" i="1"/>
  <c r="BX5" i="1"/>
  <c r="BO5" i="1"/>
  <c r="BW5" i="1" s="1"/>
  <c r="CA5" i="1" s="1"/>
  <c r="BP5" i="1"/>
  <c r="BQ5" i="1"/>
  <c r="BQ4" i="1"/>
  <c r="BX4" i="1" s="1"/>
  <c r="BP4" i="1"/>
  <c r="CB4" i="1" s="1"/>
  <c r="BO4" i="1"/>
  <c r="CF6" i="1"/>
  <c r="BR4" i="1" s="1"/>
  <c r="BR5" i="1" l="1"/>
  <c r="AX5" i="1" l="1"/>
  <c r="AX4" i="1"/>
  <c r="AT4" i="1"/>
  <c r="BA5" i="1"/>
  <c r="AZ5" i="1"/>
  <c r="AY5" i="1"/>
  <c r="AW5" i="1"/>
  <c r="AV5" i="1"/>
  <c r="AU5" i="1"/>
  <c r="AT5" i="1"/>
  <c r="AM5" i="1"/>
  <c r="AL5" i="1"/>
  <c r="BA4" i="1"/>
  <c r="AZ4" i="1"/>
  <c r="AY4" i="1"/>
  <c r="AW4" i="1"/>
  <c r="AV4" i="1"/>
  <c r="AU4" i="1"/>
  <c r="AM4" i="1"/>
  <c r="AL4" i="1"/>
  <c r="AO5" i="1" l="1"/>
  <c r="AN5" i="1"/>
  <c r="AO4" i="1"/>
  <c r="AR5" i="1"/>
  <c r="AQ4" i="1"/>
  <c r="AR4" i="1"/>
  <c r="AQ5" i="1"/>
  <c r="AN4" i="1"/>
  <c r="AS4" i="1" l="1"/>
  <c r="AP4" i="1"/>
  <c r="AP5" i="1"/>
  <c r="AS5" i="1"/>
</calcChain>
</file>

<file path=xl/sharedStrings.xml><?xml version="1.0" encoding="utf-8"?>
<sst xmlns="http://schemas.openxmlformats.org/spreadsheetml/2006/main" count="104" uniqueCount="90">
  <si>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</si>
  <si>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</si>
  <si>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</si>
  <si>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</si>
  <si>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</si>
  <si>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</si>
  <si>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</si>
  <si>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</si>
  <si>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</si>
  <si>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</si>
  <si>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</si>
  <si>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</si>
  <si>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</si>
  <si>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</si>
  <si>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id</t>
  </si>
  <si>
    <t>commodity</t>
  </si>
  <si>
    <t>h2_consumption (MWh/t-CO2Captured)</t>
  </si>
  <si>
    <t>elec_consumption (MWh/t-CO2Captured)</t>
  </si>
  <si>
    <t>ethylene_production (t-ethylene/t-CO2Captured)</t>
  </si>
  <si>
    <t>natgas_production (MWh/t-CO2Captured)</t>
  </si>
  <si>
    <t>emission_rate (t-CO2/t-CO2Captured)</t>
  </si>
  <si>
    <t>investment_cost ($/yr per t-CO2Captured/hr)</t>
  </si>
  <si>
    <t>fixed_om_cost ($/yr per t-CO2Captured/hr)</t>
  </si>
  <si>
    <t>variable_om_cost ($/t-CO2Captured)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</si>
  <si>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</si>
  <si>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</si>
  <si>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</si>
  <si>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</si>
  <si>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</si>
  <si>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</si>
  <si>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</si>
  <si>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</si>
  <si>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</si>
  <si>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</si>
  <si>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</si>
  <si>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</si>
  <si>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</si>
  <si>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</si>
  <si>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</si>
  <si>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</si>
  <si>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</si>
  <si>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</si>
  <si>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</si>
  <si>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</si>
  <si>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</si>
  <si>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</si>
  <si>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</si>
  <si>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</si>
  <si>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</si>
  <si>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</si>
  <si>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</si>
  <si>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ethane_consumption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</si>
  <si>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</si>
  <si>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</si>
  <si>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</si>
  <si>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</si>
  <si>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</si>
  <si>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</si>
  <si>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</si>
  <si>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</si>
  <si>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NG (t-CO2/MWh-NG)</t>
  </si>
  <si>
    <t>CA_Synthetic_Ethylene_Non_CCS</t>
  </si>
  <si>
    <t>CA_Synthetic_Ethylene_CCS_90</t>
  </si>
  <si>
    <t>CO2Captured</t>
  </si>
  <si>
    <t>gasoline_production (MWh/t-CO2Captured)</t>
  </si>
  <si>
    <t>gasoline_production</t>
  </si>
  <si>
    <t>Gasoline (t-CO2/MWh-gasoline)</t>
  </si>
  <si>
    <t>Assumptions</t>
  </si>
  <si>
    <t>Ethylene Carbon Content</t>
  </si>
  <si>
    <t>t-CO2/t-ethylene</t>
  </si>
  <si>
    <t>Gasoline Carbon Content</t>
  </si>
  <si>
    <t>Natural Gas Carbon Content</t>
  </si>
  <si>
    <t>Capacity Factor</t>
  </si>
  <si>
    <t>t-CO2/MWh-gasoline</t>
  </si>
  <si>
    <t>t-CO2/MWh-natgas</t>
  </si>
  <si>
    <t>LPG (t-CO2/t-LPG)</t>
  </si>
  <si>
    <t>LPG Carbon Content</t>
  </si>
  <si>
    <t>t-CO2/t-LPG</t>
  </si>
  <si>
    <t>%</t>
  </si>
  <si>
    <t>CO2Captured (t-CO2/t-CO2Captured)</t>
  </si>
  <si>
    <t>CO2Captured - ADJUSTED FEEDSTOCK (t-CO2/t-CO2Captured)</t>
  </si>
  <si>
    <t>Ethylene (t-CO2/t-CO2Captured)</t>
  </si>
  <si>
    <t>NG (t-CO2/t-CO2Captured)</t>
  </si>
  <si>
    <t>Emissions (t-CO2/t-CO2Captured)</t>
  </si>
  <si>
    <t>Captured (t-CO2/t-CO2Captured)</t>
  </si>
  <si>
    <t>LPG (t-CO2/t-CO2Captured)</t>
  </si>
  <si>
    <t>Gasoline (t-CO2/t-CO2Captured)</t>
  </si>
  <si>
    <t>Total Output (t-CO2/t-CO2Captured)</t>
  </si>
  <si>
    <t>LPG (t-LPG/t-CO2Captured)</t>
  </si>
  <si>
    <t>LPG (t-LPG/t-ethylene)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</si>
</sst>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5" fillId="0" borderId="0" xfId="0" applyFont="1"/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G108"/>
  <sheetViews>
    <sheetView tabSelected="1" topLeftCell="AT1" zoomScale="111" zoomScaleNormal="157" workbookViewId="0">
      <selection activeCell="M5" sqref="M5"/>
    </sheetView>
  </sheetViews>
  <sheetFormatPr baseColWidth="10" defaultRowHeight="16" x14ac:dyDescent="0.2"/>
  <cols>
    <col min="1" max="1" width="2.6640625" style="1" customWidth="1"/>
    <col min="2" max="2" width="28.6640625" style="1" customWidth="1"/>
    <col min="3" max="3" width="12.6640625" style="1" bestFit="1" customWidth="1"/>
    <col min="4" max="4" width="32.33203125" style="1" bestFit="1" customWidth="1"/>
    <col min="5" max="5" width="33.33203125" style="1" bestFit="1" customWidth="1"/>
    <col min="6" max="6" width="39" style="1" bestFit="1" customWidth="1"/>
    <col min="7" max="7" width="33.6640625" style="1" bestFit="1" customWidth="1"/>
    <col min="8" max="8" width="35" style="1" bestFit="1" customWidth="1"/>
    <col min="9" max="9" width="29.83203125" style="1" bestFit="1" customWidth="1"/>
    <col min="10" max="10" width="35.6640625" style="1" bestFit="1" customWidth="1"/>
    <col min="11" max="11" width="34.1640625" style="1" bestFit="1" customWidth="1"/>
    <col min="12" max="12" width="29.33203125" style="1" bestFit="1" customWidth="1"/>
    <col min="13" max="13" width="22" style="1" bestFit="1" customWidth="1"/>
    <col min="14" max="14" width="18.1640625" style="1" bestFit="1" customWidth="1"/>
    <col min="15" max="15" width="3" style="1" customWidth="1"/>
    <col min="16" max="16" width="12.83203125" style="1" bestFit="1" customWidth="1"/>
    <col min="17" max="17" width="11" style="1" customWidth="1"/>
    <col min="18" max="18" width="12.83203125" style="1" customWidth="1"/>
    <col min="19" max="19" width="13.83203125" style="1" customWidth="1"/>
    <col min="20" max="20" width="12" style="1" customWidth="1"/>
    <col min="21" max="21" width="11.83203125" style="1" customWidth="1"/>
    <col min="22" max="22" width="13.5" style="1" customWidth="1"/>
    <col min="23" max="23" width="14.33203125" style="1" customWidth="1"/>
    <col min="24" max="24" width="11" style="1" customWidth="1"/>
    <col min="25" max="25" width="9.33203125" style="1" customWidth="1"/>
    <col min="26" max="26" width="10.83203125" style="1" customWidth="1"/>
    <col min="27" max="27" width="14.83203125" style="1" customWidth="1"/>
    <col min="28" max="28" width="14.5" style="1" customWidth="1"/>
    <col min="29" max="30" width="12.5" style="1" customWidth="1"/>
    <col min="31" max="31" width="12.1640625" style="1" customWidth="1"/>
    <col min="32" max="32" width="13.1640625" style="1" customWidth="1"/>
    <col min="33" max="33" width="9.6640625" style="1" customWidth="1"/>
    <col min="34" max="34" width="9.83203125" style="1" customWidth="1"/>
    <col min="35" max="35" width="14.5" style="1" customWidth="1"/>
    <col min="36" max="36" width="15.33203125" style="1" customWidth="1"/>
    <col min="37" max="37" width="3.33203125" customWidth="1"/>
    <col min="38" max="38" width="18.83203125" style="1" customWidth="1"/>
    <col min="39" max="39" width="19.83203125" style="1" customWidth="1"/>
    <col min="40" max="40" width="15.6640625" style="1" bestFit="1" customWidth="1"/>
    <col min="41" max="41" width="15.6640625" style="1" customWidth="1"/>
    <col min="42" max="42" width="18.33203125" style="1" bestFit="1" customWidth="1"/>
    <col min="43" max="44" width="15.6640625" style="1" customWidth="1"/>
    <col min="45" max="45" width="18.33203125" style="1" bestFit="1" customWidth="1"/>
    <col min="46" max="46" width="14.1640625" style="1" bestFit="1" customWidth="1"/>
    <col min="47" max="47" width="15.1640625" style="1" bestFit="1" customWidth="1"/>
    <col min="48" max="48" width="17.33203125" style="1" bestFit="1" customWidth="1"/>
    <col min="49" max="49" width="15.5" style="1" customWidth="1"/>
    <col min="50" max="50" width="17" style="1" bestFit="1" customWidth="1"/>
    <col min="51" max="51" width="13.6640625" style="1" bestFit="1" customWidth="1"/>
    <col min="52" max="52" width="12.1640625" style="1" bestFit="1" customWidth="1"/>
    <col min="53" max="53" width="14.5" style="1" bestFit="1" customWidth="1"/>
    <col min="54" max="54" width="10.5" style="1" customWidth="1"/>
    <col min="55" max="55" width="17.83203125" style="1" bestFit="1" customWidth="1"/>
    <col min="56" max="56" width="19.6640625" style="1" bestFit="1" customWidth="1"/>
    <col min="57" max="57" width="12.1640625" style="1" customWidth="1"/>
    <col min="58" max="58" width="17.83203125" style="1" bestFit="1" customWidth="1"/>
    <col min="59" max="59" width="19.33203125" style="1" bestFit="1" customWidth="1"/>
    <col min="60" max="60" width="18" style="1" customWidth="1"/>
    <col min="61" max="61" width="17.83203125" style="1" bestFit="1" customWidth="1"/>
    <col min="62" max="62" width="19.33203125" style="1" bestFit="1" customWidth="1"/>
    <col min="63" max="63" width="9.6640625" style="1" customWidth="1"/>
    <col min="64" max="64" width="17.83203125" style="1" bestFit="1" customWidth="1"/>
    <col min="65" max="65" width="19.33203125" style="1" bestFit="1" customWidth="1"/>
    <col min="66" max="66" width="3.33203125" style="1" customWidth="1"/>
    <col min="67" max="67" width="22" style="1" bestFit="1" customWidth="1"/>
    <col min="68" max="68" width="25.1640625" style="1" bestFit="1" customWidth="1"/>
    <col min="69" max="69" width="17.33203125" style="1" bestFit="1" customWidth="1"/>
    <col min="70" max="70" width="17.33203125" style="1" customWidth="1"/>
    <col min="71" max="71" width="3.6640625" style="1" customWidth="1"/>
    <col min="72" max="72" width="29.5" style="1" bestFit="1" customWidth="1"/>
    <col min="73" max="73" width="47.83203125" style="1" bestFit="1" customWidth="1"/>
    <col min="74" max="74" width="3.33203125" style="1" customWidth="1"/>
    <col min="75" max="75" width="23" style="1" bestFit="1" customWidth="1"/>
    <col min="76" max="76" width="17.83203125" style="1" bestFit="1" customWidth="1"/>
    <col min="77" max="77" width="23.6640625" style="1" bestFit="1" customWidth="1"/>
    <col min="78" max="78" width="23.1640625" style="1" bestFit="1" customWidth="1"/>
    <col min="79" max="79" width="18.5" style="1" bestFit="1" customWidth="1"/>
    <col min="80" max="80" width="18.5" style="1" customWidth="1"/>
    <col min="81" max="81" width="26" style="1" bestFit="1" customWidth="1"/>
    <col min="82" max="82" width="10.83203125" style="1" customWidth="1"/>
    <col min="83" max="83" width="22.5" style="1" bestFit="1" customWidth="1"/>
    <col min="84" max="84" width="10.83203125" style="1" customWidth="1"/>
    <col min="85" max="85" width="17.1640625" style="1" bestFit="1" customWidth="1"/>
    <col min="86" max="91" width="10.83203125" style="1" customWidth="1"/>
    <col min="92" max="16384" width="10.83203125" style="1"/>
  </cols>
  <sheetData>
    <row r="2" spans="2:85" x14ac:dyDescent="0.2">
      <c r="B2" s="1" t="s">
        <v>0</v>
      </c>
      <c r="P2" s="1" t="s">
        <v>1</v>
      </c>
      <c r="AL2" s="1" t="s">
        <v>2</v>
      </c>
      <c r="AN2" s="1" t="s">
        <v>3</v>
      </c>
      <c r="AO2" s="1" t="s">
        <v>4</v>
      </c>
      <c r="AQ2" s="1" t="s">
        <v>5</v>
      </c>
      <c r="AR2" s="1" t="s">
        <v>6</v>
      </c>
      <c r="BB2" s="1" t="s">
        <v>7</v>
      </c>
      <c r="BE2" s="1" t="s">
        <v>8</v>
      </c>
      <c r="BH2" s="1" t="s">
        <v>9</v>
      </c>
      <c r="BK2" s="1" t="s">
        <v>10</v>
      </c>
      <c r="BO2" s="1" t="s">
        <v>11</v>
      </c>
      <c r="BT2" s="1" t="s">
        <v>12</v>
      </c>
      <c r="BW2" s="1" t="s">
        <v>13</v>
      </c>
      <c r="CE2" s="18" t="s">
        <v>67</v>
      </c>
    </row>
    <row r="3" spans="2:85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64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88</v>
      </c>
      <c r="N3" s="2" t="s">
        <v>89</v>
      </c>
      <c r="P3" s="15" t="s">
        <v>24</v>
      </c>
      <c r="Q3" s="15" t="s">
        <v>25</v>
      </c>
      <c r="R3" s="15" t="s">
        <v>26</v>
      </c>
      <c r="S3" s="15" t="s">
        <v>27</v>
      </c>
      <c r="T3" s="15" t="s">
        <v>28</v>
      </c>
      <c r="U3" s="7" t="s">
        <v>29</v>
      </c>
      <c r="V3" s="15" t="s">
        <v>30</v>
      </c>
      <c r="W3" s="15" t="s">
        <v>31</v>
      </c>
      <c r="X3" s="15" t="s">
        <v>32</v>
      </c>
      <c r="Y3" s="15" t="s">
        <v>33</v>
      </c>
      <c r="Z3" s="15" t="s">
        <v>34</v>
      </c>
      <c r="AA3" s="15" t="s">
        <v>35</v>
      </c>
      <c r="AB3" s="15" t="s">
        <v>36</v>
      </c>
      <c r="AC3" s="15" t="s">
        <v>37</v>
      </c>
      <c r="AD3" s="15" t="s">
        <v>38</v>
      </c>
      <c r="AE3" s="15" t="s">
        <v>39</v>
      </c>
      <c r="AF3" s="15" t="s">
        <v>40</v>
      </c>
      <c r="AG3" s="15" t="s">
        <v>41</v>
      </c>
      <c r="AH3" s="15" t="s">
        <v>42</v>
      </c>
      <c r="AI3" s="15" t="s">
        <v>43</v>
      </c>
      <c r="AJ3" s="15" t="s">
        <v>44</v>
      </c>
      <c r="AL3" s="4" t="s">
        <v>45</v>
      </c>
      <c r="AM3" s="4" t="s">
        <v>46</v>
      </c>
      <c r="AN3" s="3" t="s">
        <v>47</v>
      </c>
      <c r="AO3" s="6" t="s">
        <v>47</v>
      </c>
      <c r="AP3" s="7" t="s">
        <v>48</v>
      </c>
      <c r="AQ3" s="3" t="s">
        <v>47</v>
      </c>
      <c r="AR3" s="6" t="s">
        <v>47</v>
      </c>
      <c r="AS3" s="7" t="s">
        <v>48</v>
      </c>
      <c r="AT3" s="4" t="s">
        <v>49</v>
      </c>
      <c r="AU3" s="4" t="s">
        <v>50</v>
      </c>
      <c r="AV3" s="4" t="s">
        <v>51</v>
      </c>
      <c r="AW3" s="4" t="s">
        <v>52</v>
      </c>
      <c r="AX3" s="4" t="s">
        <v>65</v>
      </c>
      <c r="AY3" s="4" t="s">
        <v>53</v>
      </c>
      <c r="AZ3" s="4" t="s">
        <v>54</v>
      </c>
      <c r="BA3" s="4" t="s">
        <v>55</v>
      </c>
      <c r="BB3" s="3" t="s">
        <v>56</v>
      </c>
      <c r="BC3" s="3" t="s">
        <v>57</v>
      </c>
      <c r="BD3" s="3" t="s">
        <v>58</v>
      </c>
      <c r="BE3" s="6" t="s">
        <v>56</v>
      </c>
      <c r="BF3" s="6" t="s">
        <v>57</v>
      </c>
      <c r="BG3" s="6" t="s">
        <v>58</v>
      </c>
      <c r="BH3" s="3" t="s">
        <v>56</v>
      </c>
      <c r="BI3" s="3" t="s">
        <v>57</v>
      </c>
      <c r="BJ3" s="3" t="s">
        <v>58</v>
      </c>
      <c r="BK3" s="6" t="s">
        <v>56</v>
      </c>
      <c r="BL3" s="6" t="s">
        <v>57</v>
      </c>
      <c r="BM3" s="6" t="s">
        <v>58</v>
      </c>
      <c r="BO3" s="7" t="s">
        <v>59</v>
      </c>
      <c r="BP3" s="7" t="s">
        <v>66</v>
      </c>
      <c r="BQ3" s="7" t="s">
        <v>60</v>
      </c>
      <c r="BR3" s="7" t="s">
        <v>75</v>
      </c>
      <c r="BT3" s="7" t="s">
        <v>79</v>
      </c>
      <c r="BU3" s="7" t="s">
        <v>80</v>
      </c>
      <c r="BW3" s="7" t="s">
        <v>81</v>
      </c>
      <c r="BX3" s="7" t="s">
        <v>82</v>
      </c>
      <c r="BY3" s="7" t="s">
        <v>83</v>
      </c>
      <c r="BZ3" s="7" t="s">
        <v>84</v>
      </c>
      <c r="CA3" s="7" t="s">
        <v>85</v>
      </c>
      <c r="CB3" s="7" t="s">
        <v>86</v>
      </c>
      <c r="CC3" s="7" t="s">
        <v>87</v>
      </c>
      <c r="CE3" s="20" t="s">
        <v>68</v>
      </c>
      <c r="CF3" s="19">
        <v>3.14</v>
      </c>
      <c r="CG3" s="19" t="s">
        <v>69</v>
      </c>
    </row>
    <row r="4" spans="2:85" x14ac:dyDescent="0.2">
      <c r="B4" s="14" t="s">
        <v>61</v>
      </c>
      <c r="C4" s="13" t="s">
        <v>63</v>
      </c>
      <c r="D4" s="13">
        <v>5.4424706709999997</v>
      </c>
      <c r="E4" s="13">
        <v>0.17633674630000001</v>
      </c>
      <c r="F4" s="13">
        <v>0.1137656428</v>
      </c>
      <c r="G4" s="13">
        <v>0.15787734950000001</v>
      </c>
      <c r="H4" s="13"/>
      <c r="I4" s="13">
        <v>0.42937955880000001</v>
      </c>
      <c r="J4" s="13">
        <v>174237.6587</v>
      </c>
      <c r="K4" s="13">
        <v>95841.654150000002</v>
      </c>
      <c r="L4" s="13">
        <v>2.9463016839999998</v>
      </c>
      <c r="M4" s="13">
        <f>1/(CA4/BR4)</f>
        <v>8.5028075192604816E-2</v>
      </c>
      <c r="N4" s="13">
        <f>M4/F4</f>
        <v>0.74739678078454819</v>
      </c>
      <c r="P4" s="16">
        <v>122.135409</v>
      </c>
      <c r="Q4" s="16">
        <v>-6.4965359999999999</v>
      </c>
      <c r="R4" s="16">
        <v>117.625038</v>
      </c>
      <c r="S4" s="16">
        <v>88.648826</v>
      </c>
      <c r="T4" s="16">
        <v>72.811197000000007</v>
      </c>
      <c r="U4" s="11">
        <v>21.986353300000001</v>
      </c>
      <c r="V4" s="17"/>
      <c r="W4" s="17"/>
      <c r="X4" s="16">
        <v>25.313632999999999</v>
      </c>
      <c r="Y4" s="16">
        <v>8.8090729999999997</v>
      </c>
      <c r="Z4" s="16"/>
      <c r="AA4" s="17">
        <v>0</v>
      </c>
      <c r="AB4" s="17">
        <v>0</v>
      </c>
      <c r="AC4" s="17"/>
      <c r="AD4" s="17"/>
      <c r="AE4" s="17"/>
      <c r="AF4" s="17"/>
      <c r="AG4" s="16">
        <v>11.573017</v>
      </c>
      <c r="AH4" s="16">
        <v>0</v>
      </c>
      <c r="AI4" s="16">
        <v>576.81126900000004</v>
      </c>
      <c r="AJ4" s="16">
        <v>0</v>
      </c>
      <c r="AL4" s="1" t="str">
        <f>B4</f>
        <v>CA_Synthetic_Ethylene_Non_CCS</v>
      </c>
      <c r="AM4" s="1" t="str">
        <f>C4</f>
        <v>CO2Captured</v>
      </c>
      <c r="AN4" s="12">
        <f>SUM(AT4:BA4)+BC4+BD4</f>
        <v>964.86966954612205</v>
      </c>
      <c r="AO4" s="12">
        <f>SUM(AT4:BA4)+BF4+BG4</f>
        <v>964.86966954612205</v>
      </c>
      <c r="AP4" s="5">
        <f t="shared" ref="AP4:AP5" si="0">AN4-AO4</f>
        <v>0</v>
      </c>
      <c r="AQ4" s="12">
        <f>SUM(AT4:BA4)+BI4+BJ4</f>
        <v>964.86966954612205</v>
      </c>
      <c r="AR4" s="12">
        <f>SUM(AT4:BA4)+BL4+BM4</f>
        <v>964.86966954612205</v>
      </c>
      <c r="AS4" s="5">
        <f t="shared" ref="AS4:AS5" si="1">AQ4-AR4</f>
        <v>0</v>
      </c>
      <c r="AT4" s="5">
        <f>D4/F4*Y4</f>
        <v>421.42003737878917</v>
      </c>
      <c r="AU4" s="1">
        <f>E4/F4*X4</f>
        <v>39.236131141099733</v>
      </c>
      <c r="AV4" s="1">
        <f>1/F4*U4</f>
        <v>193.26004546602891</v>
      </c>
      <c r="AW4" s="1">
        <f>G4/F4*AG4*-1</f>
        <v>-16.060360621268707</v>
      </c>
      <c r="AX4" s="1">
        <f>H4/F4*AA4</f>
        <v>0</v>
      </c>
      <c r="AY4" s="1">
        <f>J4/F4/(0.9*8760)</f>
        <v>194.26040330394619</v>
      </c>
      <c r="AZ4" s="1">
        <f>K4/F4/(0.9*8760)</f>
        <v>106.85542108065717</v>
      </c>
      <c r="BA4" s="1">
        <f>L4/F4</f>
        <v>25.897991796869626</v>
      </c>
      <c r="BO4" s="9">
        <f>$CF$3</f>
        <v>3.14</v>
      </c>
      <c r="BP4" s="10">
        <f>$CF$4</f>
        <v>0.24123847100000001</v>
      </c>
      <c r="BQ4" s="9">
        <f>$CF$5</f>
        <v>0.18104824</v>
      </c>
      <c r="BR4" s="9">
        <f>$CF$6</f>
        <v>1.5714285714285715E-2</v>
      </c>
      <c r="BT4" s="10">
        <v>1</v>
      </c>
      <c r="BU4" s="10"/>
      <c r="BW4" s="10">
        <f>BO4*F4</f>
        <v>0.35722411839200002</v>
      </c>
      <c r="BX4" s="10">
        <f>BQ4*G4</f>
        <v>2.8583416262839882E-2</v>
      </c>
      <c r="BY4" s="10">
        <f>I4</f>
        <v>0.42937955880000001</v>
      </c>
      <c r="BZ4" s="10"/>
      <c r="CA4" s="10">
        <f>BT4-SUM(BW4:BY4)</f>
        <v>0.18481290654516003</v>
      </c>
      <c r="CB4" s="10">
        <f>BP4*H4</f>
        <v>0</v>
      </c>
      <c r="CC4" s="10"/>
      <c r="CE4" s="20" t="s">
        <v>70</v>
      </c>
      <c r="CF4" s="19">
        <v>0.24123847100000001</v>
      </c>
      <c r="CG4" s="19" t="s">
        <v>73</v>
      </c>
    </row>
    <row r="5" spans="2:85" x14ac:dyDescent="0.2">
      <c r="B5" s="14" t="s">
        <v>62</v>
      </c>
      <c r="C5" s="13" t="s">
        <v>63</v>
      </c>
      <c r="D5" s="13">
        <v>5.9243674339999997</v>
      </c>
      <c r="E5" s="13">
        <v>0.24466847410000001</v>
      </c>
      <c r="F5" s="13">
        <v>0.1238388794</v>
      </c>
      <c r="G5" s="13">
        <v>0.1718564021</v>
      </c>
      <c r="H5" s="13"/>
      <c r="I5" s="13">
        <v>0.37885468500000002</v>
      </c>
      <c r="J5" s="13">
        <v>209498.31779999999</v>
      </c>
      <c r="K5" s="13">
        <v>115165.852</v>
      </c>
      <c r="L5" s="13">
        <v>3.542547876</v>
      </c>
      <c r="M5" s="13">
        <f>1/(CA5/BR5)</f>
        <v>7.8111766387896325E-2</v>
      </c>
      <c r="N5" s="13">
        <f>M5/F5</f>
        <v>0.63075317514457674</v>
      </c>
      <c r="P5" s="16">
        <v>122.135409</v>
      </c>
      <c r="Q5" s="16">
        <v>-6.4965359999999999</v>
      </c>
      <c r="R5" s="16">
        <v>117.625038</v>
      </c>
      <c r="S5" s="16">
        <v>88.648826</v>
      </c>
      <c r="T5" s="16">
        <v>72.811197000000007</v>
      </c>
      <c r="U5" s="11">
        <v>21.986353300000001</v>
      </c>
      <c r="V5" s="17"/>
      <c r="W5" s="17"/>
      <c r="X5" s="16">
        <v>25.313632999999999</v>
      </c>
      <c r="Y5" s="16">
        <v>8.8090729999999997</v>
      </c>
      <c r="Z5" s="16"/>
      <c r="AA5" s="17">
        <v>0</v>
      </c>
      <c r="AB5" s="17">
        <v>0</v>
      </c>
      <c r="AC5" s="17"/>
      <c r="AD5" s="17"/>
      <c r="AE5" s="17"/>
      <c r="AF5" s="17"/>
      <c r="AG5" s="16">
        <v>11.573017</v>
      </c>
      <c r="AH5" s="16">
        <v>0</v>
      </c>
      <c r="AI5" s="16">
        <v>576.81126900000004</v>
      </c>
      <c r="AJ5" s="16">
        <v>0</v>
      </c>
      <c r="AL5" s="1" t="str">
        <f>B5</f>
        <v>CA_Synthetic_Ethylene_CCS_90</v>
      </c>
      <c r="AM5" s="1" t="str">
        <f>C5</f>
        <v>CO2Captured</v>
      </c>
      <c r="AN5" s="12">
        <f>SUM(AT5:BA5)+BC5+BD5</f>
        <v>994.04783885392965</v>
      </c>
      <c r="AO5" s="12">
        <f>SUM(AT5:BA5)+BF5+BG5</f>
        <v>994.04783885392965</v>
      </c>
      <c r="AP5" s="5">
        <f t="shared" si="0"/>
        <v>0</v>
      </c>
      <c r="AQ5" s="12">
        <f>SUM(AT5:BA5)+BI5+BJ5</f>
        <v>994.04783885392965</v>
      </c>
      <c r="AR5" s="12">
        <f>SUM(AT5:BA5)+BL5+BM5</f>
        <v>994.04783885392965</v>
      </c>
      <c r="AS5" s="5">
        <f t="shared" si="1"/>
        <v>0</v>
      </c>
      <c r="AT5" s="5">
        <f>D5/F5*Y5</f>
        <v>421.42003753409836</v>
      </c>
      <c r="AU5" s="1">
        <f>E5/F5*X5</f>
        <v>50.01214473228999</v>
      </c>
      <c r="AV5" s="1">
        <f>1/F5*U5</f>
        <v>177.53998910942985</v>
      </c>
      <c r="AW5" s="1">
        <f>G5/F5*AG5*-1</f>
        <v>-16.06036062905569</v>
      </c>
      <c r="AX5" s="1">
        <f>H5/F5*AA5</f>
        <v>0</v>
      </c>
      <c r="AY5" s="1">
        <f>J5/F5/(0.9*8760)</f>
        <v>214.57390798665784</v>
      </c>
      <c r="AZ5" s="1">
        <f>K5/F5/(0.9*8760)</f>
        <v>117.95601601844012</v>
      </c>
      <c r="BA5" s="1">
        <f>L5/F5</f>
        <v>28.606104102069256</v>
      </c>
      <c r="BO5" s="9">
        <f>$CF$3</f>
        <v>3.14</v>
      </c>
      <c r="BP5" s="10">
        <f>$CF$4</f>
        <v>0.24123847100000001</v>
      </c>
      <c r="BQ5" s="9">
        <f>$CF$5</f>
        <v>0.18104824</v>
      </c>
      <c r="BR5" s="9">
        <f>$CF$6</f>
        <v>1.5714285714285715E-2</v>
      </c>
      <c r="BT5" s="10">
        <v>1</v>
      </c>
      <c r="BU5" s="10"/>
      <c r="BW5" s="10">
        <f>BO5*F5</f>
        <v>0.38885408131600002</v>
      </c>
      <c r="BX5" s="10">
        <f>BQ5*G5</f>
        <v>3.1114299132937305E-2</v>
      </c>
      <c r="BY5" s="10">
        <f>I5</f>
        <v>0.37885468500000002</v>
      </c>
      <c r="BZ5" s="10"/>
      <c r="CA5" s="10">
        <f>BT5-SUM(BW5:BY5)</f>
        <v>0.20117693455106267</v>
      </c>
      <c r="CB5" s="10">
        <f>BP5*H5</f>
        <v>0</v>
      </c>
      <c r="CC5" s="10"/>
      <c r="CE5" s="20" t="s">
        <v>71</v>
      </c>
      <c r="CF5" s="19">
        <v>0.18104824</v>
      </c>
      <c r="CG5" s="19" t="s">
        <v>74</v>
      </c>
    </row>
    <row r="6" spans="2:85" x14ac:dyDescent="0.2">
      <c r="B6" s="14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P6" s="16"/>
      <c r="Q6" s="16"/>
      <c r="R6" s="16"/>
      <c r="S6" s="16"/>
      <c r="T6" s="16"/>
      <c r="U6" s="11"/>
      <c r="V6" s="17"/>
      <c r="W6" s="17"/>
      <c r="X6" s="16"/>
      <c r="Y6" s="16"/>
      <c r="Z6" s="16"/>
      <c r="AA6" s="17"/>
      <c r="AB6" s="17"/>
      <c r="AC6" s="17"/>
      <c r="AD6" s="17"/>
      <c r="AE6" s="17"/>
      <c r="AF6" s="17"/>
      <c r="AG6" s="16"/>
      <c r="AH6" s="16"/>
      <c r="AI6" s="16"/>
      <c r="AJ6" s="16"/>
      <c r="AN6" s="12"/>
      <c r="AO6" s="12"/>
      <c r="AP6" s="5"/>
      <c r="AQ6" s="12"/>
      <c r="AR6" s="12"/>
      <c r="AS6" s="5"/>
      <c r="AT6" s="5"/>
      <c r="BO6" s="9"/>
      <c r="BP6" s="10"/>
      <c r="BQ6" s="9"/>
      <c r="BR6" s="9"/>
      <c r="BT6" s="10"/>
      <c r="BU6" s="10"/>
      <c r="BW6" s="10"/>
      <c r="BX6" s="10"/>
      <c r="BY6" s="10"/>
      <c r="BZ6" s="10"/>
      <c r="CA6" s="10"/>
      <c r="CB6" s="10"/>
      <c r="CC6" s="10"/>
      <c r="CE6" s="20" t="s">
        <v>76</v>
      </c>
      <c r="CF6" s="19">
        <f>0.22/14</f>
        <v>1.5714285714285715E-2</v>
      </c>
      <c r="CG6" s="19" t="s">
        <v>77</v>
      </c>
    </row>
    <row r="7" spans="2:85" x14ac:dyDescent="0.2">
      <c r="B7" s="14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P7" s="16"/>
      <c r="Q7" s="16"/>
      <c r="R7" s="16"/>
      <c r="S7" s="16"/>
      <c r="T7" s="16"/>
      <c r="U7" s="11"/>
      <c r="V7" s="17"/>
      <c r="W7" s="17"/>
      <c r="X7" s="16"/>
      <c r="Y7" s="16"/>
      <c r="Z7" s="16"/>
      <c r="AA7" s="17"/>
      <c r="AB7" s="17"/>
      <c r="AC7" s="17"/>
      <c r="AD7" s="17"/>
      <c r="AE7" s="17"/>
      <c r="AF7" s="17"/>
      <c r="AG7" s="16"/>
      <c r="AH7" s="16"/>
      <c r="AI7" s="16"/>
      <c r="AJ7" s="16"/>
      <c r="AN7" s="12"/>
      <c r="AO7" s="12"/>
      <c r="AP7" s="5"/>
      <c r="AQ7" s="12"/>
      <c r="AR7" s="12"/>
      <c r="AS7" s="5"/>
      <c r="AT7" s="5"/>
      <c r="BO7" s="9"/>
      <c r="BP7" s="10"/>
      <c r="BQ7" s="9"/>
      <c r="BR7" s="9"/>
      <c r="BT7" s="10"/>
      <c r="BU7" s="10"/>
      <c r="BW7" s="10"/>
      <c r="BX7" s="10"/>
      <c r="BY7" s="10"/>
      <c r="BZ7" s="10"/>
      <c r="CA7" s="10"/>
      <c r="CB7" s="10"/>
      <c r="CC7" s="10"/>
      <c r="CE7" s="20" t="s">
        <v>72</v>
      </c>
      <c r="CF7" s="19">
        <v>0.9</v>
      </c>
      <c r="CG7" s="19" t="s">
        <v>78</v>
      </c>
    </row>
    <row r="8" spans="2:85" x14ac:dyDescent="0.2">
      <c r="B8" s="1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P8" s="16"/>
      <c r="Q8" s="16"/>
      <c r="R8" s="16"/>
      <c r="S8" s="16"/>
      <c r="T8" s="16"/>
      <c r="U8" s="11"/>
      <c r="V8" s="17"/>
      <c r="W8" s="17"/>
      <c r="X8" s="16"/>
      <c r="Y8" s="16"/>
      <c r="Z8" s="16"/>
      <c r="AA8" s="17"/>
      <c r="AB8" s="17"/>
      <c r="AC8" s="17"/>
      <c r="AD8" s="17"/>
      <c r="AE8" s="17"/>
      <c r="AF8" s="17"/>
      <c r="AG8" s="16"/>
      <c r="AH8" s="16"/>
      <c r="AI8" s="16"/>
      <c r="AJ8" s="16"/>
      <c r="AN8" s="12"/>
      <c r="AO8" s="12"/>
      <c r="AP8" s="5"/>
      <c r="AQ8" s="12"/>
      <c r="AR8" s="12"/>
      <c r="AS8" s="5"/>
      <c r="AT8" s="5"/>
      <c r="BO8" s="9"/>
      <c r="BP8" s="10"/>
      <c r="BQ8" s="9"/>
      <c r="BR8" s="9"/>
      <c r="BT8" s="10"/>
      <c r="BU8" s="10"/>
      <c r="BW8" s="10"/>
      <c r="BX8" s="10"/>
      <c r="BY8" s="10"/>
      <c r="BZ8" s="10"/>
      <c r="CA8" s="10"/>
      <c r="CB8" s="10"/>
      <c r="CC8" s="10"/>
    </row>
    <row r="9" spans="2:85" x14ac:dyDescent="0.2">
      <c r="B9" s="14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P9" s="16"/>
      <c r="Q9" s="16"/>
      <c r="R9" s="16"/>
      <c r="S9" s="16"/>
      <c r="T9" s="16"/>
      <c r="U9" s="11"/>
      <c r="V9" s="17"/>
      <c r="W9" s="17"/>
      <c r="X9" s="16"/>
      <c r="Y9" s="16"/>
      <c r="Z9" s="16"/>
      <c r="AA9" s="17"/>
      <c r="AB9" s="17"/>
      <c r="AC9" s="17"/>
      <c r="AD9" s="17"/>
      <c r="AE9" s="17"/>
      <c r="AF9" s="17"/>
      <c r="AG9" s="16"/>
      <c r="AH9" s="16"/>
      <c r="AI9" s="16"/>
      <c r="AJ9" s="16"/>
      <c r="AN9" s="12"/>
      <c r="AO9" s="12"/>
      <c r="AP9" s="5"/>
      <c r="AQ9" s="12"/>
      <c r="AR9" s="12"/>
      <c r="AS9" s="5"/>
      <c r="AT9" s="5"/>
      <c r="BO9" s="9"/>
      <c r="BP9" s="10"/>
      <c r="BQ9" s="9"/>
      <c r="BR9" s="9"/>
      <c r="BT9" s="10"/>
      <c r="BU9" s="10"/>
      <c r="BW9" s="10"/>
      <c r="BX9" s="10"/>
      <c r="BY9" s="10"/>
      <c r="BZ9" s="10"/>
      <c r="CA9" s="10"/>
      <c r="CB9" s="10"/>
      <c r="CC9" s="10"/>
    </row>
    <row r="10" spans="2:85" x14ac:dyDescent="0.2">
      <c r="B10" s="14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P10" s="16"/>
      <c r="Q10" s="16"/>
      <c r="R10" s="16"/>
      <c r="S10" s="16"/>
      <c r="T10" s="16"/>
      <c r="U10" s="11"/>
      <c r="V10" s="17"/>
      <c r="W10" s="17"/>
      <c r="X10" s="16"/>
      <c r="Y10" s="16"/>
      <c r="Z10" s="16"/>
      <c r="AA10" s="17"/>
      <c r="AB10" s="17"/>
      <c r="AC10" s="17"/>
      <c r="AD10" s="17"/>
      <c r="AE10" s="17"/>
      <c r="AF10" s="17"/>
      <c r="AG10" s="16"/>
      <c r="AH10" s="16"/>
      <c r="AI10" s="16"/>
      <c r="AJ10" s="16"/>
      <c r="AN10" s="12"/>
      <c r="AO10" s="12"/>
      <c r="AP10" s="5"/>
      <c r="AQ10" s="12"/>
      <c r="AR10" s="12"/>
      <c r="AS10" s="5"/>
      <c r="AT10" s="5"/>
      <c r="BO10" s="9"/>
      <c r="BP10" s="10"/>
      <c r="BQ10" s="9"/>
      <c r="BR10" s="9"/>
      <c r="BT10" s="10"/>
      <c r="BU10" s="10"/>
      <c r="BW10" s="10"/>
      <c r="BX10" s="10"/>
      <c r="BY10" s="10"/>
      <c r="BZ10" s="10"/>
      <c r="CA10" s="10"/>
      <c r="CB10" s="10"/>
      <c r="CC10" s="10"/>
    </row>
    <row r="11" spans="2:85" x14ac:dyDescent="0.2">
      <c r="B11" s="14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P11" s="16"/>
      <c r="Q11" s="16"/>
      <c r="R11" s="16"/>
      <c r="S11" s="16"/>
      <c r="T11" s="16"/>
      <c r="U11" s="11"/>
      <c r="V11" s="17"/>
      <c r="W11" s="17"/>
      <c r="X11" s="16"/>
      <c r="Y11" s="16"/>
      <c r="Z11" s="16"/>
      <c r="AA11" s="17"/>
      <c r="AB11" s="17"/>
      <c r="AC11" s="17"/>
      <c r="AD11" s="17"/>
      <c r="AE11" s="17"/>
      <c r="AF11" s="17"/>
      <c r="AG11" s="16"/>
      <c r="AH11" s="16"/>
      <c r="AI11" s="16"/>
      <c r="AJ11" s="16"/>
      <c r="AN11" s="12"/>
      <c r="AO11" s="12"/>
      <c r="AP11" s="5"/>
      <c r="AQ11" s="12"/>
      <c r="AR11" s="12"/>
      <c r="AS11" s="5"/>
      <c r="AT11" s="5"/>
      <c r="BO11" s="9"/>
      <c r="BP11" s="10"/>
      <c r="BQ11" s="9"/>
      <c r="BR11" s="9"/>
      <c r="BT11" s="10"/>
      <c r="BU11" s="10"/>
      <c r="BW11" s="10"/>
      <c r="BX11" s="10"/>
      <c r="BY11" s="10"/>
      <c r="BZ11" s="10"/>
      <c r="CA11" s="10"/>
      <c r="CB11" s="10"/>
      <c r="CC11" s="10"/>
    </row>
    <row r="12" spans="2:85" x14ac:dyDescent="0.2">
      <c r="B12" s="14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P12" s="16"/>
      <c r="Q12" s="16"/>
      <c r="R12" s="16"/>
      <c r="S12" s="16"/>
      <c r="T12" s="16"/>
      <c r="U12" s="11"/>
      <c r="V12" s="17"/>
      <c r="W12" s="17"/>
      <c r="X12" s="16"/>
      <c r="Y12" s="16"/>
      <c r="Z12" s="16"/>
      <c r="AA12" s="17"/>
      <c r="AB12" s="17"/>
      <c r="AC12" s="17"/>
      <c r="AD12" s="17"/>
      <c r="AE12" s="17"/>
      <c r="AF12" s="17"/>
      <c r="AG12" s="16"/>
      <c r="AH12" s="16"/>
      <c r="AI12" s="16"/>
      <c r="AJ12" s="16"/>
      <c r="AN12" s="12"/>
      <c r="AO12" s="12"/>
      <c r="AP12" s="5"/>
      <c r="AQ12" s="12"/>
      <c r="AR12" s="12"/>
      <c r="AS12" s="5"/>
      <c r="AT12" s="5"/>
      <c r="BO12" s="9"/>
      <c r="BP12" s="10"/>
      <c r="BQ12" s="9"/>
      <c r="BR12" s="9"/>
      <c r="BT12" s="10"/>
      <c r="BU12" s="10"/>
      <c r="BW12" s="10"/>
      <c r="BX12" s="10"/>
      <c r="BY12" s="10"/>
      <c r="BZ12" s="10"/>
      <c r="CA12" s="10"/>
      <c r="CB12" s="10"/>
      <c r="CC12" s="10"/>
    </row>
    <row r="13" spans="2:85" x14ac:dyDescent="0.2">
      <c r="B13" s="14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P13" s="16"/>
      <c r="Q13" s="16"/>
      <c r="R13" s="16"/>
      <c r="S13" s="16"/>
      <c r="T13" s="16"/>
      <c r="U13" s="11"/>
      <c r="V13" s="17"/>
      <c r="W13" s="17"/>
      <c r="X13" s="16"/>
      <c r="Y13" s="16"/>
      <c r="Z13" s="16"/>
      <c r="AA13" s="17"/>
      <c r="AB13" s="17"/>
      <c r="AC13" s="17"/>
      <c r="AD13" s="17"/>
      <c r="AE13" s="17"/>
      <c r="AF13" s="17"/>
      <c r="AG13" s="16"/>
      <c r="AH13" s="16"/>
      <c r="AI13" s="16"/>
      <c r="AJ13" s="16"/>
      <c r="AN13" s="12"/>
      <c r="AO13" s="12"/>
      <c r="AP13" s="5"/>
      <c r="AQ13" s="12"/>
      <c r="AR13" s="12"/>
      <c r="AS13" s="5"/>
      <c r="AT13" s="5"/>
      <c r="BO13" s="9"/>
      <c r="BP13" s="10"/>
      <c r="BQ13" s="9"/>
      <c r="BR13" s="9"/>
      <c r="BT13" s="10"/>
      <c r="BU13" s="10"/>
      <c r="BW13" s="10"/>
      <c r="BX13" s="10"/>
      <c r="BY13" s="10"/>
      <c r="BZ13" s="10"/>
      <c r="CA13" s="10"/>
      <c r="CB13" s="10"/>
      <c r="CC13" s="10"/>
    </row>
    <row r="14" spans="2:85" x14ac:dyDescent="0.2">
      <c r="B14" s="14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P14" s="16"/>
      <c r="Q14" s="16"/>
      <c r="R14" s="16"/>
      <c r="S14" s="16"/>
      <c r="T14" s="16"/>
      <c r="U14" s="11"/>
      <c r="V14" s="17"/>
      <c r="W14" s="17"/>
      <c r="X14" s="16"/>
      <c r="Y14" s="16"/>
      <c r="Z14" s="16"/>
      <c r="AA14" s="17"/>
      <c r="AB14" s="17"/>
      <c r="AC14" s="17"/>
      <c r="AD14" s="17"/>
      <c r="AE14" s="17"/>
      <c r="AF14" s="17"/>
      <c r="AG14" s="16"/>
      <c r="AH14" s="16"/>
      <c r="AI14" s="16"/>
      <c r="AJ14" s="16"/>
      <c r="AN14" s="12"/>
      <c r="AO14" s="12"/>
      <c r="AP14" s="5"/>
      <c r="AQ14" s="12"/>
      <c r="AR14" s="12"/>
      <c r="AS14" s="5"/>
      <c r="AT14" s="5"/>
      <c r="BO14" s="9"/>
      <c r="BP14" s="10"/>
      <c r="BQ14" s="9"/>
      <c r="BR14" s="9"/>
      <c r="BT14" s="10"/>
      <c r="BU14" s="10"/>
      <c r="BW14" s="10"/>
      <c r="BX14" s="10"/>
      <c r="BY14" s="10"/>
      <c r="BZ14" s="10"/>
      <c r="CA14" s="10"/>
      <c r="CB14" s="10"/>
      <c r="CC14" s="10"/>
    </row>
    <row r="15" spans="2:85" x14ac:dyDescent="0.2">
      <c r="B15" s="14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P15" s="16"/>
      <c r="Q15" s="16"/>
      <c r="R15" s="16"/>
      <c r="S15" s="16"/>
      <c r="T15" s="16"/>
      <c r="U15" s="11"/>
      <c r="V15" s="17"/>
      <c r="W15" s="17"/>
      <c r="X15" s="16"/>
      <c r="Y15" s="16"/>
      <c r="Z15" s="16"/>
      <c r="AA15" s="17"/>
      <c r="AB15" s="17"/>
      <c r="AC15" s="17"/>
      <c r="AD15" s="17"/>
      <c r="AE15" s="17"/>
      <c r="AF15" s="17"/>
      <c r="AG15" s="16"/>
      <c r="AH15" s="16"/>
      <c r="AI15" s="16"/>
      <c r="AJ15" s="16"/>
      <c r="AN15" s="12"/>
      <c r="AO15" s="12"/>
      <c r="AP15" s="5"/>
      <c r="AQ15" s="12"/>
      <c r="AR15" s="12"/>
      <c r="AS15" s="5"/>
      <c r="AT15" s="5"/>
      <c r="BO15" s="9"/>
      <c r="BP15" s="10"/>
      <c r="BQ15" s="9"/>
      <c r="BR15" s="9"/>
      <c r="BT15" s="10"/>
      <c r="BU15" s="10"/>
      <c r="BW15" s="10"/>
      <c r="BX15" s="10"/>
      <c r="BY15" s="10"/>
      <c r="BZ15" s="10"/>
      <c r="CA15" s="10"/>
      <c r="CB15" s="10"/>
      <c r="CC15" s="10"/>
    </row>
    <row r="16" spans="2:85" x14ac:dyDescent="0.2">
      <c r="B16" s="14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P16" s="16"/>
      <c r="Q16" s="16"/>
      <c r="R16" s="16"/>
      <c r="S16" s="16"/>
      <c r="T16" s="16"/>
      <c r="U16" s="11"/>
      <c r="V16" s="17"/>
      <c r="W16" s="17"/>
      <c r="X16" s="16"/>
      <c r="Y16" s="16"/>
      <c r="Z16" s="16"/>
      <c r="AA16" s="17"/>
      <c r="AB16" s="17"/>
      <c r="AC16" s="17"/>
      <c r="AD16" s="17"/>
      <c r="AE16" s="17"/>
      <c r="AF16" s="17"/>
      <c r="AG16" s="16"/>
      <c r="AH16" s="16"/>
      <c r="AI16" s="16"/>
      <c r="AJ16" s="16"/>
      <c r="AN16" s="12"/>
      <c r="AO16" s="12"/>
      <c r="AP16" s="5"/>
      <c r="AQ16" s="12"/>
      <c r="AR16" s="12"/>
      <c r="AS16" s="5"/>
      <c r="AT16" s="5"/>
      <c r="BO16" s="9"/>
      <c r="BP16" s="10"/>
      <c r="BQ16" s="9"/>
      <c r="BR16" s="9"/>
      <c r="BT16" s="10"/>
      <c r="BU16" s="10"/>
      <c r="BW16" s="10"/>
      <c r="BX16" s="10"/>
      <c r="BY16" s="10"/>
      <c r="BZ16" s="10"/>
      <c r="CA16" s="10"/>
      <c r="CB16" s="10"/>
      <c r="CC16" s="10"/>
    </row>
    <row r="17" spans="2:81" x14ac:dyDescent="0.2">
      <c r="B17" s="14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P17" s="16"/>
      <c r="Q17" s="16"/>
      <c r="R17" s="16"/>
      <c r="S17" s="16"/>
      <c r="T17" s="16"/>
      <c r="U17" s="11"/>
      <c r="V17" s="17"/>
      <c r="W17" s="17"/>
      <c r="X17" s="16"/>
      <c r="Y17" s="16"/>
      <c r="Z17" s="16"/>
      <c r="AA17" s="17"/>
      <c r="AB17" s="17"/>
      <c r="AC17" s="17"/>
      <c r="AD17" s="17"/>
      <c r="AE17" s="17"/>
      <c r="AF17" s="17"/>
      <c r="AG17" s="16"/>
      <c r="AH17" s="16"/>
      <c r="AI17" s="16"/>
      <c r="AJ17" s="16"/>
      <c r="AN17" s="12"/>
      <c r="AO17" s="12"/>
      <c r="AP17" s="5"/>
      <c r="AQ17" s="12"/>
      <c r="AR17" s="12"/>
      <c r="AS17" s="5"/>
      <c r="AT17" s="5"/>
      <c r="BO17" s="9"/>
      <c r="BP17" s="10"/>
      <c r="BQ17" s="9"/>
      <c r="BR17" s="9"/>
      <c r="BT17" s="10"/>
      <c r="BU17" s="10"/>
      <c r="BW17" s="10"/>
      <c r="BX17" s="10"/>
      <c r="BY17" s="10"/>
      <c r="BZ17" s="10"/>
      <c r="CA17" s="10"/>
      <c r="CB17" s="10"/>
      <c r="CC17" s="10"/>
    </row>
    <row r="18" spans="2:81" x14ac:dyDescent="0.2">
      <c r="B18" s="14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P18" s="16"/>
      <c r="Q18" s="16"/>
      <c r="R18" s="16"/>
      <c r="S18" s="16"/>
      <c r="T18" s="16"/>
      <c r="U18" s="11"/>
      <c r="V18" s="17"/>
      <c r="W18" s="17"/>
      <c r="X18" s="16"/>
      <c r="Y18" s="16"/>
      <c r="Z18" s="16"/>
      <c r="AA18" s="17"/>
      <c r="AB18" s="17"/>
      <c r="AC18" s="17"/>
      <c r="AD18" s="17"/>
      <c r="AE18" s="17"/>
      <c r="AF18" s="17"/>
      <c r="AG18" s="16"/>
      <c r="AH18" s="16"/>
      <c r="AI18" s="16"/>
      <c r="AJ18" s="16"/>
      <c r="AN18" s="12"/>
      <c r="AO18" s="12"/>
      <c r="AP18" s="5"/>
      <c r="AQ18" s="12"/>
      <c r="AR18" s="12"/>
      <c r="AS18" s="5"/>
      <c r="AT18" s="5"/>
      <c r="BO18" s="9"/>
      <c r="BP18" s="10"/>
      <c r="BQ18" s="9"/>
      <c r="BR18" s="9"/>
      <c r="BT18" s="10"/>
      <c r="BU18" s="10"/>
      <c r="BW18" s="10"/>
      <c r="BX18" s="10"/>
      <c r="BY18" s="10"/>
      <c r="BZ18" s="10"/>
      <c r="CA18" s="10"/>
      <c r="CB18" s="10"/>
      <c r="CC18" s="10"/>
    </row>
    <row r="19" spans="2:81" x14ac:dyDescent="0.2">
      <c r="B19" s="14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P19" s="16"/>
      <c r="Q19" s="16"/>
      <c r="R19" s="16"/>
      <c r="S19" s="16"/>
      <c r="T19" s="16"/>
      <c r="U19" s="11"/>
      <c r="V19" s="17"/>
      <c r="W19" s="17"/>
      <c r="X19" s="16"/>
      <c r="Y19" s="16"/>
      <c r="Z19" s="16"/>
      <c r="AA19" s="17"/>
      <c r="AB19" s="17"/>
      <c r="AC19" s="17"/>
      <c r="AD19" s="17"/>
      <c r="AE19" s="17"/>
      <c r="AF19" s="17"/>
      <c r="AG19" s="16"/>
      <c r="AH19" s="16"/>
      <c r="AI19" s="16"/>
      <c r="AJ19" s="16"/>
      <c r="AN19" s="12"/>
      <c r="AO19" s="12"/>
      <c r="AP19" s="5"/>
      <c r="AQ19" s="12"/>
      <c r="AR19" s="12"/>
      <c r="AS19" s="5"/>
      <c r="AT19" s="5"/>
      <c r="BO19" s="9"/>
      <c r="BP19" s="10"/>
      <c r="BQ19" s="9"/>
      <c r="BR19" s="9"/>
      <c r="BT19" s="10"/>
      <c r="BU19" s="10"/>
      <c r="BW19" s="10"/>
      <c r="BX19" s="10"/>
      <c r="BY19" s="10"/>
      <c r="BZ19" s="10"/>
      <c r="CA19" s="10"/>
      <c r="CB19" s="10"/>
      <c r="CC19" s="10"/>
    </row>
    <row r="20" spans="2:81" x14ac:dyDescent="0.2">
      <c r="B20" s="14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P20" s="16"/>
      <c r="Q20" s="16"/>
      <c r="R20" s="16"/>
      <c r="S20" s="16"/>
      <c r="T20" s="16"/>
      <c r="U20" s="11"/>
      <c r="V20" s="17"/>
      <c r="W20" s="17"/>
      <c r="X20" s="16"/>
      <c r="Y20" s="16"/>
      <c r="Z20" s="16"/>
      <c r="AA20" s="17"/>
      <c r="AB20" s="17"/>
      <c r="AC20" s="17"/>
      <c r="AD20" s="17"/>
      <c r="AE20" s="17"/>
      <c r="AF20" s="17"/>
      <c r="AG20" s="16"/>
      <c r="AH20" s="16"/>
      <c r="AI20" s="16"/>
      <c r="AJ20" s="16"/>
      <c r="AN20" s="12"/>
      <c r="AO20" s="12"/>
      <c r="AP20" s="5"/>
      <c r="AQ20" s="12"/>
      <c r="AR20" s="12"/>
      <c r="AS20" s="5"/>
      <c r="AT20" s="5"/>
      <c r="BO20" s="9"/>
      <c r="BP20" s="10"/>
      <c r="BQ20" s="9"/>
      <c r="BR20" s="9"/>
      <c r="BT20" s="10"/>
      <c r="BU20" s="10"/>
      <c r="BW20" s="10"/>
      <c r="BX20" s="10"/>
      <c r="BY20" s="10"/>
      <c r="BZ20" s="10"/>
      <c r="CA20" s="10"/>
      <c r="CB20" s="10"/>
      <c r="CC20" s="10"/>
    </row>
    <row r="21" spans="2:81" x14ac:dyDescent="0.2">
      <c r="B21" s="14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P21" s="16"/>
      <c r="Q21" s="16"/>
      <c r="R21" s="16"/>
      <c r="S21" s="16"/>
      <c r="T21" s="16"/>
      <c r="U21" s="11"/>
      <c r="V21" s="17"/>
      <c r="W21" s="17"/>
      <c r="X21" s="16"/>
      <c r="Y21" s="16"/>
      <c r="Z21" s="16"/>
      <c r="AA21" s="17"/>
      <c r="AB21" s="17"/>
      <c r="AC21" s="17"/>
      <c r="AD21" s="17"/>
      <c r="AE21" s="17"/>
      <c r="AF21" s="17"/>
      <c r="AG21" s="16"/>
      <c r="AH21" s="16"/>
      <c r="AI21" s="16"/>
      <c r="AJ21" s="16"/>
      <c r="AN21" s="12"/>
      <c r="AO21" s="12"/>
      <c r="AP21" s="5"/>
      <c r="AQ21" s="12"/>
      <c r="AR21" s="12"/>
      <c r="AS21" s="5"/>
      <c r="AT21" s="5"/>
      <c r="BO21" s="9"/>
      <c r="BP21" s="10"/>
      <c r="BQ21" s="9"/>
      <c r="BR21" s="9"/>
      <c r="BT21" s="10"/>
      <c r="BU21" s="10"/>
      <c r="BW21" s="10"/>
      <c r="BX21" s="10"/>
      <c r="BY21" s="10"/>
      <c r="BZ21" s="10"/>
      <c r="CA21" s="10"/>
      <c r="CB21" s="10"/>
      <c r="CC21" s="10"/>
    </row>
    <row r="22" spans="2:81" x14ac:dyDescent="0.2">
      <c r="B22" s="14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P22" s="16"/>
      <c r="Q22" s="16"/>
      <c r="R22" s="16"/>
      <c r="S22" s="16"/>
      <c r="T22" s="16"/>
      <c r="U22" s="11"/>
      <c r="V22" s="17"/>
      <c r="W22" s="17"/>
      <c r="X22" s="16"/>
      <c r="Y22" s="16"/>
      <c r="Z22" s="16"/>
      <c r="AA22" s="17"/>
      <c r="AB22" s="17"/>
      <c r="AC22" s="17"/>
      <c r="AD22" s="17"/>
      <c r="AE22" s="17"/>
      <c r="AF22" s="17"/>
      <c r="AG22" s="16"/>
      <c r="AH22" s="16"/>
      <c r="AI22" s="16"/>
      <c r="AJ22" s="16"/>
      <c r="AN22" s="12"/>
      <c r="AO22" s="12"/>
      <c r="AP22" s="5"/>
      <c r="AQ22" s="12"/>
      <c r="AR22" s="12"/>
      <c r="AS22" s="5"/>
      <c r="AT22" s="5"/>
      <c r="BO22" s="9"/>
      <c r="BP22" s="10"/>
      <c r="BQ22" s="9"/>
      <c r="BR22" s="9"/>
      <c r="BT22" s="10"/>
      <c r="BU22" s="10"/>
      <c r="BW22" s="10"/>
      <c r="BX22" s="10"/>
      <c r="BY22" s="10"/>
      <c r="BZ22" s="10"/>
      <c r="CA22" s="10"/>
      <c r="CB22" s="10"/>
      <c r="CC22" s="10"/>
    </row>
    <row r="23" spans="2:81" x14ac:dyDescent="0.2">
      <c r="B23" s="14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P23" s="16"/>
      <c r="Q23" s="16"/>
      <c r="R23" s="16"/>
      <c r="S23" s="16"/>
      <c r="T23" s="16"/>
      <c r="U23" s="11"/>
      <c r="V23" s="17"/>
      <c r="W23" s="17"/>
      <c r="X23" s="16"/>
      <c r="Y23" s="16"/>
      <c r="Z23" s="16"/>
      <c r="AA23" s="17"/>
      <c r="AB23" s="17"/>
      <c r="AC23" s="17"/>
      <c r="AD23" s="17"/>
      <c r="AE23" s="17"/>
      <c r="AF23" s="17"/>
      <c r="AG23" s="16"/>
      <c r="AH23" s="16"/>
      <c r="AI23" s="16"/>
      <c r="AJ23" s="16"/>
      <c r="AN23" s="12"/>
      <c r="AO23" s="12"/>
      <c r="AP23" s="5"/>
      <c r="AQ23" s="12"/>
      <c r="AR23" s="12"/>
      <c r="AS23" s="5"/>
      <c r="AT23" s="5"/>
      <c r="BO23" s="9"/>
      <c r="BP23" s="10"/>
      <c r="BQ23" s="9"/>
      <c r="BR23" s="9"/>
      <c r="BT23" s="10"/>
      <c r="BU23" s="10"/>
      <c r="BW23" s="10"/>
      <c r="BX23" s="10"/>
      <c r="BY23" s="10"/>
      <c r="BZ23" s="10"/>
      <c r="CA23" s="10"/>
      <c r="CB23" s="10"/>
      <c r="CC23" s="10"/>
    </row>
    <row r="24" spans="2:81" x14ac:dyDescent="0.2">
      <c r="B24" s="14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P24" s="16"/>
      <c r="Q24" s="16"/>
      <c r="R24" s="16"/>
      <c r="S24" s="16"/>
      <c r="T24" s="16"/>
      <c r="U24" s="11"/>
      <c r="V24" s="17"/>
      <c r="W24" s="17"/>
      <c r="X24" s="16"/>
      <c r="Y24" s="16"/>
      <c r="Z24" s="16"/>
      <c r="AA24" s="17"/>
      <c r="AB24" s="17"/>
      <c r="AC24" s="17"/>
      <c r="AD24" s="17"/>
      <c r="AE24" s="17"/>
      <c r="AF24" s="17"/>
      <c r="AG24" s="16"/>
      <c r="AH24" s="16"/>
      <c r="AI24" s="16"/>
      <c r="AJ24" s="16"/>
      <c r="AN24" s="12"/>
      <c r="AO24" s="12"/>
      <c r="AP24" s="5"/>
      <c r="AQ24" s="12"/>
      <c r="AR24" s="12"/>
      <c r="AS24" s="5"/>
      <c r="AT24" s="5"/>
      <c r="BO24" s="9"/>
      <c r="BP24" s="10"/>
      <c r="BQ24" s="9"/>
      <c r="BR24" s="9"/>
      <c r="BT24" s="10"/>
      <c r="BU24" s="10"/>
      <c r="BW24" s="10"/>
      <c r="BX24" s="10"/>
      <c r="BY24" s="10"/>
      <c r="BZ24" s="10"/>
      <c r="CA24" s="10"/>
      <c r="CB24" s="10"/>
      <c r="CC24" s="10"/>
    </row>
    <row r="25" spans="2:81" x14ac:dyDescent="0.2">
      <c r="B25" s="14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P25" s="16"/>
      <c r="Q25" s="16"/>
      <c r="R25" s="16"/>
      <c r="S25" s="16"/>
      <c r="T25" s="16"/>
      <c r="U25" s="11"/>
      <c r="V25" s="17"/>
      <c r="W25" s="17"/>
      <c r="X25" s="16"/>
      <c r="Y25" s="16"/>
      <c r="Z25" s="16"/>
      <c r="AA25" s="17"/>
      <c r="AB25" s="17"/>
      <c r="AC25" s="17"/>
      <c r="AD25" s="17"/>
      <c r="AE25" s="17"/>
      <c r="AF25" s="17"/>
      <c r="AG25" s="16"/>
      <c r="AH25" s="16"/>
      <c r="AI25" s="16"/>
      <c r="AJ25" s="16"/>
      <c r="AN25" s="12"/>
      <c r="AO25" s="12"/>
      <c r="AP25" s="5"/>
      <c r="AQ25" s="12"/>
      <c r="AR25" s="12"/>
      <c r="AS25" s="5"/>
      <c r="AT25" s="5"/>
      <c r="BO25" s="9"/>
      <c r="BP25" s="10"/>
      <c r="BQ25" s="9"/>
      <c r="BR25" s="9"/>
      <c r="BT25" s="10"/>
      <c r="BU25" s="10"/>
      <c r="BW25" s="10"/>
      <c r="BX25" s="10"/>
      <c r="BY25" s="10"/>
      <c r="BZ25" s="10"/>
      <c r="CA25" s="10"/>
      <c r="CB25" s="10"/>
      <c r="CC25" s="10"/>
    </row>
    <row r="26" spans="2:81" x14ac:dyDescent="0.2">
      <c r="B26" s="14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P26" s="16"/>
      <c r="Q26" s="16"/>
      <c r="R26" s="16"/>
      <c r="S26" s="16"/>
      <c r="T26" s="16"/>
      <c r="U26" s="11"/>
      <c r="V26" s="17"/>
      <c r="W26" s="17"/>
      <c r="X26" s="16"/>
      <c r="Y26" s="16"/>
      <c r="Z26" s="16"/>
      <c r="AA26" s="17"/>
      <c r="AB26" s="17"/>
      <c r="AC26" s="17"/>
      <c r="AD26" s="17"/>
      <c r="AE26" s="17"/>
      <c r="AF26" s="17"/>
      <c r="AG26" s="16"/>
      <c r="AH26" s="16"/>
      <c r="AI26" s="16"/>
      <c r="AJ26" s="16"/>
      <c r="AN26" s="12"/>
      <c r="AO26" s="12"/>
      <c r="AP26" s="5"/>
      <c r="AQ26" s="12"/>
      <c r="AR26" s="12"/>
      <c r="AS26" s="5"/>
      <c r="AT26" s="5"/>
      <c r="BO26" s="9"/>
      <c r="BP26" s="10"/>
      <c r="BQ26" s="9"/>
      <c r="BR26" s="9"/>
      <c r="BT26" s="10"/>
      <c r="BU26" s="10"/>
      <c r="BW26" s="10"/>
      <c r="BX26" s="10"/>
      <c r="BY26" s="10"/>
      <c r="BZ26" s="10"/>
      <c r="CA26" s="10"/>
      <c r="CB26" s="10"/>
      <c r="CC26" s="10"/>
    </row>
    <row r="27" spans="2:81" x14ac:dyDescent="0.2">
      <c r="B27" s="14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P27" s="16"/>
      <c r="Q27" s="16"/>
      <c r="R27" s="16"/>
      <c r="S27" s="16"/>
      <c r="T27" s="16"/>
      <c r="U27" s="11"/>
      <c r="V27" s="17"/>
      <c r="W27" s="17"/>
      <c r="X27" s="16"/>
      <c r="Y27" s="16"/>
      <c r="Z27" s="16"/>
      <c r="AA27" s="17"/>
      <c r="AB27" s="17"/>
      <c r="AC27" s="17"/>
      <c r="AD27" s="17"/>
      <c r="AE27" s="17"/>
      <c r="AF27" s="17"/>
      <c r="AG27" s="16"/>
      <c r="AH27" s="16"/>
      <c r="AI27" s="16"/>
      <c r="AJ27" s="16"/>
      <c r="AN27" s="12"/>
      <c r="AO27" s="12"/>
      <c r="AP27" s="5"/>
      <c r="AQ27" s="12"/>
      <c r="AR27" s="12"/>
      <c r="AS27" s="5"/>
      <c r="AT27" s="5"/>
      <c r="BO27" s="9"/>
      <c r="BP27" s="10"/>
      <c r="BQ27" s="9"/>
      <c r="BR27" s="9"/>
      <c r="BT27" s="10"/>
      <c r="BU27" s="10"/>
      <c r="BW27" s="10"/>
      <c r="BX27" s="10"/>
      <c r="BY27" s="10"/>
      <c r="BZ27" s="10"/>
      <c r="CA27" s="10"/>
      <c r="CB27" s="10"/>
      <c r="CC27" s="10"/>
    </row>
    <row r="28" spans="2:81" x14ac:dyDescent="0.2">
      <c r="B28" s="14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P28" s="16"/>
      <c r="Q28" s="16"/>
      <c r="R28" s="16"/>
      <c r="S28" s="16"/>
      <c r="T28" s="16"/>
      <c r="U28" s="11"/>
      <c r="V28" s="17"/>
      <c r="W28" s="17"/>
      <c r="X28" s="16"/>
      <c r="Y28" s="16"/>
      <c r="Z28" s="16"/>
      <c r="AA28" s="17"/>
      <c r="AB28" s="17"/>
      <c r="AC28" s="17"/>
      <c r="AD28" s="17"/>
      <c r="AE28" s="17"/>
      <c r="AF28" s="17"/>
      <c r="AG28" s="16"/>
      <c r="AH28" s="16"/>
      <c r="AI28" s="16"/>
      <c r="AJ28" s="16"/>
      <c r="AN28" s="12"/>
      <c r="AO28" s="12"/>
      <c r="AP28" s="5"/>
      <c r="AQ28" s="12"/>
      <c r="AR28" s="12"/>
      <c r="AS28" s="5"/>
      <c r="AT28" s="5"/>
      <c r="BO28" s="9"/>
      <c r="BP28" s="10"/>
      <c r="BQ28" s="9"/>
      <c r="BR28" s="9"/>
      <c r="BT28" s="10"/>
      <c r="BU28" s="10"/>
      <c r="BW28" s="10"/>
      <c r="BX28" s="10"/>
      <c r="BY28" s="10"/>
      <c r="BZ28" s="10"/>
      <c r="CA28" s="10"/>
      <c r="CB28" s="10"/>
      <c r="CC28" s="10"/>
    </row>
    <row r="29" spans="2:81" x14ac:dyDescent="0.2">
      <c r="B29" s="14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P29" s="16"/>
      <c r="Q29" s="16"/>
      <c r="R29" s="16"/>
      <c r="S29" s="16"/>
      <c r="T29" s="16"/>
      <c r="U29" s="11"/>
      <c r="V29" s="17"/>
      <c r="W29" s="17"/>
      <c r="X29" s="16"/>
      <c r="Y29" s="16"/>
      <c r="Z29" s="16"/>
      <c r="AA29" s="17"/>
      <c r="AB29" s="17"/>
      <c r="AC29" s="17"/>
      <c r="AD29" s="17"/>
      <c r="AE29" s="17"/>
      <c r="AF29" s="17"/>
      <c r="AG29" s="16"/>
      <c r="AH29" s="16"/>
      <c r="AI29" s="16"/>
      <c r="AJ29" s="16"/>
      <c r="AN29" s="12"/>
      <c r="AO29" s="12"/>
      <c r="AP29" s="5"/>
      <c r="AQ29" s="12"/>
      <c r="AR29" s="12"/>
      <c r="AS29" s="5"/>
      <c r="AT29" s="5"/>
      <c r="BO29" s="9"/>
      <c r="BP29" s="10"/>
      <c r="BQ29" s="9"/>
      <c r="BR29" s="9"/>
      <c r="BT29" s="10"/>
      <c r="BU29" s="10"/>
      <c r="BW29" s="10"/>
      <c r="BX29" s="10"/>
      <c r="BY29" s="10"/>
      <c r="BZ29" s="10"/>
      <c r="CA29" s="10"/>
      <c r="CB29" s="10"/>
      <c r="CC29" s="10"/>
    </row>
    <row r="30" spans="2:81" x14ac:dyDescent="0.2">
      <c r="B30" s="14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P30" s="16"/>
      <c r="Q30" s="16"/>
      <c r="R30" s="16"/>
      <c r="S30" s="16"/>
      <c r="T30" s="16"/>
      <c r="U30" s="11"/>
      <c r="V30" s="17"/>
      <c r="W30" s="17"/>
      <c r="X30" s="16"/>
      <c r="Y30" s="16"/>
      <c r="Z30" s="16"/>
      <c r="AA30" s="17"/>
      <c r="AB30" s="17"/>
      <c r="AC30" s="17"/>
      <c r="AD30" s="17"/>
      <c r="AE30" s="17"/>
      <c r="AF30" s="17"/>
      <c r="AG30" s="16"/>
      <c r="AH30" s="16"/>
      <c r="AI30" s="16"/>
      <c r="AJ30" s="16"/>
      <c r="AN30" s="12"/>
      <c r="AO30" s="12"/>
      <c r="AP30" s="5"/>
      <c r="AQ30" s="12"/>
      <c r="AR30" s="12"/>
      <c r="AS30" s="5"/>
      <c r="AT30" s="5"/>
      <c r="BO30" s="9"/>
      <c r="BP30" s="10"/>
      <c r="BQ30" s="9"/>
      <c r="BR30" s="9"/>
      <c r="BT30" s="10"/>
      <c r="BU30" s="10"/>
      <c r="BW30" s="10"/>
      <c r="BX30" s="10"/>
      <c r="BY30" s="10"/>
      <c r="BZ30" s="10"/>
      <c r="CA30" s="10"/>
      <c r="CB30" s="10"/>
      <c r="CC30" s="10"/>
    </row>
    <row r="31" spans="2:81" x14ac:dyDescent="0.2">
      <c r="B31" s="14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P31" s="16"/>
      <c r="Q31" s="16"/>
      <c r="R31" s="16"/>
      <c r="S31" s="16"/>
      <c r="T31" s="16"/>
      <c r="U31" s="11"/>
      <c r="V31" s="17"/>
      <c r="W31" s="17"/>
      <c r="X31" s="16"/>
      <c r="Y31" s="16"/>
      <c r="Z31" s="16"/>
      <c r="AA31" s="17"/>
      <c r="AB31" s="17"/>
      <c r="AC31" s="17"/>
      <c r="AD31" s="17"/>
      <c r="AE31" s="17"/>
      <c r="AF31" s="17"/>
      <c r="AG31" s="16"/>
      <c r="AH31" s="16"/>
      <c r="AI31" s="16"/>
      <c r="AJ31" s="16"/>
      <c r="AN31" s="12"/>
      <c r="AO31" s="12"/>
      <c r="AP31" s="5"/>
      <c r="AQ31" s="12"/>
      <c r="AR31" s="12"/>
      <c r="AS31" s="5"/>
      <c r="AT31" s="5"/>
      <c r="BO31" s="9"/>
      <c r="BP31" s="10"/>
      <c r="BQ31" s="9"/>
      <c r="BR31" s="9"/>
      <c r="BT31" s="10"/>
      <c r="BU31" s="10"/>
      <c r="BW31" s="10"/>
      <c r="BX31" s="10"/>
      <c r="BY31" s="10"/>
      <c r="BZ31" s="10"/>
      <c r="CA31" s="10"/>
      <c r="CB31" s="10"/>
      <c r="CC31" s="10"/>
    </row>
    <row r="32" spans="2:81" x14ac:dyDescent="0.2">
      <c r="B32" s="14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P32" s="16"/>
      <c r="Q32" s="16"/>
      <c r="R32" s="16"/>
      <c r="S32" s="16"/>
      <c r="T32" s="16"/>
      <c r="U32" s="11"/>
      <c r="V32" s="17"/>
      <c r="W32" s="17"/>
      <c r="X32" s="16"/>
      <c r="Y32" s="16"/>
      <c r="Z32" s="16"/>
      <c r="AA32" s="17"/>
      <c r="AB32" s="17"/>
      <c r="AC32" s="17"/>
      <c r="AD32" s="17"/>
      <c r="AE32" s="17"/>
      <c r="AF32" s="17"/>
      <c r="AG32" s="16"/>
      <c r="AH32" s="16"/>
      <c r="AI32" s="16"/>
      <c r="AJ32" s="16"/>
      <c r="AN32" s="12"/>
      <c r="AO32" s="12"/>
      <c r="AP32" s="5"/>
      <c r="AQ32" s="12"/>
      <c r="AR32" s="12"/>
      <c r="AS32" s="5"/>
      <c r="AT32" s="5"/>
      <c r="BO32" s="9"/>
      <c r="BP32" s="10"/>
      <c r="BQ32" s="9"/>
      <c r="BR32" s="9"/>
      <c r="BT32" s="10"/>
      <c r="BU32" s="10"/>
      <c r="BW32" s="10"/>
      <c r="BX32" s="10"/>
      <c r="BY32" s="10"/>
      <c r="BZ32" s="10"/>
      <c r="CA32" s="10"/>
      <c r="CB32" s="10"/>
      <c r="CC32" s="10"/>
    </row>
    <row r="33" spans="2:81" x14ac:dyDescent="0.2">
      <c r="B33" s="14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P33" s="16"/>
      <c r="Q33" s="16"/>
      <c r="R33" s="16"/>
      <c r="S33" s="16"/>
      <c r="T33" s="16"/>
      <c r="U33" s="11"/>
      <c r="V33" s="17"/>
      <c r="W33" s="17"/>
      <c r="X33" s="16"/>
      <c r="Y33" s="16"/>
      <c r="Z33" s="16"/>
      <c r="AA33" s="17"/>
      <c r="AB33" s="17"/>
      <c r="AC33" s="17"/>
      <c r="AD33" s="17"/>
      <c r="AE33" s="17"/>
      <c r="AF33" s="17"/>
      <c r="AG33" s="16"/>
      <c r="AH33" s="16"/>
      <c r="AI33" s="16"/>
      <c r="AJ33" s="16"/>
      <c r="AN33" s="12"/>
      <c r="AO33" s="12"/>
      <c r="AP33" s="5"/>
      <c r="AQ33" s="12"/>
      <c r="AR33" s="12"/>
      <c r="AS33" s="5"/>
      <c r="AT33" s="5"/>
      <c r="BO33" s="9"/>
      <c r="BP33" s="10"/>
      <c r="BQ33" s="9"/>
      <c r="BR33" s="9"/>
      <c r="BT33" s="10"/>
      <c r="BU33" s="10"/>
      <c r="BW33" s="10"/>
      <c r="BX33" s="10"/>
      <c r="BY33" s="10"/>
      <c r="BZ33" s="10"/>
      <c r="CA33" s="10"/>
      <c r="CB33" s="10"/>
      <c r="CC33" s="10"/>
    </row>
    <row r="34" spans="2:81" x14ac:dyDescent="0.2">
      <c r="B34" s="14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P34" s="16"/>
      <c r="Q34" s="16"/>
      <c r="R34" s="16"/>
      <c r="S34" s="16"/>
      <c r="T34" s="16"/>
      <c r="U34" s="11"/>
      <c r="V34" s="17"/>
      <c r="W34" s="17"/>
      <c r="X34" s="16"/>
      <c r="Y34" s="16"/>
      <c r="Z34" s="16"/>
      <c r="AA34" s="17"/>
      <c r="AB34" s="17"/>
      <c r="AC34" s="17"/>
      <c r="AD34" s="17"/>
      <c r="AE34" s="17"/>
      <c r="AF34" s="17"/>
      <c r="AG34" s="16"/>
      <c r="AH34" s="16"/>
      <c r="AI34" s="16"/>
      <c r="AJ34" s="16"/>
      <c r="AN34" s="12"/>
      <c r="AO34" s="12"/>
      <c r="AP34" s="5"/>
      <c r="AQ34" s="12"/>
      <c r="AR34" s="12"/>
      <c r="AS34" s="5"/>
      <c r="AT34" s="5"/>
      <c r="BO34" s="9"/>
      <c r="BP34" s="10"/>
      <c r="BQ34" s="9"/>
      <c r="BR34" s="9"/>
      <c r="BT34" s="10"/>
      <c r="BU34" s="10"/>
      <c r="BW34" s="10"/>
      <c r="BX34" s="10"/>
      <c r="BY34" s="10"/>
      <c r="BZ34" s="10"/>
      <c r="CA34" s="10"/>
      <c r="CB34" s="10"/>
      <c r="CC34" s="10"/>
    </row>
    <row r="35" spans="2:81" x14ac:dyDescent="0.2">
      <c r="B35" s="14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P35" s="16"/>
      <c r="Q35" s="16"/>
      <c r="R35" s="16"/>
      <c r="S35" s="16"/>
      <c r="T35" s="16"/>
      <c r="U35" s="11"/>
      <c r="V35" s="17"/>
      <c r="W35" s="17"/>
      <c r="X35" s="16"/>
      <c r="Y35" s="16"/>
      <c r="Z35" s="16"/>
      <c r="AA35" s="17"/>
      <c r="AB35" s="17"/>
      <c r="AC35" s="17"/>
      <c r="AD35" s="17"/>
      <c r="AE35" s="17"/>
      <c r="AF35" s="17"/>
      <c r="AG35" s="16"/>
      <c r="AH35" s="16"/>
      <c r="AI35" s="16"/>
      <c r="AJ35" s="16"/>
      <c r="AN35" s="12"/>
      <c r="AO35" s="12"/>
      <c r="AP35" s="5"/>
      <c r="AQ35" s="12"/>
      <c r="AR35" s="12"/>
      <c r="AS35" s="5"/>
      <c r="AT35" s="5"/>
      <c r="BO35" s="9"/>
      <c r="BP35" s="10"/>
      <c r="BQ35" s="9"/>
      <c r="BR35" s="9"/>
      <c r="BT35" s="10"/>
      <c r="BU35" s="10"/>
      <c r="BW35" s="10"/>
      <c r="BX35" s="10"/>
      <c r="BY35" s="10"/>
      <c r="BZ35" s="10"/>
      <c r="CA35" s="10"/>
      <c r="CB35" s="10"/>
      <c r="CC35" s="10"/>
    </row>
    <row r="36" spans="2:81" x14ac:dyDescent="0.2">
      <c r="B36" s="14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P36" s="16"/>
      <c r="Q36" s="16"/>
      <c r="R36" s="16"/>
      <c r="S36" s="16"/>
      <c r="T36" s="16"/>
      <c r="U36" s="11"/>
      <c r="V36" s="17"/>
      <c r="W36" s="17"/>
      <c r="X36" s="16"/>
      <c r="Y36" s="16"/>
      <c r="Z36" s="16"/>
      <c r="AA36" s="17"/>
      <c r="AB36" s="17"/>
      <c r="AC36" s="17"/>
      <c r="AD36" s="17"/>
      <c r="AE36" s="17"/>
      <c r="AF36" s="17"/>
      <c r="AG36" s="16"/>
      <c r="AH36" s="16"/>
      <c r="AI36" s="16"/>
      <c r="AJ36" s="16"/>
      <c r="AN36" s="12"/>
      <c r="AO36" s="12"/>
      <c r="AP36" s="5"/>
      <c r="AQ36" s="12"/>
      <c r="AR36" s="12"/>
      <c r="AS36" s="5"/>
      <c r="AT36" s="5"/>
      <c r="BO36" s="9"/>
      <c r="BP36" s="10"/>
      <c r="BQ36" s="9"/>
      <c r="BR36" s="9"/>
      <c r="BT36" s="10"/>
      <c r="BU36" s="10"/>
      <c r="BW36" s="10"/>
      <c r="BX36" s="10"/>
      <c r="BY36" s="10"/>
      <c r="BZ36" s="10"/>
      <c r="CA36" s="10"/>
      <c r="CB36" s="10"/>
      <c r="CC36" s="10"/>
    </row>
    <row r="37" spans="2:81" x14ac:dyDescent="0.2">
      <c r="B37" s="14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P37" s="16"/>
      <c r="Q37" s="16"/>
      <c r="R37" s="16"/>
      <c r="S37" s="16"/>
      <c r="T37" s="16"/>
      <c r="U37" s="11"/>
      <c r="V37" s="17"/>
      <c r="W37" s="17"/>
      <c r="X37" s="16"/>
      <c r="Y37" s="16"/>
      <c r="Z37" s="16"/>
      <c r="AA37" s="17"/>
      <c r="AB37" s="17"/>
      <c r="AC37" s="17"/>
      <c r="AD37" s="17"/>
      <c r="AE37" s="17"/>
      <c r="AF37" s="17"/>
      <c r="AG37" s="16"/>
      <c r="AH37" s="16"/>
      <c r="AI37" s="16"/>
      <c r="AJ37" s="16"/>
      <c r="AN37" s="12"/>
      <c r="AO37" s="12"/>
      <c r="AP37" s="5"/>
      <c r="AQ37" s="12"/>
      <c r="AR37" s="12"/>
      <c r="AS37" s="5"/>
      <c r="AT37" s="5"/>
      <c r="BO37" s="9"/>
      <c r="BP37" s="10"/>
      <c r="BQ37" s="9"/>
      <c r="BR37" s="9"/>
      <c r="BT37" s="10"/>
      <c r="BU37" s="10"/>
      <c r="BW37" s="10"/>
      <c r="BX37" s="10"/>
      <c r="BY37" s="10"/>
      <c r="BZ37" s="10"/>
      <c r="CA37" s="10"/>
      <c r="CB37" s="10"/>
      <c r="CC37" s="10"/>
    </row>
    <row r="38" spans="2:81" x14ac:dyDescent="0.2">
      <c r="B38" s="14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P38" s="16"/>
      <c r="Q38" s="16"/>
      <c r="R38" s="16"/>
      <c r="S38" s="16"/>
      <c r="T38" s="16"/>
      <c r="U38" s="11"/>
      <c r="V38" s="17"/>
      <c r="W38" s="17"/>
      <c r="X38" s="16"/>
      <c r="Y38" s="16"/>
      <c r="Z38" s="16"/>
      <c r="AA38" s="17"/>
      <c r="AB38" s="17"/>
      <c r="AC38" s="17"/>
      <c r="AD38" s="17"/>
      <c r="AE38" s="17"/>
      <c r="AF38" s="17"/>
      <c r="AG38" s="16"/>
      <c r="AH38" s="16"/>
      <c r="AI38" s="16"/>
      <c r="AJ38" s="16"/>
      <c r="AN38" s="12"/>
      <c r="AO38" s="12"/>
      <c r="AP38" s="5"/>
      <c r="AQ38" s="12"/>
      <c r="AR38" s="12"/>
      <c r="AS38" s="5"/>
      <c r="AT38" s="5"/>
      <c r="BO38" s="9"/>
      <c r="BP38" s="10"/>
      <c r="BQ38" s="9"/>
      <c r="BR38" s="9"/>
      <c r="BT38" s="10"/>
      <c r="BU38" s="10"/>
      <c r="BW38" s="10"/>
      <c r="BX38" s="10"/>
      <c r="BY38" s="10"/>
      <c r="BZ38" s="10"/>
      <c r="CA38" s="10"/>
      <c r="CB38" s="10"/>
      <c r="CC38" s="10"/>
    </row>
    <row r="39" spans="2:81" x14ac:dyDescent="0.2">
      <c r="B39" s="14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P39" s="16"/>
      <c r="Q39" s="16"/>
      <c r="R39" s="16"/>
      <c r="S39" s="16"/>
      <c r="T39" s="16"/>
      <c r="U39" s="11"/>
      <c r="V39" s="17"/>
      <c r="W39" s="17"/>
      <c r="X39" s="16"/>
      <c r="Y39" s="16"/>
      <c r="Z39" s="16"/>
      <c r="AA39" s="17"/>
      <c r="AB39" s="17"/>
      <c r="AC39" s="17"/>
      <c r="AD39" s="17"/>
      <c r="AE39" s="17"/>
      <c r="AF39" s="17"/>
      <c r="AG39" s="16"/>
      <c r="AH39" s="16"/>
      <c r="AI39" s="16"/>
      <c r="AJ39" s="16"/>
      <c r="AN39" s="12"/>
      <c r="AO39" s="12"/>
      <c r="AP39" s="5"/>
      <c r="AQ39" s="12"/>
      <c r="AR39" s="12"/>
      <c r="AS39" s="5"/>
      <c r="AT39" s="5"/>
      <c r="BO39" s="9"/>
      <c r="BP39" s="10"/>
      <c r="BQ39" s="9"/>
      <c r="BR39" s="9"/>
      <c r="BT39" s="10"/>
      <c r="BU39" s="10"/>
      <c r="BW39" s="10"/>
      <c r="BX39" s="10"/>
      <c r="BY39" s="10"/>
      <c r="BZ39" s="10"/>
      <c r="CA39" s="10"/>
      <c r="CB39" s="10"/>
      <c r="CC39" s="10"/>
    </row>
    <row r="40" spans="2:81" x14ac:dyDescent="0.2">
      <c r="B40" s="14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P40" s="16"/>
      <c r="Q40" s="16"/>
      <c r="R40" s="16"/>
      <c r="S40" s="16"/>
      <c r="T40" s="16"/>
      <c r="U40" s="11"/>
      <c r="V40" s="17"/>
      <c r="W40" s="17"/>
      <c r="X40" s="16"/>
      <c r="Y40" s="16"/>
      <c r="Z40" s="16"/>
      <c r="AA40" s="17"/>
      <c r="AB40" s="17"/>
      <c r="AC40" s="17"/>
      <c r="AD40" s="17"/>
      <c r="AE40" s="17"/>
      <c r="AF40" s="17"/>
      <c r="AG40" s="16"/>
      <c r="AH40" s="16"/>
      <c r="AI40" s="16"/>
      <c r="AJ40" s="16"/>
      <c r="AN40" s="12"/>
      <c r="AO40" s="12"/>
      <c r="AP40" s="5"/>
      <c r="AQ40" s="12"/>
      <c r="AR40" s="12"/>
      <c r="AS40" s="5"/>
      <c r="AT40" s="5"/>
      <c r="BO40" s="9"/>
      <c r="BP40" s="10"/>
      <c r="BQ40" s="9"/>
      <c r="BR40" s="9"/>
      <c r="BT40" s="10"/>
      <c r="BU40" s="10"/>
      <c r="BW40" s="10"/>
      <c r="BX40" s="10"/>
      <c r="BY40" s="10"/>
      <c r="BZ40" s="10"/>
      <c r="CA40" s="10"/>
      <c r="CB40" s="10"/>
      <c r="CC40" s="10"/>
    </row>
    <row r="41" spans="2:81" x14ac:dyDescent="0.2">
      <c r="B41" s="14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P41" s="16"/>
      <c r="Q41" s="16"/>
      <c r="R41" s="16"/>
      <c r="S41" s="16"/>
      <c r="T41" s="16"/>
      <c r="U41" s="11"/>
      <c r="V41" s="17"/>
      <c r="W41" s="17"/>
      <c r="X41" s="16"/>
      <c r="Y41" s="16"/>
      <c r="Z41" s="16"/>
      <c r="AA41" s="17"/>
      <c r="AB41" s="17"/>
      <c r="AC41" s="17"/>
      <c r="AD41" s="17"/>
      <c r="AE41" s="17"/>
      <c r="AF41" s="17"/>
      <c r="AG41" s="16"/>
      <c r="AH41" s="16"/>
      <c r="AI41" s="16"/>
      <c r="AJ41" s="16"/>
      <c r="AN41" s="12"/>
      <c r="AO41" s="12"/>
      <c r="AP41" s="5"/>
      <c r="AQ41" s="12"/>
      <c r="AR41" s="12"/>
      <c r="AS41" s="5"/>
      <c r="AT41" s="5"/>
      <c r="BO41" s="9"/>
      <c r="BP41" s="10"/>
      <c r="BQ41" s="9"/>
      <c r="BR41" s="9"/>
      <c r="BT41" s="10"/>
      <c r="BU41" s="10"/>
      <c r="BW41" s="10"/>
      <c r="BX41" s="10"/>
      <c r="BY41" s="10"/>
      <c r="BZ41" s="10"/>
      <c r="CA41" s="10"/>
      <c r="CB41" s="10"/>
      <c r="CC41" s="10"/>
    </row>
    <row r="42" spans="2:81" x14ac:dyDescent="0.2">
      <c r="B42" s="14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P42" s="16"/>
      <c r="Q42" s="16"/>
      <c r="R42" s="16"/>
      <c r="S42" s="16"/>
      <c r="T42" s="16"/>
      <c r="U42" s="11"/>
      <c r="V42" s="17"/>
      <c r="W42" s="17"/>
      <c r="X42" s="16"/>
      <c r="Y42" s="16"/>
      <c r="Z42" s="16"/>
      <c r="AA42" s="17"/>
      <c r="AB42" s="17"/>
      <c r="AC42" s="17"/>
      <c r="AD42" s="17"/>
      <c r="AE42" s="17"/>
      <c r="AF42" s="17"/>
      <c r="AG42" s="16"/>
      <c r="AH42" s="16"/>
      <c r="AI42" s="16"/>
      <c r="AJ42" s="16"/>
      <c r="AN42" s="12"/>
      <c r="AO42" s="12"/>
      <c r="AP42" s="5"/>
      <c r="AQ42" s="12"/>
      <c r="AR42" s="12"/>
      <c r="AS42" s="5"/>
      <c r="AT42" s="5"/>
      <c r="BO42" s="9"/>
      <c r="BP42" s="10"/>
      <c r="BQ42" s="9"/>
      <c r="BR42" s="9"/>
      <c r="BT42" s="10"/>
      <c r="BU42" s="10"/>
      <c r="BW42" s="10"/>
      <c r="BX42" s="10"/>
      <c r="BY42" s="10"/>
      <c r="BZ42" s="10"/>
      <c r="CA42" s="10"/>
      <c r="CB42" s="10"/>
      <c r="CC42" s="10"/>
    </row>
    <row r="43" spans="2:81" x14ac:dyDescent="0.2">
      <c r="B43" s="14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P43" s="16"/>
      <c r="Q43" s="16"/>
      <c r="R43" s="16"/>
      <c r="S43" s="16"/>
      <c r="T43" s="16"/>
      <c r="U43" s="11"/>
      <c r="V43" s="17"/>
      <c r="W43" s="17"/>
      <c r="X43" s="16"/>
      <c r="Y43" s="16"/>
      <c r="Z43" s="16"/>
      <c r="AA43" s="17"/>
      <c r="AB43" s="17"/>
      <c r="AC43" s="17"/>
      <c r="AD43" s="17"/>
      <c r="AE43" s="17"/>
      <c r="AF43" s="17"/>
      <c r="AG43" s="16"/>
      <c r="AH43" s="16"/>
      <c r="AI43" s="16"/>
      <c r="AJ43" s="16"/>
      <c r="AN43" s="12"/>
      <c r="AO43" s="12"/>
      <c r="AP43" s="5"/>
      <c r="AQ43" s="12"/>
      <c r="AR43" s="12"/>
      <c r="AS43" s="5"/>
      <c r="AT43" s="5"/>
      <c r="BO43" s="9"/>
      <c r="BP43" s="10"/>
      <c r="BQ43" s="9"/>
      <c r="BR43" s="9"/>
      <c r="BT43" s="10"/>
      <c r="BU43" s="10"/>
      <c r="BW43" s="10"/>
      <c r="BX43" s="10"/>
      <c r="BY43" s="10"/>
      <c r="BZ43" s="10"/>
      <c r="CA43" s="10"/>
      <c r="CB43" s="10"/>
      <c r="CC43" s="10"/>
    </row>
    <row r="44" spans="2:81" x14ac:dyDescent="0.2">
      <c r="B44" s="14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P44" s="16"/>
      <c r="Q44" s="16"/>
      <c r="R44" s="16"/>
      <c r="S44" s="16"/>
      <c r="T44" s="16"/>
      <c r="U44" s="11"/>
      <c r="V44" s="17"/>
      <c r="W44" s="17"/>
      <c r="X44" s="16"/>
      <c r="Y44" s="16"/>
      <c r="Z44" s="16"/>
      <c r="AA44" s="17"/>
      <c r="AB44" s="17"/>
      <c r="AC44" s="17"/>
      <c r="AD44" s="17"/>
      <c r="AE44" s="17"/>
      <c r="AF44" s="17"/>
      <c r="AG44" s="16"/>
      <c r="AH44" s="16"/>
      <c r="AI44" s="16"/>
      <c r="AJ44" s="16"/>
      <c r="AN44" s="12"/>
      <c r="AO44" s="12"/>
      <c r="AP44" s="5"/>
      <c r="AQ44" s="12"/>
      <c r="AR44" s="12"/>
      <c r="AS44" s="5"/>
      <c r="AT44" s="5"/>
      <c r="BO44" s="9"/>
      <c r="BP44" s="10"/>
      <c r="BQ44" s="9"/>
      <c r="BR44" s="9"/>
      <c r="BT44" s="10"/>
      <c r="BU44" s="10"/>
      <c r="BW44" s="10"/>
      <c r="BX44" s="10"/>
      <c r="BY44" s="10"/>
      <c r="BZ44" s="10"/>
      <c r="CA44" s="10"/>
      <c r="CB44" s="10"/>
      <c r="CC44" s="10"/>
    </row>
    <row r="45" spans="2:81" x14ac:dyDescent="0.2">
      <c r="B45" s="14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P45" s="16"/>
      <c r="Q45" s="16"/>
      <c r="R45" s="16"/>
      <c r="S45" s="16"/>
      <c r="T45" s="16"/>
      <c r="U45" s="11"/>
      <c r="V45" s="17"/>
      <c r="W45" s="17"/>
      <c r="X45" s="16"/>
      <c r="Y45" s="16"/>
      <c r="Z45" s="16"/>
      <c r="AA45" s="17"/>
      <c r="AB45" s="17"/>
      <c r="AC45" s="17"/>
      <c r="AD45" s="17"/>
      <c r="AE45" s="17"/>
      <c r="AF45" s="17"/>
      <c r="AG45" s="16"/>
      <c r="AH45" s="16"/>
      <c r="AI45" s="16"/>
      <c r="AJ45" s="16"/>
      <c r="AN45" s="12"/>
      <c r="AO45" s="12"/>
      <c r="AP45" s="5"/>
      <c r="AQ45" s="12"/>
      <c r="AR45" s="12"/>
      <c r="AS45" s="5"/>
      <c r="AT45" s="5"/>
      <c r="BO45" s="9"/>
      <c r="BP45" s="10"/>
      <c r="BQ45" s="9"/>
      <c r="BR45" s="9"/>
      <c r="BT45" s="10"/>
      <c r="BU45" s="10"/>
      <c r="BW45" s="10"/>
      <c r="BX45" s="10"/>
      <c r="BY45" s="10"/>
      <c r="BZ45" s="10"/>
      <c r="CA45" s="10"/>
      <c r="CB45" s="10"/>
      <c r="CC45" s="10"/>
    </row>
    <row r="46" spans="2:81" x14ac:dyDescent="0.2">
      <c r="B46" s="14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P46" s="16"/>
      <c r="Q46" s="16"/>
      <c r="R46" s="16"/>
      <c r="S46" s="16"/>
      <c r="T46" s="16"/>
      <c r="U46" s="11"/>
      <c r="V46" s="17"/>
      <c r="W46" s="17"/>
      <c r="X46" s="16"/>
      <c r="Y46" s="16"/>
      <c r="Z46" s="16"/>
      <c r="AA46" s="17"/>
      <c r="AB46" s="17"/>
      <c r="AC46" s="17"/>
      <c r="AD46" s="17"/>
      <c r="AE46" s="17"/>
      <c r="AF46" s="17"/>
      <c r="AG46" s="16"/>
      <c r="AH46" s="16"/>
      <c r="AI46" s="16"/>
      <c r="AJ46" s="16"/>
      <c r="AN46" s="12"/>
      <c r="AO46" s="12"/>
      <c r="AP46" s="5"/>
      <c r="AQ46" s="12"/>
      <c r="AR46" s="12"/>
      <c r="AS46" s="5"/>
      <c r="AT46" s="5"/>
      <c r="BO46" s="9"/>
      <c r="BP46" s="10"/>
      <c r="BQ46" s="9"/>
      <c r="BR46" s="9"/>
      <c r="BT46" s="10"/>
      <c r="BU46" s="10"/>
      <c r="BW46" s="10"/>
      <c r="BX46" s="10"/>
      <c r="BY46" s="10"/>
      <c r="BZ46" s="10"/>
      <c r="CA46" s="10"/>
      <c r="CB46" s="10"/>
      <c r="CC46" s="10"/>
    </row>
    <row r="47" spans="2:81" x14ac:dyDescent="0.2">
      <c r="B47" s="14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P47" s="16"/>
      <c r="Q47" s="16"/>
      <c r="R47" s="16"/>
      <c r="S47" s="16"/>
      <c r="T47" s="16"/>
      <c r="U47" s="11"/>
      <c r="V47" s="17"/>
      <c r="W47" s="17"/>
      <c r="X47" s="16"/>
      <c r="Y47" s="16"/>
      <c r="Z47" s="16"/>
      <c r="AA47" s="17"/>
      <c r="AB47" s="17"/>
      <c r="AC47" s="17"/>
      <c r="AD47" s="17"/>
      <c r="AE47" s="17"/>
      <c r="AF47" s="17"/>
      <c r="AG47" s="16"/>
      <c r="AH47" s="16"/>
      <c r="AI47" s="16"/>
      <c r="AJ47" s="16"/>
      <c r="AN47" s="12"/>
      <c r="AO47" s="12"/>
      <c r="AP47" s="5"/>
      <c r="AQ47" s="12"/>
      <c r="AR47" s="12"/>
      <c r="AS47" s="5"/>
      <c r="AT47" s="5"/>
      <c r="BO47" s="9"/>
      <c r="BP47" s="10"/>
      <c r="BQ47" s="9"/>
      <c r="BR47" s="9"/>
      <c r="BT47" s="10"/>
      <c r="BU47" s="10"/>
      <c r="BW47" s="10"/>
      <c r="BX47" s="10"/>
      <c r="BY47" s="10"/>
      <c r="BZ47" s="10"/>
      <c r="CA47" s="10"/>
      <c r="CB47" s="10"/>
      <c r="CC47" s="10"/>
    </row>
    <row r="48" spans="2:81" x14ac:dyDescent="0.2">
      <c r="B48" s="14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P48" s="16"/>
      <c r="Q48" s="16"/>
      <c r="R48" s="16"/>
      <c r="S48" s="16"/>
      <c r="T48" s="16"/>
      <c r="U48" s="11"/>
      <c r="V48" s="17"/>
      <c r="W48" s="17"/>
      <c r="X48" s="16"/>
      <c r="Y48" s="16"/>
      <c r="Z48" s="16"/>
      <c r="AA48" s="17"/>
      <c r="AB48" s="17"/>
      <c r="AC48" s="17"/>
      <c r="AD48" s="17"/>
      <c r="AE48" s="17"/>
      <c r="AF48" s="17"/>
      <c r="AG48" s="16"/>
      <c r="AH48" s="16"/>
      <c r="AI48" s="16"/>
      <c r="AJ48" s="16"/>
      <c r="AN48" s="12"/>
      <c r="AO48" s="12"/>
      <c r="AP48" s="5"/>
      <c r="AQ48" s="12"/>
      <c r="AR48" s="12"/>
      <c r="AS48" s="5"/>
      <c r="AT48" s="5"/>
      <c r="BO48" s="9"/>
      <c r="BP48" s="10"/>
      <c r="BQ48" s="9"/>
      <c r="BR48" s="9"/>
      <c r="BT48" s="10"/>
      <c r="BU48" s="10"/>
      <c r="BW48" s="10"/>
      <c r="BX48" s="10"/>
      <c r="BY48" s="10"/>
      <c r="BZ48" s="10"/>
      <c r="CA48" s="10"/>
      <c r="CB48" s="10"/>
      <c r="CC48" s="10"/>
    </row>
    <row r="49" spans="2:81" x14ac:dyDescent="0.2">
      <c r="B49" s="14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P49" s="16"/>
      <c r="Q49" s="16"/>
      <c r="R49" s="16"/>
      <c r="S49" s="16"/>
      <c r="T49" s="16"/>
      <c r="U49" s="11"/>
      <c r="V49" s="17"/>
      <c r="W49" s="17"/>
      <c r="X49" s="16"/>
      <c r="Y49" s="16"/>
      <c r="Z49" s="16"/>
      <c r="AA49" s="17"/>
      <c r="AB49" s="17"/>
      <c r="AC49" s="17"/>
      <c r="AD49" s="17"/>
      <c r="AE49" s="17"/>
      <c r="AF49" s="17"/>
      <c r="AG49" s="16"/>
      <c r="AH49" s="16"/>
      <c r="AI49" s="16"/>
      <c r="AJ49" s="16"/>
      <c r="AN49" s="12"/>
      <c r="AO49" s="12"/>
      <c r="AP49" s="5"/>
      <c r="AQ49" s="12"/>
      <c r="AR49" s="12"/>
      <c r="AS49" s="5"/>
      <c r="AT49" s="5"/>
      <c r="BO49" s="9"/>
      <c r="BP49" s="10"/>
      <c r="BQ49" s="9"/>
      <c r="BR49" s="9"/>
      <c r="BT49" s="10"/>
      <c r="BU49" s="10"/>
      <c r="BW49" s="10"/>
      <c r="BX49" s="10"/>
      <c r="BY49" s="10"/>
      <c r="BZ49" s="10"/>
      <c r="CA49" s="10"/>
      <c r="CB49" s="10"/>
      <c r="CC49" s="10"/>
    </row>
    <row r="50" spans="2:81" x14ac:dyDescent="0.2">
      <c r="B50" s="14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P50" s="16"/>
      <c r="Q50" s="16"/>
      <c r="R50" s="16"/>
      <c r="S50" s="16"/>
      <c r="T50" s="16"/>
      <c r="U50" s="11"/>
      <c r="V50" s="17"/>
      <c r="W50" s="17"/>
      <c r="X50" s="16"/>
      <c r="Y50" s="16"/>
      <c r="Z50" s="16"/>
      <c r="AA50" s="17"/>
      <c r="AB50" s="17"/>
      <c r="AC50" s="17"/>
      <c r="AD50" s="17"/>
      <c r="AE50" s="17"/>
      <c r="AF50" s="17"/>
      <c r="AG50" s="16"/>
      <c r="AH50" s="16"/>
      <c r="AI50" s="16"/>
      <c r="AJ50" s="16"/>
      <c r="AN50" s="12"/>
      <c r="AO50" s="12"/>
      <c r="AP50" s="5"/>
      <c r="AQ50" s="12"/>
      <c r="AR50" s="12"/>
      <c r="AS50" s="5"/>
      <c r="AT50" s="5"/>
      <c r="BO50" s="9"/>
      <c r="BP50" s="10"/>
      <c r="BQ50" s="9"/>
      <c r="BR50" s="9"/>
      <c r="BT50" s="10"/>
      <c r="BU50" s="10"/>
      <c r="BW50" s="10"/>
      <c r="BX50" s="10"/>
      <c r="BY50" s="10"/>
      <c r="BZ50" s="10"/>
      <c r="CA50" s="10"/>
      <c r="CB50" s="10"/>
      <c r="CC50" s="10"/>
    </row>
    <row r="51" spans="2:81" x14ac:dyDescent="0.2">
      <c r="B51" s="14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P51" s="16"/>
      <c r="Q51" s="16"/>
      <c r="R51" s="16"/>
      <c r="S51" s="16"/>
      <c r="T51" s="16"/>
      <c r="U51" s="11"/>
      <c r="V51" s="17"/>
      <c r="W51" s="17"/>
      <c r="X51" s="16"/>
      <c r="Y51" s="16"/>
      <c r="Z51" s="16"/>
      <c r="AA51" s="17"/>
      <c r="AB51" s="17"/>
      <c r="AC51" s="17"/>
      <c r="AD51" s="17"/>
      <c r="AE51" s="17"/>
      <c r="AF51" s="17"/>
      <c r="AG51" s="16"/>
      <c r="AH51" s="16"/>
      <c r="AI51" s="16"/>
      <c r="AJ51" s="16"/>
      <c r="AN51" s="12"/>
      <c r="AO51" s="12"/>
      <c r="AP51" s="5"/>
      <c r="AQ51" s="12"/>
      <c r="AR51" s="12"/>
      <c r="AS51" s="5"/>
      <c r="AT51" s="5"/>
      <c r="BO51" s="9"/>
      <c r="BP51" s="10"/>
      <c r="BQ51" s="9"/>
      <c r="BR51" s="9"/>
      <c r="BT51" s="10"/>
      <c r="BU51" s="10"/>
      <c r="BW51" s="10"/>
      <c r="BX51" s="10"/>
      <c r="BY51" s="10"/>
      <c r="BZ51" s="10"/>
      <c r="CA51" s="10"/>
      <c r="CB51" s="10"/>
      <c r="CC51" s="10"/>
    </row>
    <row r="52" spans="2:81" x14ac:dyDescent="0.2">
      <c r="B52" s="14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P52" s="16"/>
      <c r="Q52" s="16"/>
      <c r="R52" s="16"/>
      <c r="S52" s="16"/>
      <c r="T52" s="16"/>
      <c r="U52" s="11"/>
      <c r="V52" s="17"/>
      <c r="W52" s="17"/>
      <c r="X52" s="16"/>
      <c r="Y52" s="16"/>
      <c r="Z52" s="16"/>
      <c r="AA52" s="17"/>
      <c r="AB52" s="17"/>
      <c r="AC52" s="17"/>
      <c r="AD52" s="17"/>
      <c r="AE52" s="17"/>
      <c r="AF52" s="17"/>
      <c r="AG52" s="16"/>
      <c r="AH52" s="16"/>
      <c r="AI52" s="16"/>
      <c r="AJ52" s="16"/>
      <c r="AN52" s="12"/>
      <c r="AO52" s="12"/>
      <c r="AP52" s="5"/>
      <c r="AQ52" s="12"/>
      <c r="AR52" s="12"/>
      <c r="AS52" s="5"/>
      <c r="AT52" s="5"/>
      <c r="BO52" s="9"/>
      <c r="BP52" s="10"/>
      <c r="BQ52" s="9"/>
      <c r="BR52" s="9"/>
      <c r="BT52" s="10"/>
      <c r="BU52" s="10"/>
      <c r="BW52" s="10"/>
      <c r="BX52" s="10"/>
      <c r="BY52" s="10"/>
      <c r="BZ52" s="10"/>
      <c r="CA52" s="10"/>
      <c r="CB52" s="10"/>
      <c r="CC52" s="10"/>
    </row>
    <row r="53" spans="2:81" x14ac:dyDescent="0.2">
      <c r="B53" s="14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P53" s="16"/>
      <c r="Q53" s="16"/>
      <c r="R53" s="16"/>
      <c r="S53" s="16"/>
      <c r="T53" s="16"/>
      <c r="U53" s="11"/>
      <c r="V53" s="17"/>
      <c r="W53" s="17"/>
      <c r="X53" s="16"/>
      <c r="Y53" s="16"/>
      <c r="Z53" s="16"/>
      <c r="AA53" s="17"/>
      <c r="AB53" s="17"/>
      <c r="AC53" s="17"/>
      <c r="AD53" s="17"/>
      <c r="AE53" s="17"/>
      <c r="AF53" s="17"/>
      <c r="AG53" s="16"/>
      <c r="AH53" s="16"/>
      <c r="AI53" s="16"/>
      <c r="AJ53" s="16"/>
      <c r="AN53" s="12"/>
      <c r="AO53" s="12"/>
      <c r="AP53" s="5"/>
      <c r="AQ53" s="12"/>
      <c r="AR53" s="12"/>
      <c r="AS53" s="5"/>
      <c r="AT53" s="5"/>
      <c r="BO53" s="9"/>
      <c r="BP53" s="10"/>
      <c r="BQ53" s="9"/>
      <c r="BR53" s="9"/>
      <c r="BT53" s="10"/>
      <c r="BU53" s="10"/>
      <c r="BW53" s="10"/>
      <c r="BX53" s="10"/>
      <c r="BY53" s="10"/>
      <c r="BZ53" s="10"/>
      <c r="CA53" s="10"/>
      <c r="CB53" s="10"/>
      <c r="CC53" s="10"/>
    </row>
    <row r="54" spans="2:81" x14ac:dyDescent="0.2">
      <c r="B54" s="14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P54" s="16"/>
      <c r="Q54" s="16"/>
      <c r="R54" s="16"/>
      <c r="S54" s="16"/>
      <c r="T54" s="16"/>
      <c r="U54" s="11"/>
      <c r="V54" s="17"/>
      <c r="W54" s="17"/>
      <c r="X54" s="16"/>
      <c r="Y54" s="16"/>
      <c r="Z54" s="16"/>
      <c r="AA54" s="17"/>
      <c r="AB54" s="17"/>
      <c r="AC54" s="17"/>
      <c r="AD54" s="17"/>
      <c r="AE54" s="17"/>
      <c r="AF54" s="17"/>
      <c r="AG54" s="16"/>
      <c r="AH54" s="16"/>
      <c r="AI54" s="16"/>
      <c r="AJ54" s="16"/>
      <c r="AN54" s="12"/>
      <c r="AO54" s="12"/>
      <c r="AP54" s="5"/>
      <c r="AQ54" s="12"/>
      <c r="AR54" s="12"/>
      <c r="AS54" s="5"/>
      <c r="AT54" s="5"/>
      <c r="BO54" s="9"/>
      <c r="BP54" s="10"/>
      <c r="BQ54" s="9"/>
      <c r="BR54" s="9"/>
      <c r="BT54" s="10"/>
      <c r="BU54" s="10"/>
      <c r="BW54" s="10"/>
      <c r="BX54" s="10"/>
      <c r="BY54" s="10"/>
      <c r="BZ54" s="10"/>
      <c r="CA54" s="10"/>
      <c r="CB54" s="10"/>
      <c r="CC54" s="10"/>
    </row>
    <row r="55" spans="2:81" x14ac:dyDescent="0.2">
      <c r="B55" s="14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P55" s="16"/>
      <c r="Q55" s="16"/>
      <c r="R55" s="16"/>
      <c r="S55" s="16"/>
      <c r="T55" s="16"/>
      <c r="U55" s="11"/>
      <c r="V55" s="17"/>
      <c r="W55" s="17"/>
      <c r="X55" s="16"/>
      <c r="Y55" s="16"/>
      <c r="Z55" s="16"/>
      <c r="AA55" s="17"/>
      <c r="AB55" s="17"/>
      <c r="AC55" s="17"/>
      <c r="AD55" s="17"/>
      <c r="AE55" s="17"/>
      <c r="AF55" s="17"/>
      <c r="AG55" s="16"/>
      <c r="AH55" s="16"/>
      <c r="AI55" s="16"/>
      <c r="AJ55" s="16"/>
      <c r="AN55" s="12"/>
      <c r="AO55" s="12"/>
      <c r="AP55" s="5"/>
      <c r="AQ55" s="12"/>
      <c r="AR55" s="12"/>
      <c r="AS55" s="5"/>
      <c r="AT55" s="5"/>
      <c r="BO55" s="9"/>
      <c r="BP55" s="10"/>
      <c r="BQ55" s="9"/>
      <c r="BR55" s="9"/>
      <c r="BT55" s="10"/>
      <c r="BU55" s="10"/>
      <c r="BW55" s="10"/>
      <c r="BX55" s="10"/>
      <c r="BY55" s="10"/>
      <c r="BZ55" s="10"/>
      <c r="CA55" s="10"/>
      <c r="CB55" s="10"/>
      <c r="CC55" s="10"/>
    </row>
    <row r="56" spans="2:81" x14ac:dyDescent="0.2">
      <c r="B56" s="14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P56" s="16"/>
      <c r="Q56" s="16"/>
      <c r="R56" s="16"/>
      <c r="S56" s="16"/>
      <c r="T56" s="16"/>
      <c r="U56" s="11"/>
      <c r="V56" s="17"/>
      <c r="W56" s="17"/>
      <c r="X56" s="16"/>
      <c r="Y56" s="16"/>
      <c r="Z56" s="16"/>
      <c r="AA56" s="17"/>
      <c r="AB56" s="17"/>
      <c r="AC56" s="17"/>
      <c r="AD56" s="17"/>
      <c r="AE56" s="17"/>
      <c r="AF56" s="17"/>
      <c r="AG56" s="16"/>
      <c r="AH56" s="16"/>
      <c r="AI56" s="16"/>
      <c r="AJ56" s="16"/>
      <c r="AN56" s="12"/>
      <c r="AO56" s="12"/>
      <c r="AP56" s="5"/>
      <c r="AQ56" s="12"/>
      <c r="AR56" s="12"/>
      <c r="AS56" s="5"/>
      <c r="AT56" s="5"/>
      <c r="BO56" s="9"/>
      <c r="BP56" s="10"/>
      <c r="BQ56" s="9"/>
      <c r="BR56" s="9"/>
      <c r="BT56" s="10"/>
      <c r="BU56" s="10"/>
      <c r="BW56" s="10"/>
      <c r="BX56" s="10"/>
      <c r="BY56" s="10"/>
      <c r="BZ56" s="10"/>
      <c r="CA56" s="10"/>
      <c r="CB56" s="10"/>
      <c r="CC56" s="10"/>
    </row>
    <row r="57" spans="2:81" x14ac:dyDescent="0.2">
      <c r="B57" s="14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P57" s="16"/>
      <c r="Q57" s="16"/>
      <c r="R57" s="16"/>
      <c r="S57" s="16"/>
      <c r="T57" s="16"/>
      <c r="U57" s="11"/>
      <c r="V57" s="17"/>
      <c r="W57" s="17"/>
      <c r="X57" s="16"/>
      <c r="Y57" s="16"/>
      <c r="Z57" s="16"/>
      <c r="AA57" s="17"/>
      <c r="AB57" s="17"/>
      <c r="AC57" s="17"/>
      <c r="AD57" s="17"/>
      <c r="AE57" s="17"/>
      <c r="AF57" s="17"/>
      <c r="AG57" s="16"/>
      <c r="AH57" s="16"/>
      <c r="AI57" s="16"/>
      <c r="AJ57" s="16"/>
      <c r="AN57" s="12"/>
      <c r="AO57" s="12"/>
      <c r="AP57" s="5"/>
      <c r="AQ57" s="12"/>
      <c r="AR57" s="12"/>
      <c r="AS57" s="5"/>
      <c r="AT57" s="5"/>
      <c r="BO57" s="9"/>
      <c r="BP57" s="10"/>
      <c r="BQ57" s="9"/>
      <c r="BR57" s="9"/>
      <c r="BT57" s="10"/>
      <c r="BU57" s="10"/>
      <c r="BW57" s="10"/>
      <c r="BX57" s="10"/>
      <c r="BY57" s="10"/>
      <c r="BZ57" s="10"/>
      <c r="CA57" s="10"/>
      <c r="CB57" s="10"/>
      <c r="CC57" s="10"/>
    </row>
    <row r="58" spans="2:81" x14ac:dyDescent="0.2">
      <c r="B58" s="14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P58" s="17"/>
      <c r="Q58" s="17"/>
      <c r="R58" s="16"/>
      <c r="S58" s="16"/>
      <c r="T58" s="16"/>
      <c r="U58" s="11"/>
      <c r="V58" s="17"/>
      <c r="W58" s="17"/>
      <c r="X58" s="16"/>
      <c r="Y58" s="16"/>
      <c r="Z58" s="17"/>
      <c r="AA58" s="17"/>
      <c r="AB58" s="17"/>
      <c r="AC58" s="17"/>
      <c r="AD58" s="17"/>
      <c r="AE58" s="17"/>
      <c r="AF58" s="17"/>
      <c r="AG58" s="16"/>
      <c r="AH58" s="16"/>
      <c r="AI58" s="16"/>
      <c r="AJ58" s="16"/>
      <c r="AN58" s="12"/>
      <c r="AO58" s="12"/>
      <c r="AP58" s="5"/>
      <c r="AQ58" s="12"/>
      <c r="AR58" s="12"/>
      <c r="AS58" s="5"/>
      <c r="AT58" s="5"/>
      <c r="BO58" s="9"/>
      <c r="BP58" s="10"/>
      <c r="BQ58" s="9"/>
      <c r="BR58" s="9"/>
      <c r="BT58" s="10"/>
      <c r="BU58" s="10"/>
      <c r="BW58" s="10"/>
      <c r="BX58" s="10"/>
      <c r="BY58" s="10"/>
      <c r="BZ58" s="10"/>
      <c r="CA58" s="10"/>
      <c r="CB58" s="10"/>
      <c r="CC58" s="10"/>
    </row>
    <row r="59" spans="2:81" x14ac:dyDescent="0.2">
      <c r="B59" s="14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P59" s="17"/>
      <c r="Q59" s="17"/>
      <c r="R59" s="16"/>
      <c r="S59" s="16"/>
      <c r="T59" s="16"/>
      <c r="U59" s="11"/>
      <c r="V59" s="17"/>
      <c r="W59" s="17"/>
      <c r="X59" s="16"/>
      <c r="Y59" s="16"/>
      <c r="Z59" s="17"/>
      <c r="AA59" s="17"/>
      <c r="AB59" s="17"/>
      <c r="AC59" s="17"/>
      <c r="AD59" s="17"/>
      <c r="AE59" s="17"/>
      <c r="AF59" s="17"/>
      <c r="AG59" s="16"/>
      <c r="AH59" s="16"/>
      <c r="AI59" s="16"/>
      <c r="AJ59" s="16"/>
      <c r="AN59" s="12"/>
      <c r="AO59" s="12"/>
      <c r="AP59" s="5"/>
      <c r="AQ59" s="12"/>
      <c r="AR59" s="12"/>
      <c r="AS59" s="5"/>
      <c r="AT59" s="5"/>
      <c r="BO59" s="9"/>
      <c r="BP59" s="10"/>
      <c r="BQ59" s="9"/>
      <c r="BR59" s="9"/>
      <c r="BT59" s="10"/>
      <c r="BU59" s="10"/>
      <c r="BW59" s="10"/>
      <c r="BX59" s="10"/>
      <c r="BY59" s="10"/>
      <c r="BZ59" s="10"/>
      <c r="CA59" s="10"/>
      <c r="CB59" s="10"/>
      <c r="CC59" s="10"/>
    </row>
    <row r="60" spans="2:81" x14ac:dyDescent="0.2">
      <c r="B60" s="14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P60" s="17"/>
      <c r="Q60" s="17"/>
      <c r="R60" s="16"/>
      <c r="S60" s="16"/>
      <c r="T60" s="16"/>
      <c r="U60" s="11"/>
      <c r="V60" s="17"/>
      <c r="W60" s="17"/>
      <c r="X60" s="16"/>
      <c r="Y60" s="16"/>
      <c r="Z60" s="17"/>
      <c r="AA60" s="17"/>
      <c r="AB60" s="17"/>
      <c r="AC60" s="17"/>
      <c r="AD60" s="17"/>
      <c r="AE60" s="17"/>
      <c r="AF60" s="17"/>
      <c r="AG60" s="16"/>
      <c r="AH60" s="16"/>
      <c r="AI60" s="16"/>
      <c r="AJ60" s="16"/>
      <c r="AN60" s="12"/>
      <c r="AO60" s="12"/>
      <c r="AP60" s="5"/>
      <c r="AQ60" s="12"/>
      <c r="AR60" s="12"/>
      <c r="AS60" s="5"/>
      <c r="AT60" s="5"/>
      <c r="BO60" s="9"/>
      <c r="BP60" s="10"/>
      <c r="BQ60" s="9"/>
      <c r="BR60" s="9"/>
      <c r="BT60" s="10"/>
      <c r="BU60" s="10"/>
      <c r="BW60" s="10"/>
      <c r="BX60" s="10"/>
      <c r="BY60" s="10"/>
      <c r="BZ60" s="10"/>
      <c r="CA60" s="10"/>
      <c r="CB60" s="10"/>
      <c r="CC60" s="10"/>
    </row>
    <row r="61" spans="2:81" x14ac:dyDescent="0.2">
      <c r="B61" s="14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P61" s="17"/>
      <c r="Q61" s="17"/>
      <c r="R61" s="16"/>
      <c r="S61" s="16"/>
      <c r="T61" s="16"/>
      <c r="U61" s="11"/>
      <c r="V61" s="17"/>
      <c r="W61" s="17"/>
      <c r="X61" s="16"/>
      <c r="Y61" s="16"/>
      <c r="Z61" s="17"/>
      <c r="AA61" s="17"/>
      <c r="AB61" s="17"/>
      <c r="AC61" s="17"/>
      <c r="AD61" s="17"/>
      <c r="AE61" s="17"/>
      <c r="AF61" s="17"/>
      <c r="AG61" s="16"/>
      <c r="AH61" s="16"/>
      <c r="AI61" s="16"/>
      <c r="AJ61" s="16"/>
      <c r="AN61" s="12"/>
      <c r="AO61" s="12"/>
      <c r="AP61" s="5"/>
      <c r="AQ61" s="12"/>
      <c r="AR61" s="12"/>
      <c r="AS61" s="5"/>
      <c r="AT61" s="5"/>
      <c r="BO61" s="9"/>
      <c r="BP61" s="10"/>
      <c r="BQ61" s="9"/>
      <c r="BR61" s="9"/>
      <c r="BT61" s="10"/>
      <c r="BU61" s="10"/>
      <c r="BW61" s="10"/>
      <c r="BX61" s="10"/>
      <c r="BY61" s="10"/>
      <c r="BZ61" s="10"/>
      <c r="CA61" s="10"/>
      <c r="CB61" s="10"/>
      <c r="CC61" s="10"/>
    </row>
    <row r="62" spans="2:81" x14ac:dyDescent="0.2">
      <c r="B62" s="14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P62" s="17"/>
      <c r="Q62" s="17"/>
      <c r="R62" s="16"/>
      <c r="S62" s="16"/>
      <c r="T62" s="16"/>
      <c r="U62" s="11"/>
      <c r="V62" s="17"/>
      <c r="W62" s="17"/>
      <c r="X62" s="16"/>
      <c r="Y62" s="16"/>
      <c r="Z62" s="17"/>
      <c r="AA62" s="17"/>
      <c r="AB62" s="17"/>
      <c r="AC62" s="17"/>
      <c r="AD62" s="17"/>
      <c r="AE62" s="17"/>
      <c r="AF62" s="17"/>
      <c r="AG62" s="16"/>
      <c r="AH62" s="16"/>
      <c r="AI62" s="16"/>
      <c r="AJ62" s="16"/>
      <c r="AN62" s="12"/>
      <c r="AO62" s="12"/>
      <c r="AP62" s="5"/>
      <c r="AQ62" s="12"/>
      <c r="AR62" s="12"/>
      <c r="AS62" s="5"/>
      <c r="AT62" s="5"/>
      <c r="BO62" s="9"/>
      <c r="BP62" s="10"/>
      <c r="BQ62" s="9"/>
      <c r="BR62" s="9"/>
      <c r="BT62" s="10"/>
      <c r="BU62" s="10"/>
      <c r="BW62" s="10"/>
      <c r="BX62" s="10"/>
      <c r="BY62" s="10"/>
      <c r="BZ62" s="10"/>
      <c r="CA62" s="10"/>
      <c r="CB62" s="10"/>
      <c r="CC62" s="10"/>
    </row>
    <row r="63" spans="2:81" x14ac:dyDescent="0.2">
      <c r="B63" s="14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P63" s="17"/>
      <c r="Q63" s="17"/>
      <c r="R63" s="16"/>
      <c r="S63" s="16"/>
      <c r="T63" s="16"/>
      <c r="U63" s="11"/>
      <c r="V63" s="17"/>
      <c r="W63" s="17"/>
      <c r="X63" s="16"/>
      <c r="Y63" s="16"/>
      <c r="Z63" s="17"/>
      <c r="AA63" s="17"/>
      <c r="AB63" s="17"/>
      <c r="AC63" s="17"/>
      <c r="AD63" s="17"/>
      <c r="AE63" s="17"/>
      <c r="AF63" s="17"/>
      <c r="AG63" s="16"/>
      <c r="AH63" s="16"/>
      <c r="AI63" s="16"/>
      <c r="AJ63" s="16"/>
      <c r="AN63" s="12"/>
      <c r="AO63" s="12"/>
      <c r="AP63" s="5"/>
      <c r="AQ63" s="12"/>
      <c r="AR63" s="12"/>
      <c r="AS63" s="5"/>
      <c r="AT63" s="5"/>
      <c r="BO63" s="9"/>
      <c r="BP63" s="10"/>
      <c r="BQ63" s="9"/>
      <c r="BR63" s="9"/>
      <c r="BT63" s="10"/>
      <c r="BU63" s="10"/>
      <c r="BW63" s="10"/>
      <c r="BX63" s="10"/>
      <c r="BY63" s="10"/>
      <c r="BZ63" s="10"/>
      <c r="CA63" s="10"/>
      <c r="CB63" s="10"/>
      <c r="CC63" s="10"/>
    </row>
    <row r="64" spans="2:81" x14ac:dyDescent="0.2">
      <c r="B64" s="14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P64" s="17"/>
      <c r="Q64" s="17"/>
      <c r="R64" s="16"/>
      <c r="S64" s="16"/>
      <c r="T64" s="16"/>
      <c r="U64" s="11"/>
      <c r="V64" s="17"/>
      <c r="W64" s="17"/>
      <c r="X64" s="16"/>
      <c r="Y64" s="16"/>
      <c r="Z64" s="17"/>
      <c r="AA64" s="17"/>
      <c r="AB64" s="17"/>
      <c r="AC64" s="17"/>
      <c r="AD64" s="17"/>
      <c r="AE64" s="17"/>
      <c r="AF64" s="17"/>
      <c r="AG64" s="16"/>
      <c r="AH64" s="16"/>
      <c r="AI64" s="16"/>
      <c r="AJ64" s="16"/>
      <c r="AN64" s="12"/>
      <c r="AO64" s="12"/>
      <c r="AP64" s="5"/>
      <c r="AQ64" s="12"/>
      <c r="AR64" s="12"/>
      <c r="AS64" s="5"/>
      <c r="AT64" s="5"/>
      <c r="BO64" s="9"/>
      <c r="BP64" s="10"/>
      <c r="BQ64" s="9"/>
      <c r="BR64" s="9"/>
      <c r="BT64" s="10"/>
      <c r="BU64" s="10"/>
      <c r="BW64" s="10"/>
      <c r="BX64" s="10"/>
      <c r="BY64" s="10"/>
      <c r="BZ64" s="10"/>
      <c r="CA64" s="10"/>
      <c r="CB64" s="10"/>
      <c r="CC64" s="10"/>
    </row>
    <row r="65" spans="2:81" x14ac:dyDescent="0.2">
      <c r="B65" s="14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P65" s="17"/>
      <c r="Q65" s="17"/>
      <c r="R65" s="16"/>
      <c r="S65" s="16"/>
      <c r="T65" s="16"/>
      <c r="U65" s="11"/>
      <c r="V65" s="17"/>
      <c r="W65" s="17"/>
      <c r="X65" s="16"/>
      <c r="Y65" s="16"/>
      <c r="Z65" s="17"/>
      <c r="AA65" s="17"/>
      <c r="AB65" s="17"/>
      <c r="AC65" s="17"/>
      <c r="AD65" s="17"/>
      <c r="AE65" s="17"/>
      <c r="AF65" s="17"/>
      <c r="AG65" s="16"/>
      <c r="AH65" s="16"/>
      <c r="AI65" s="16"/>
      <c r="AJ65" s="16"/>
      <c r="AN65" s="12"/>
      <c r="AO65" s="12"/>
      <c r="AP65" s="5"/>
      <c r="AQ65" s="12"/>
      <c r="AR65" s="12"/>
      <c r="AS65" s="5"/>
      <c r="AT65" s="5"/>
      <c r="BO65" s="9"/>
      <c r="BP65" s="10"/>
      <c r="BQ65" s="9"/>
      <c r="BR65" s="9"/>
      <c r="BT65" s="10"/>
      <c r="BU65" s="10"/>
      <c r="BW65" s="10"/>
      <c r="BX65" s="10"/>
      <c r="BY65" s="10"/>
      <c r="BZ65" s="10"/>
      <c r="CA65" s="10"/>
      <c r="CB65" s="10"/>
      <c r="CC65" s="10"/>
    </row>
    <row r="66" spans="2:81" x14ac:dyDescent="0.2">
      <c r="B66" s="14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P66" s="17"/>
      <c r="Q66" s="17"/>
      <c r="R66" s="16"/>
      <c r="S66" s="16"/>
      <c r="T66" s="16"/>
      <c r="U66" s="11"/>
      <c r="V66" s="17"/>
      <c r="W66" s="17"/>
      <c r="X66" s="16"/>
      <c r="Y66" s="16"/>
      <c r="Z66" s="17"/>
      <c r="AA66" s="17"/>
      <c r="AB66" s="17"/>
      <c r="AC66" s="17"/>
      <c r="AD66" s="17"/>
      <c r="AE66" s="17"/>
      <c r="AF66" s="17"/>
      <c r="AG66" s="16"/>
      <c r="AH66" s="16"/>
      <c r="AI66" s="16"/>
      <c r="AJ66" s="16"/>
      <c r="AN66" s="12"/>
      <c r="AO66" s="12"/>
      <c r="AP66" s="5"/>
      <c r="AQ66" s="12"/>
      <c r="AR66" s="12"/>
      <c r="AS66" s="5"/>
      <c r="AT66" s="5"/>
      <c r="BO66" s="9"/>
      <c r="BP66" s="10"/>
      <c r="BQ66" s="9"/>
      <c r="BR66" s="9"/>
      <c r="BT66" s="10"/>
      <c r="BU66" s="10"/>
      <c r="BW66" s="10"/>
      <c r="BX66" s="10"/>
      <c r="BY66" s="10"/>
      <c r="BZ66" s="10"/>
      <c r="CA66" s="10"/>
      <c r="CB66" s="10"/>
      <c r="CC66" s="10"/>
    </row>
    <row r="67" spans="2:81" x14ac:dyDescent="0.2">
      <c r="AN67" s="5"/>
      <c r="AO67" s="5"/>
      <c r="AP67" s="5"/>
      <c r="AQ67" s="5"/>
      <c r="AR67" s="5"/>
      <c r="AS67" s="5"/>
      <c r="AT67" s="5"/>
      <c r="BO67" s="8"/>
      <c r="BQ67" s="8"/>
      <c r="BR67" s="8"/>
    </row>
    <row r="68" spans="2:81" x14ac:dyDescent="0.2">
      <c r="AN68" s="5"/>
      <c r="AO68" s="5"/>
      <c r="AP68" s="5"/>
      <c r="AQ68" s="5"/>
      <c r="AR68" s="5"/>
      <c r="AS68" s="5"/>
      <c r="AT68" s="5"/>
      <c r="BO68" s="8"/>
      <c r="BQ68" s="8"/>
      <c r="BR68" s="8"/>
    </row>
    <row r="69" spans="2:81" x14ac:dyDescent="0.2">
      <c r="AN69" s="5"/>
      <c r="AO69" s="5"/>
      <c r="AP69" s="5"/>
      <c r="AQ69" s="5"/>
      <c r="AR69" s="5"/>
      <c r="AS69" s="5"/>
      <c r="AT69" s="5"/>
      <c r="BO69" s="8"/>
      <c r="BQ69" s="8"/>
      <c r="BR69" s="8"/>
    </row>
    <row r="70" spans="2:81" x14ac:dyDescent="0.2">
      <c r="AN70" s="5"/>
      <c r="AO70" s="5"/>
      <c r="AP70" s="5"/>
      <c r="AQ70" s="5"/>
      <c r="AR70" s="5"/>
      <c r="AS70" s="5"/>
      <c r="AT70" s="5"/>
      <c r="BO70" s="8"/>
      <c r="BQ70" s="8"/>
      <c r="BR70" s="8"/>
    </row>
    <row r="71" spans="2:81" x14ac:dyDescent="0.2">
      <c r="AN71" s="5"/>
      <c r="AO71" s="5"/>
      <c r="AP71" s="5"/>
      <c r="AQ71" s="5"/>
      <c r="AR71" s="5"/>
      <c r="AS71" s="5"/>
      <c r="AT71" s="5"/>
      <c r="BO71" s="8"/>
      <c r="BQ71" s="8"/>
      <c r="BR71" s="8"/>
    </row>
    <row r="72" spans="2:81" x14ac:dyDescent="0.2">
      <c r="AN72" s="5"/>
      <c r="AO72" s="5"/>
      <c r="AP72" s="5"/>
      <c r="AQ72" s="5"/>
      <c r="AR72" s="5"/>
      <c r="AS72" s="5"/>
      <c r="AT72" s="5"/>
      <c r="BO72" s="8"/>
      <c r="BQ72" s="8"/>
      <c r="BR72" s="8"/>
    </row>
    <row r="73" spans="2:81" x14ac:dyDescent="0.2">
      <c r="AN73" s="5"/>
      <c r="AO73" s="5"/>
      <c r="AP73" s="5"/>
      <c r="AQ73" s="5"/>
      <c r="AR73" s="5"/>
      <c r="AS73" s="5"/>
      <c r="AT73" s="5"/>
      <c r="BO73" s="8"/>
      <c r="BQ73" s="8"/>
      <c r="BR73" s="8"/>
    </row>
    <row r="74" spans="2:81" x14ac:dyDescent="0.2">
      <c r="AN74" s="5"/>
      <c r="AO74" s="5"/>
      <c r="AP74" s="5"/>
      <c r="AQ74" s="5"/>
      <c r="AR74" s="5"/>
      <c r="AS74" s="5"/>
      <c r="AT74" s="5"/>
      <c r="BO74" s="8"/>
      <c r="BQ74" s="8"/>
      <c r="BR74" s="8"/>
    </row>
    <row r="75" spans="2:81" x14ac:dyDescent="0.2">
      <c r="AN75" s="5"/>
      <c r="AO75" s="5"/>
      <c r="AP75" s="5"/>
      <c r="AQ75" s="5"/>
      <c r="AR75" s="5"/>
      <c r="AS75" s="5"/>
      <c r="AT75" s="5"/>
      <c r="BO75" s="8"/>
      <c r="BQ75" s="8"/>
      <c r="BR75" s="8"/>
    </row>
    <row r="76" spans="2:81" x14ac:dyDescent="0.2">
      <c r="AN76" s="5"/>
      <c r="AO76" s="5"/>
      <c r="AP76" s="5"/>
      <c r="AQ76" s="5"/>
      <c r="AR76" s="5"/>
      <c r="AS76" s="5"/>
      <c r="AT76" s="5"/>
      <c r="BO76" s="8"/>
      <c r="BQ76" s="8"/>
      <c r="BR76" s="8"/>
    </row>
    <row r="77" spans="2:81" x14ac:dyDescent="0.2">
      <c r="AN77" s="5"/>
      <c r="AO77" s="5"/>
      <c r="AP77" s="5"/>
      <c r="AQ77" s="5"/>
      <c r="AR77" s="5"/>
      <c r="AS77" s="5"/>
      <c r="AT77" s="5"/>
      <c r="BO77" s="8"/>
      <c r="BQ77" s="8"/>
      <c r="BR77" s="8"/>
    </row>
    <row r="78" spans="2:81" x14ac:dyDescent="0.2">
      <c r="AN78" s="5"/>
      <c r="AO78" s="5"/>
      <c r="AP78" s="5"/>
      <c r="AQ78" s="5"/>
      <c r="AR78" s="5"/>
      <c r="AS78" s="5"/>
      <c r="AT78" s="5"/>
      <c r="BO78" s="8"/>
      <c r="BQ78" s="8"/>
      <c r="BR78" s="8"/>
    </row>
    <row r="79" spans="2:81" x14ac:dyDescent="0.2">
      <c r="AN79" s="5"/>
      <c r="AO79" s="5"/>
      <c r="AP79" s="5"/>
      <c r="AQ79" s="5"/>
      <c r="AR79" s="5"/>
      <c r="AS79" s="5"/>
      <c r="AT79" s="5"/>
      <c r="BO79" s="8"/>
      <c r="BQ79" s="8"/>
      <c r="BR79" s="8"/>
    </row>
    <row r="80" spans="2:81" x14ac:dyDescent="0.2">
      <c r="AN80" s="5"/>
      <c r="AO80" s="5"/>
      <c r="AP80" s="5"/>
      <c r="AQ80" s="5"/>
      <c r="AR80" s="5"/>
      <c r="AS80" s="5"/>
      <c r="AT80" s="5"/>
      <c r="BO80" s="8"/>
      <c r="BQ80" s="8"/>
      <c r="BR80" s="8"/>
    </row>
    <row r="81" spans="40:70" x14ac:dyDescent="0.2">
      <c r="AN81" s="5"/>
      <c r="AO81" s="5"/>
      <c r="AP81" s="5"/>
      <c r="AQ81" s="5"/>
      <c r="AR81" s="5"/>
      <c r="AS81" s="5"/>
      <c r="AT81" s="5"/>
      <c r="BO81" s="8"/>
      <c r="BQ81" s="8"/>
      <c r="BR81" s="8"/>
    </row>
    <row r="82" spans="40:70" x14ac:dyDescent="0.2">
      <c r="AN82" s="5"/>
      <c r="AO82" s="5"/>
      <c r="AP82" s="5"/>
      <c r="AQ82" s="5"/>
      <c r="AR82" s="5"/>
      <c r="AS82" s="5"/>
      <c r="AT82" s="5"/>
      <c r="BO82" s="8"/>
      <c r="BQ82" s="8"/>
      <c r="BR82" s="8"/>
    </row>
    <row r="83" spans="40:70" x14ac:dyDescent="0.2">
      <c r="AN83" s="5"/>
      <c r="AO83" s="5"/>
      <c r="AP83" s="5"/>
      <c r="AQ83" s="5"/>
      <c r="AR83" s="5"/>
      <c r="AS83" s="5"/>
      <c r="AT83" s="5"/>
      <c r="BO83" s="8"/>
      <c r="BQ83" s="8"/>
      <c r="BR83" s="8"/>
    </row>
    <row r="84" spans="40:70" x14ac:dyDescent="0.2">
      <c r="AN84" s="5"/>
      <c r="AO84" s="5"/>
      <c r="AP84" s="5"/>
      <c r="AQ84" s="5"/>
      <c r="AR84" s="5"/>
      <c r="AS84" s="5"/>
      <c r="AT84" s="5"/>
      <c r="BO84" s="8"/>
      <c r="BQ84" s="8"/>
      <c r="BR84" s="8"/>
    </row>
    <row r="85" spans="40:70" x14ac:dyDescent="0.2">
      <c r="AN85" s="5"/>
      <c r="AO85" s="5"/>
      <c r="AP85" s="5"/>
      <c r="AQ85" s="5"/>
      <c r="AR85" s="5"/>
      <c r="AS85" s="5"/>
      <c r="AT85" s="5"/>
      <c r="BO85" s="8"/>
      <c r="BQ85" s="8"/>
      <c r="BR85" s="8"/>
    </row>
    <row r="86" spans="40:70" x14ac:dyDescent="0.2">
      <c r="AN86" s="5"/>
      <c r="AO86" s="5"/>
      <c r="AP86" s="5"/>
      <c r="AQ86" s="5"/>
      <c r="AR86" s="5"/>
      <c r="AS86" s="5"/>
      <c r="AT86" s="5"/>
      <c r="BO86" s="8"/>
      <c r="BQ86" s="8"/>
      <c r="BR86" s="8"/>
    </row>
    <row r="87" spans="40:70" x14ac:dyDescent="0.2">
      <c r="AN87" s="5"/>
      <c r="AO87" s="5"/>
      <c r="AP87" s="5"/>
      <c r="AQ87" s="5"/>
      <c r="AR87" s="5"/>
      <c r="AS87" s="5"/>
      <c r="AT87" s="5"/>
      <c r="BO87" s="8"/>
      <c r="BQ87" s="8"/>
      <c r="BR87" s="8"/>
    </row>
    <row r="88" spans="40:70" x14ac:dyDescent="0.2">
      <c r="AN88" s="5"/>
      <c r="AO88" s="5"/>
      <c r="AP88" s="5"/>
      <c r="AQ88" s="5"/>
      <c r="AR88" s="5"/>
      <c r="AS88" s="5"/>
      <c r="AT88" s="5"/>
      <c r="BO88" s="8"/>
      <c r="BQ88" s="8"/>
      <c r="BR88" s="8"/>
    </row>
    <row r="89" spans="40:70" x14ac:dyDescent="0.2">
      <c r="AN89" s="5"/>
      <c r="AO89" s="5"/>
      <c r="AP89" s="5"/>
      <c r="AQ89" s="5"/>
      <c r="AR89" s="5"/>
      <c r="AS89" s="5"/>
      <c r="AT89" s="5"/>
      <c r="BO89" s="8"/>
      <c r="BQ89" s="8"/>
      <c r="BR89" s="8"/>
    </row>
    <row r="90" spans="40:70" x14ac:dyDescent="0.2">
      <c r="AN90" s="5"/>
      <c r="AO90" s="5"/>
      <c r="AP90" s="5"/>
      <c r="AQ90" s="5"/>
      <c r="AR90" s="5"/>
      <c r="AS90" s="5"/>
      <c r="AT90" s="5"/>
      <c r="BO90" s="8"/>
      <c r="BQ90" s="8"/>
      <c r="BR90" s="8"/>
    </row>
    <row r="91" spans="40:70" x14ac:dyDescent="0.2">
      <c r="AN91" s="5"/>
      <c r="AO91" s="5"/>
      <c r="AP91" s="5"/>
      <c r="AQ91" s="5"/>
      <c r="AR91" s="5"/>
      <c r="AS91" s="5"/>
      <c r="AT91" s="5"/>
      <c r="BO91" s="8"/>
      <c r="BQ91" s="8"/>
      <c r="BR91" s="8"/>
    </row>
    <row r="92" spans="40:70" x14ac:dyDescent="0.2">
      <c r="AN92" s="5"/>
      <c r="AO92" s="5"/>
      <c r="AP92" s="5"/>
      <c r="AQ92" s="5"/>
      <c r="AR92" s="5"/>
      <c r="AS92" s="5"/>
      <c r="AT92" s="5"/>
      <c r="BO92" s="8"/>
      <c r="BQ92" s="8"/>
      <c r="BR92" s="8"/>
    </row>
    <row r="93" spans="40:70" x14ac:dyDescent="0.2">
      <c r="AN93" s="5"/>
      <c r="AO93" s="5"/>
      <c r="AP93" s="5"/>
      <c r="AQ93" s="5"/>
      <c r="AR93" s="5"/>
      <c r="AS93" s="5"/>
      <c r="AT93" s="5"/>
      <c r="BO93" s="8"/>
      <c r="BQ93" s="8"/>
      <c r="BR93" s="8"/>
    </row>
    <row r="94" spans="40:70" x14ac:dyDescent="0.2">
      <c r="AN94" s="5"/>
      <c r="AO94" s="5"/>
      <c r="AP94" s="5"/>
      <c r="AQ94" s="5"/>
      <c r="AR94" s="5"/>
      <c r="AS94" s="5"/>
      <c r="AT94" s="5"/>
      <c r="BO94" s="8"/>
      <c r="BQ94" s="8"/>
      <c r="BR94" s="8"/>
    </row>
    <row r="95" spans="40:70" x14ac:dyDescent="0.2">
      <c r="AN95" s="5"/>
      <c r="AO95" s="5"/>
      <c r="AP95" s="5"/>
      <c r="AQ95" s="5"/>
      <c r="AR95" s="5"/>
      <c r="AS95" s="5"/>
      <c r="AT95" s="5"/>
      <c r="BO95" s="8"/>
      <c r="BQ95" s="8"/>
      <c r="BR95" s="8"/>
    </row>
    <row r="96" spans="40:70" x14ac:dyDescent="0.2">
      <c r="AN96" s="5"/>
      <c r="AO96" s="5"/>
      <c r="AP96" s="5"/>
      <c r="AQ96" s="5"/>
      <c r="AR96" s="5"/>
      <c r="AS96" s="5"/>
      <c r="AT96" s="5"/>
      <c r="BO96" s="8"/>
      <c r="BQ96" s="8"/>
      <c r="BR96" s="8"/>
    </row>
    <row r="97" spans="40:70" x14ac:dyDescent="0.2">
      <c r="AN97" s="5"/>
      <c r="AO97" s="5"/>
      <c r="AP97" s="5"/>
      <c r="AQ97" s="5"/>
      <c r="AR97" s="5"/>
      <c r="AS97" s="5"/>
      <c r="AT97" s="5"/>
      <c r="BO97" s="8"/>
      <c r="BQ97" s="8"/>
      <c r="BR97" s="8"/>
    </row>
    <row r="98" spans="40:70" x14ac:dyDescent="0.2">
      <c r="AN98" s="5"/>
      <c r="AO98" s="5"/>
      <c r="AP98" s="5"/>
      <c r="AQ98" s="5"/>
      <c r="AR98" s="5"/>
      <c r="AS98" s="5"/>
      <c r="AT98" s="5"/>
      <c r="BO98" s="8"/>
      <c r="BQ98" s="8"/>
      <c r="BR98" s="8"/>
    </row>
    <row r="99" spans="40:70" x14ac:dyDescent="0.2">
      <c r="AN99" s="5"/>
      <c r="AO99" s="5"/>
      <c r="AP99" s="5"/>
      <c r="AQ99" s="5"/>
      <c r="AR99" s="5"/>
      <c r="AS99" s="5"/>
      <c r="AT99" s="5"/>
      <c r="BO99" s="8"/>
      <c r="BQ99" s="8"/>
      <c r="BR99" s="8"/>
    </row>
    <row r="100" spans="40:70" x14ac:dyDescent="0.2">
      <c r="AN100" s="5"/>
      <c r="AO100" s="5"/>
      <c r="AP100" s="5"/>
      <c r="AQ100" s="5"/>
      <c r="AR100" s="5"/>
      <c r="AS100" s="5"/>
      <c r="AT100" s="5"/>
      <c r="BO100" s="8"/>
      <c r="BQ100" s="8"/>
      <c r="BR100" s="8"/>
    </row>
    <row r="101" spans="40:70" x14ac:dyDescent="0.2">
      <c r="AN101" s="5"/>
      <c r="AO101" s="5"/>
      <c r="AP101" s="5"/>
      <c r="AQ101" s="5"/>
      <c r="AR101" s="5"/>
      <c r="AS101" s="5"/>
      <c r="AT101" s="5"/>
      <c r="BO101" s="8"/>
      <c r="BQ101" s="8"/>
      <c r="BR101" s="8"/>
    </row>
    <row r="102" spans="40:70" x14ac:dyDescent="0.2">
      <c r="AN102" s="5"/>
      <c r="AO102" s="5"/>
      <c r="AP102" s="5"/>
      <c r="AQ102" s="5"/>
      <c r="AR102" s="5"/>
      <c r="AS102" s="5"/>
      <c r="AT102" s="5"/>
      <c r="BO102" s="8"/>
      <c r="BQ102" s="8"/>
      <c r="BR102" s="8"/>
    </row>
    <row r="103" spans="40:70" x14ac:dyDescent="0.2">
      <c r="AN103" s="5"/>
      <c r="AO103" s="5"/>
      <c r="AP103" s="5"/>
      <c r="AQ103" s="5"/>
      <c r="AR103" s="5"/>
      <c r="AS103" s="5"/>
      <c r="AT103" s="5"/>
      <c r="BO103" s="8"/>
      <c r="BQ103" s="8"/>
      <c r="BR103" s="8"/>
    </row>
    <row r="104" spans="40:70" x14ac:dyDescent="0.2">
      <c r="AN104" s="5"/>
      <c r="AO104" s="5"/>
      <c r="AP104" s="5"/>
      <c r="AQ104" s="5"/>
      <c r="AR104" s="5"/>
      <c r="AS104" s="5"/>
      <c r="AT104" s="5"/>
      <c r="BO104" s="8"/>
      <c r="BQ104" s="8"/>
      <c r="BR104" s="8"/>
    </row>
    <row r="105" spans="40:70" x14ac:dyDescent="0.2">
      <c r="AN105" s="5"/>
      <c r="AO105" s="5"/>
      <c r="AP105" s="5"/>
      <c r="AQ105" s="5"/>
      <c r="AR105" s="5"/>
      <c r="AS105" s="5"/>
      <c r="AT105" s="5"/>
    </row>
    <row r="106" spans="40:70" x14ac:dyDescent="0.2">
      <c r="AN106" s="5"/>
      <c r="AO106" s="5"/>
      <c r="AP106" s="5"/>
      <c r="AQ106" s="5"/>
      <c r="AR106" s="5"/>
      <c r="AS106" s="5"/>
      <c r="AT106" s="5"/>
    </row>
    <row r="107" spans="40:70" x14ac:dyDescent="0.2">
      <c r="AN107" s="5"/>
      <c r="AO107" s="5"/>
      <c r="AP107" s="5"/>
      <c r="AQ107" s="5"/>
      <c r="AR107" s="5"/>
      <c r="AS107" s="5"/>
      <c r="AT107" s="5"/>
    </row>
    <row r="108" spans="40:70" x14ac:dyDescent="0.2">
      <c r="AT10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2026-04-09T14:14:59Z</dcterms:modified>
</cp:coreProperties>
</file>